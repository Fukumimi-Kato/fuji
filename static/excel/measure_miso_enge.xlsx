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867B32F7-6AC9-4569-93DB-4914BED8BB10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ソフト" sheetId="12" r:id="rId1"/>
    <sheet name="具_ミキサー" sheetId="13" r:id="rId2"/>
    <sheet name="具_ゼリー" sheetId="14" r:id="rId3"/>
    <sheet name="汁_常食" sheetId="10" r:id="rId4"/>
    <sheet name="汁_薄味" sheetId="11" r:id="rId5"/>
  </sheets>
  <definedNames>
    <definedName name="_xlnm.Print_Area" localSheetId="2">具_ゼリー!$A$1:$I$58</definedName>
    <definedName name="_xlnm.Print_Area" localSheetId="0">具_ソフト!$A$1:$I$58</definedName>
    <definedName name="_xlnm.Print_Area" localSheetId="1">具_ミキサー!$A$1:$I$58</definedName>
    <definedName name="_xlnm.Print_Area" localSheetId="3">汁_常食!$A$1:$N$56</definedName>
    <definedName name="_xlnm.Print_Area" localSheetId="4">汁_薄味!$A$1:$N$56</definedName>
    <definedName name="_xlnm.Print_Titles" localSheetId="2">具_ゼリー!$1:$3</definedName>
    <definedName name="_xlnm.Print_Titles" localSheetId="0">具_ソフト!$1:$3</definedName>
    <definedName name="_xlnm.Print_Titles" localSheetId="1">具_ミキサー!$1:$3</definedName>
    <definedName name="_xlnm.Print_Titles" localSheetId="3">汁_常食!$1:$3</definedName>
    <definedName name="_xlnm.Print_Titles" localSheetId="4">汁_薄味!$1:$3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14" l="1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F55" i="13"/>
  <c r="G55" i="13"/>
  <c r="H55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27" i="13"/>
  <c r="G27" i="13"/>
  <c r="F27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7" i="13"/>
  <c r="G37" i="13"/>
  <c r="F37" i="13"/>
  <c r="H36" i="13"/>
  <c r="G36" i="13"/>
  <c r="F36" i="13"/>
  <c r="H35" i="13"/>
  <c r="G35" i="13"/>
  <c r="F35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43" i="13"/>
  <c r="G43" i="13"/>
  <c r="F43" i="13"/>
  <c r="H52" i="12"/>
  <c r="G52" i="12"/>
  <c r="F52" i="12"/>
  <c r="H51" i="12"/>
  <c r="G51" i="12"/>
  <c r="F51" i="12"/>
  <c r="H50" i="12"/>
  <c r="G50" i="12"/>
  <c r="F50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16" i="12"/>
  <c r="G16" i="12"/>
  <c r="F16" i="12"/>
  <c r="H33" i="12"/>
  <c r="G33" i="12"/>
  <c r="F33" i="12"/>
  <c r="H32" i="12"/>
  <c r="G32" i="12"/>
  <c r="F32" i="12"/>
  <c r="H31" i="12"/>
  <c r="G31" i="12"/>
  <c r="F31" i="12"/>
  <c r="H30" i="12"/>
  <c r="G30" i="12"/>
  <c r="F30" i="12"/>
  <c r="H29" i="12"/>
  <c r="G29" i="12"/>
  <c r="F29" i="12"/>
  <c r="H28" i="12"/>
  <c r="G28" i="12"/>
  <c r="F28" i="12"/>
  <c r="H27" i="12"/>
  <c r="G27" i="12"/>
  <c r="F27" i="12"/>
  <c r="H26" i="12"/>
  <c r="G26" i="12"/>
  <c r="F26" i="12"/>
  <c r="H25" i="12"/>
  <c r="G25" i="12"/>
  <c r="F25" i="12"/>
  <c r="H42" i="12"/>
  <c r="G42" i="12"/>
  <c r="F42" i="12"/>
  <c r="H41" i="12"/>
  <c r="G41" i="12"/>
  <c r="F41" i="12"/>
  <c r="H40" i="12"/>
  <c r="G40" i="12"/>
  <c r="F40" i="12"/>
  <c r="H39" i="12"/>
  <c r="G39" i="12"/>
  <c r="F39" i="12"/>
  <c r="H38" i="12"/>
  <c r="G38" i="12"/>
  <c r="F38" i="12"/>
  <c r="H37" i="12"/>
  <c r="G37" i="12"/>
  <c r="F37" i="12"/>
  <c r="H36" i="12"/>
  <c r="G36" i="12"/>
  <c r="F36" i="12"/>
  <c r="H35" i="12"/>
  <c r="G35" i="12"/>
  <c r="F35" i="12"/>
  <c r="H34" i="12"/>
  <c r="G34" i="12"/>
  <c r="F34" i="12"/>
  <c r="F7" i="14"/>
  <c r="D7" i="14"/>
  <c r="F7" i="13"/>
  <c r="D7" i="13"/>
  <c r="F7" i="12"/>
  <c r="D7" i="12"/>
  <c r="I54" i="11"/>
  <c r="G54" i="11"/>
  <c r="M54" i="11" s="1"/>
  <c r="F54" i="11"/>
  <c r="L54" i="11" s="1"/>
  <c r="E54" i="11"/>
  <c r="K54" i="11" s="1"/>
  <c r="I53" i="11"/>
  <c r="G53" i="11"/>
  <c r="M53" i="11" s="1"/>
  <c r="F53" i="11"/>
  <c r="L53" i="11" s="1"/>
  <c r="E53" i="11"/>
  <c r="K53" i="11" s="1"/>
  <c r="I52" i="11"/>
  <c r="G52" i="11"/>
  <c r="M52" i="11" s="1"/>
  <c r="F52" i="11"/>
  <c r="L52" i="11" s="1"/>
  <c r="E52" i="11"/>
  <c r="K52" i="11" s="1"/>
  <c r="I51" i="11"/>
  <c r="G51" i="11"/>
  <c r="M51" i="11" s="1"/>
  <c r="F51" i="11"/>
  <c r="E51" i="11"/>
  <c r="K51" i="11" s="1"/>
  <c r="I50" i="11"/>
  <c r="G50" i="11"/>
  <c r="M50" i="11" s="1"/>
  <c r="F50" i="11"/>
  <c r="L50" i="11" s="1"/>
  <c r="E50" i="11"/>
  <c r="K50" i="11" s="1"/>
  <c r="I49" i="11"/>
  <c r="G49" i="11"/>
  <c r="M49" i="11" s="1"/>
  <c r="F49" i="11"/>
  <c r="L49" i="11" s="1"/>
  <c r="E49" i="11"/>
  <c r="K49" i="11" s="1"/>
  <c r="I48" i="11"/>
  <c r="G48" i="11"/>
  <c r="M48" i="11" s="1"/>
  <c r="F48" i="11"/>
  <c r="L48" i="11" s="1"/>
  <c r="E48" i="11"/>
  <c r="K48" i="11" s="1"/>
  <c r="I47" i="11"/>
  <c r="G47" i="11"/>
  <c r="M47" i="11" s="1"/>
  <c r="F47" i="11"/>
  <c r="L47" i="11" s="1"/>
  <c r="E47" i="11"/>
  <c r="I46" i="11"/>
  <c r="G46" i="11"/>
  <c r="M46" i="11" s="1"/>
  <c r="F46" i="11"/>
  <c r="L46" i="11" s="1"/>
  <c r="E46" i="11"/>
  <c r="K46" i="11" s="1"/>
  <c r="I45" i="11"/>
  <c r="G45" i="11"/>
  <c r="M45" i="11" s="1"/>
  <c r="F45" i="11"/>
  <c r="L45" i="11" s="1"/>
  <c r="E45" i="11"/>
  <c r="K45" i="11" s="1"/>
  <c r="I44" i="11"/>
  <c r="G44" i="11"/>
  <c r="M44" i="11" s="1"/>
  <c r="F44" i="11"/>
  <c r="L44" i="11" s="1"/>
  <c r="E44" i="11"/>
  <c r="K44" i="11" s="1"/>
  <c r="I43" i="11"/>
  <c r="G43" i="11"/>
  <c r="M43" i="11" s="1"/>
  <c r="F43" i="11"/>
  <c r="E43" i="11"/>
  <c r="K43" i="11" s="1"/>
  <c r="I42" i="11"/>
  <c r="G42" i="11"/>
  <c r="M42" i="11" s="1"/>
  <c r="F42" i="11"/>
  <c r="L42" i="11" s="1"/>
  <c r="E42" i="11"/>
  <c r="K42" i="11" s="1"/>
  <c r="I41" i="11"/>
  <c r="G41" i="11"/>
  <c r="M41" i="11" s="1"/>
  <c r="F41" i="11"/>
  <c r="L41" i="11" s="1"/>
  <c r="E41" i="11"/>
  <c r="K41" i="11" s="1"/>
  <c r="I40" i="11"/>
  <c r="G40" i="11"/>
  <c r="M40" i="11" s="1"/>
  <c r="F40" i="11"/>
  <c r="L40" i="11" s="1"/>
  <c r="E40" i="11"/>
  <c r="K40" i="11" s="1"/>
  <c r="I39" i="11"/>
  <c r="G39" i="11"/>
  <c r="M39" i="11" s="1"/>
  <c r="F39" i="11"/>
  <c r="L39" i="11" s="1"/>
  <c r="E39" i="11"/>
  <c r="I38" i="11"/>
  <c r="G38" i="11"/>
  <c r="M38" i="11" s="1"/>
  <c r="F38" i="11"/>
  <c r="L38" i="11" s="1"/>
  <c r="E38" i="11"/>
  <c r="K38" i="11" s="1"/>
  <c r="I37" i="11"/>
  <c r="G37" i="11"/>
  <c r="M37" i="11" s="1"/>
  <c r="F37" i="11"/>
  <c r="L37" i="11" s="1"/>
  <c r="E37" i="11"/>
  <c r="K37" i="11" s="1"/>
  <c r="I36" i="11"/>
  <c r="G36" i="11"/>
  <c r="M36" i="11" s="1"/>
  <c r="F36" i="11"/>
  <c r="L36" i="11" s="1"/>
  <c r="E36" i="11"/>
  <c r="K36" i="11" s="1"/>
  <c r="I35" i="11"/>
  <c r="G35" i="11"/>
  <c r="M35" i="11" s="1"/>
  <c r="F35" i="11"/>
  <c r="E35" i="11"/>
  <c r="K35" i="11" s="1"/>
  <c r="I34" i="11"/>
  <c r="G34" i="11"/>
  <c r="F34" i="11"/>
  <c r="L34" i="11" s="1"/>
  <c r="E34" i="11"/>
  <c r="K34" i="11" s="1"/>
  <c r="I33" i="11"/>
  <c r="G33" i="11"/>
  <c r="M33" i="11" s="1"/>
  <c r="F33" i="11"/>
  <c r="L33" i="11" s="1"/>
  <c r="E33" i="11"/>
  <c r="K33" i="11" s="1"/>
  <c r="I32" i="11"/>
  <c r="G32" i="11"/>
  <c r="M32" i="11" s="1"/>
  <c r="F32" i="11"/>
  <c r="L32" i="11" s="1"/>
  <c r="E32" i="11"/>
  <c r="K32" i="11" s="1"/>
  <c r="I31" i="11"/>
  <c r="G31" i="11"/>
  <c r="M31" i="11" s="1"/>
  <c r="F31" i="11"/>
  <c r="L31" i="11" s="1"/>
  <c r="E31" i="11"/>
  <c r="I30" i="11"/>
  <c r="G30" i="11"/>
  <c r="M30" i="11" s="1"/>
  <c r="F30" i="11"/>
  <c r="L30" i="11" s="1"/>
  <c r="E30" i="11"/>
  <c r="K30" i="11" s="1"/>
  <c r="I29" i="11"/>
  <c r="G29" i="11"/>
  <c r="M29" i="11" s="1"/>
  <c r="F29" i="11"/>
  <c r="L29" i="11" s="1"/>
  <c r="E29" i="11"/>
  <c r="K29" i="11" s="1"/>
  <c r="I28" i="11"/>
  <c r="G28" i="11"/>
  <c r="M28" i="11" s="1"/>
  <c r="F28" i="11"/>
  <c r="L28" i="11" s="1"/>
  <c r="E28" i="11"/>
  <c r="K28" i="11" s="1"/>
  <c r="I54" i="10"/>
  <c r="G54" i="10"/>
  <c r="M54" i="10" s="1"/>
  <c r="F54" i="10"/>
  <c r="L54" i="10" s="1"/>
  <c r="E54" i="10"/>
  <c r="K54" i="10" s="1"/>
  <c r="I53" i="10"/>
  <c r="G53" i="10"/>
  <c r="M53" i="10" s="1"/>
  <c r="F53" i="10"/>
  <c r="L53" i="10" s="1"/>
  <c r="E53" i="10"/>
  <c r="K53" i="10" s="1"/>
  <c r="I52" i="10"/>
  <c r="G52" i="10"/>
  <c r="M52" i="10" s="1"/>
  <c r="F52" i="10"/>
  <c r="L52" i="10" s="1"/>
  <c r="E52" i="10"/>
  <c r="K52" i="10" s="1"/>
  <c r="I51" i="10"/>
  <c r="G51" i="10"/>
  <c r="M51" i="10" s="1"/>
  <c r="F51" i="10"/>
  <c r="L51" i="10" s="1"/>
  <c r="E51" i="10"/>
  <c r="K51" i="10" s="1"/>
  <c r="I50" i="10"/>
  <c r="G50" i="10"/>
  <c r="M50" i="10" s="1"/>
  <c r="F50" i="10"/>
  <c r="L50" i="10" s="1"/>
  <c r="E50" i="10"/>
  <c r="K50" i="10" s="1"/>
  <c r="I49" i="10"/>
  <c r="G49" i="10"/>
  <c r="M49" i="10" s="1"/>
  <c r="F49" i="10"/>
  <c r="L49" i="10" s="1"/>
  <c r="E49" i="10"/>
  <c r="K49" i="10" s="1"/>
  <c r="I48" i="10"/>
  <c r="G48" i="10"/>
  <c r="M48" i="10" s="1"/>
  <c r="F48" i="10"/>
  <c r="L48" i="10" s="1"/>
  <c r="E48" i="10"/>
  <c r="K48" i="10" s="1"/>
  <c r="I47" i="10"/>
  <c r="G47" i="10"/>
  <c r="M47" i="10" s="1"/>
  <c r="F47" i="10"/>
  <c r="L47" i="10" s="1"/>
  <c r="E47" i="10"/>
  <c r="K47" i="10" s="1"/>
  <c r="I46" i="10"/>
  <c r="G46" i="10"/>
  <c r="M46" i="10" s="1"/>
  <c r="F46" i="10"/>
  <c r="E46" i="10"/>
  <c r="K46" i="10" s="1"/>
  <c r="I45" i="10"/>
  <c r="G45" i="10"/>
  <c r="F45" i="10"/>
  <c r="L45" i="10" s="1"/>
  <c r="E45" i="10"/>
  <c r="K45" i="10" s="1"/>
  <c r="I44" i="10"/>
  <c r="G44" i="10"/>
  <c r="M44" i="10" s="1"/>
  <c r="F44" i="10"/>
  <c r="L44" i="10" s="1"/>
  <c r="E44" i="10"/>
  <c r="K44" i="10" s="1"/>
  <c r="L43" i="10"/>
  <c r="I43" i="10"/>
  <c r="G43" i="10"/>
  <c r="M43" i="10" s="1"/>
  <c r="F43" i="10"/>
  <c r="E43" i="10"/>
  <c r="K43" i="10" s="1"/>
  <c r="I42" i="10"/>
  <c r="G42" i="10"/>
  <c r="M42" i="10" s="1"/>
  <c r="F42" i="10"/>
  <c r="L42" i="10" s="1"/>
  <c r="E42" i="10"/>
  <c r="K42" i="10" s="1"/>
  <c r="I41" i="10"/>
  <c r="G41" i="10"/>
  <c r="M41" i="10" s="1"/>
  <c r="F41" i="10"/>
  <c r="L41" i="10" s="1"/>
  <c r="E41" i="10"/>
  <c r="K41" i="10" s="1"/>
  <c r="I40" i="10"/>
  <c r="G40" i="10"/>
  <c r="M40" i="10" s="1"/>
  <c r="F40" i="10"/>
  <c r="L40" i="10" s="1"/>
  <c r="E40" i="10"/>
  <c r="K40" i="10" s="1"/>
  <c r="I39" i="10"/>
  <c r="G39" i="10"/>
  <c r="M39" i="10" s="1"/>
  <c r="F39" i="10"/>
  <c r="L39" i="10" s="1"/>
  <c r="E39" i="10"/>
  <c r="K39" i="10" s="1"/>
  <c r="I38" i="10"/>
  <c r="G38" i="10"/>
  <c r="M38" i="10" s="1"/>
  <c r="F38" i="10"/>
  <c r="L38" i="10" s="1"/>
  <c r="E38" i="10"/>
  <c r="K38" i="10" s="1"/>
  <c r="I37" i="10"/>
  <c r="G37" i="10"/>
  <c r="M37" i="10" s="1"/>
  <c r="F37" i="10"/>
  <c r="L37" i="10" s="1"/>
  <c r="E37" i="10"/>
  <c r="K37" i="10" s="1"/>
  <c r="I36" i="10"/>
  <c r="G36" i="10"/>
  <c r="M36" i="10" s="1"/>
  <c r="F36" i="10"/>
  <c r="L36" i="10" s="1"/>
  <c r="E36" i="10"/>
  <c r="K36" i="10" s="1"/>
  <c r="I35" i="10"/>
  <c r="G35" i="10"/>
  <c r="M35" i="10" s="1"/>
  <c r="F35" i="10"/>
  <c r="L35" i="10" s="1"/>
  <c r="E35" i="10"/>
  <c r="K35" i="10" s="1"/>
  <c r="I34" i="10"/>
  <c r="G34" i="10"/>
  <c r="M34" i="10" s="1"/>
  <c r="F34" i="10"/>
  <c r="L34" i="10" s="1"/>
  <c r="E34" i="10"/>
  <c r="I33" i="10"/>
  <c r="G33" i="10"/>
  <c r="M33" i="10" s="1"/>
  <c r="F33" i="10"/>
  <c r="L33" i="10" s="1"/>
  <c r="E33" i="10"/>
  <c r="K33" i="10" s="1"/>
  <c r="I32" i="10"/>
  <c r="G32" i="10"/>
  <c r="M32" i="10" s="1"/>
  <c r="F32" i="10"/>
  <c r="L32" i="10" s="1"/>
  <c r="E32" i="10"/>
  <c r="K32" i="10" s="1"/>
  <c r="I31" i="10"/>
  <c r="G31" i="10"/>
  <c r="M31" i="10" s="1"/>
  <c r="F31" i="10"/>
  <c r="L31" i="10" s="1"/>
  <c r="E31" i="10"/>
  <c r="K31" i="10" s="1"/>
  <c r="I30" i="10"/>
  <c r="G30" i="10"/>
  <c r="M30" i="10" s="1"/>
  <c r="F30" i="10"/>
  <c r="L30" i="10" s="1"/>
  <c r="E30" i="10"/>
  <c r="K30" i="10" s="1"/>
  <c r="I29" i="10"/>
  <c r="G29" i="10"/>
  <c r="M29" i="10" s="1"/>
  <c r="F29" i="10"/>
  <c r="L29" i="10" s="1"/>
  <c r="E29" i="10"/>
  <c r="K29" i="10" s="1"/>
  <c r="I28" i="10"/>
  <c r="G28" i="10"/>
  <c r="M28" i="10" s="1"/>
  <c r="F28" i="10"/>
  <c r="L28" i="10" s="1"/>
  <c r="E28" i="10"/>
  <c r="K28" i="10" s="1"/>
  <c r="F58" i="14"/>
  <c r="F57" i="14"/>
  <c r="F56" i="14"/>
  <c r="F55" i="14"/>
  <c r="F54" i="14"/>
  <c r="F53" i="14"/>
  <c r="F52" i="14"/>
  <c r="F51" i="14"/>
  <c r="F50" i="14"/>
  <c r="F49" i="14"/>
  <c r="F48" i="14"/>
  <c r="F17" i="14"/>
  <c r="F16" i="14"/>
  <c r="F15" i="14"/>
  <c r="F14" i="14"/>
  <c r="F13" i="14"/>
  <c r="F12" i="14"/>
  <c r="F11" i="14"/>
  <c r="F10" i="14"/>
  <c r="F9" i="14"/>
  <c r="F6" i="14"/>
  <c r="F5" i="14"/>
  <c r="F58" i="13"/>
  <c r="F57" i="13"/>
  <c r="F56" i="13"/>
  <c r="F54" i="13"/>
  <c r="F53" i="13"/>
  <c r="F52" i="13"/>
  <c r="F51" i="13"/>
  <c r="F18" i="13"/>
  <c r="F17" i="13"/>
  <c r="F16" i="13"/>
  <c r="F15" i="13"/>
  <c r="F14" i="13"/>
  <c r="F13" i="13"/>
  <c r="F12" i="13"/>
  <c r="F11" i="13"/>
  <c r="F10" i="13"/>
  <c r="F9" i="13"/>
  <c r="F6" i="13"/>
  <c r="F5" i="13"/>
  <c r="F58" i="12"/>
  <c r="F57" i="12"/>
  <c r="F56" i="12"/>
  <c r="F55" i="12"/>
  <c r="F54" i="12"/>
  <c r="F53" i="12"/>
  <c r="F49" i="12"/>
  <c r="F48" i="12"/>
  <c r="F47" i="12"/>
  <c r="F46" i="12"/>
  <c r="F45" i="12"/>
  <c r="F44" i="12"/>
  <c r="F43" i="12"/>
  <c r="F15" i="12"/>
  <c r="F14" i="12"/>
  <c r="F13" i="12"/>
  <c r="F12" i="12"/>
  <c r="F11" i="12"/>
  <c r="F10" i="12"/>
  <c r="F9" i="12"/>
  <c r="F6" i="12"/>
  <c r="F5" i="12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6" i="14"/>
  <c r="B6" i="14"/>
  <c r="B5" i="14"/>
  <c r="H58" i="13"/>
  <c r="G58" i="13"/>
  <c r="H57" i="13"/>
  <c r="G57" i="13"/>
  <c r="H56" i="13"/>
  <c r="G56" i="13"/>
  <c r="H54" i="13"/>
  <c r="G54" i="13"/>
  <c r="H53" i="13"/>
  <c r="G53" i="13"/>
  <c r="H52" i="13"/>
  <c r="G52" i="13"/>
  <c r="H51" i="13"/>
  <c r="G51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6" i="13"/>
  <c r="B6" i="13"/>
  <c r="B5" i="13"/>
  <c r="H58" i="12"/>
  <c r="G58" i="12"/>
  <c r="H57" i="12"/>
  <c r="G57" i="12"/>
  <c r="H56" i="12"/>
  <c r="G56" i="12"/>
  <c r="H55" i="12"/>
  <c r="G55" i="12"/>
  <c r="H54" i="12"/>
  <c r="G54" i="12"/>
  <c r="H53" i="12"/>
  <c r="G53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6" i="12"/>
  <c r="B6" i="12"/>
  <c r="B5" i="12"/>
  <c r="H47" i="11" l="1"/>
  <c r="J49" i="11"/>
  <c r="H34" i="11"/>
  <c r="H43" i="11"/>
  <c r="J45" i="11"/>
  <c r="J32" i="11"/>
  <c r="H35" i="11"/>
  <c r="J37" i="11"/>
  <c r="J29" i="11"/>
  <c r="H39" i="11"/>
  <c r="H31" i="11"/>
  <c r="H51" i="11"/>
  <c r="J48" i="11"/>
  <c r="J40" i="11"/>
  <c r="H33" i="11"/>
  <c r="H41" i="11"/>
  <c r="H49" i="11"/>
  <c r="J30" i="11"/>
  <c r="J38" i="11"/>
  <c r="J42" i="11"/>
  <c r="J46" i="11"/>
  <c r="J50" i="11"/>
  <c r="J54" i="11"/>
  <c r="J33" i="11"/>
  <c r="J41" i="11"/>
  <c r="K31" i="11"/>
  <c r="J31" i="11" s="1"/>
  <c r="K39" i="11"/>
  <c r="J39" i="11" s="1"/>
  <c r="K47" i="11"/>
  <c r="J47" i="11" s="1"/>
  <c r="J53" i="11"/>
  <c r="H32" i="11"/>
  <c r="H40" i="11"/>
  <c r="H48" i="11"/>
  <c r="J28" i="11"/>
  <c r="J36" i="11"/>
  <c r="J44" i="11"/>
  <c r="J52" i="11"/>
  <c r="H50" i="11"/>
  <c r="H28" i="11"/>
  <c r="H36" i="11"/>
  <c r="H44" i="11"/>
  <c r="H52" i="11"/>
  <c r="H29" i="11"/>
  <c r="H37" i="11"/>
  <c r="H45" i="11"/>
  <c r="H53" i="11"/>
  <c r="H42" i="11"/>
  <c r="H30" i="11"/>
  <c r="M34" i="11"/>
  <c r="J34" i="11" s="1"/>
  <c r="L35" i="11"/>
  <c r="J35" i="11" s="1"/>
  <c r="H38" i="11"/>
  <c r="H46" i="11"/>
  <c r="L51" i="11"/>
  <c r="J51" i="11" s="1"/>
  <c r="H54" i="11"/>
  <c r="L43" i="11"/>
  <c r="J43" i="11" s="1"/>
  <c r="J43" i="10"/>
  <c r="H44" i="10"/>
  <c r="H50" i="10"/>
  <c r="J54" i="10"/>
  <c r="J44" i="10"/>
  <c r="J53" i="10"/>
  <c r="J51" i="10"/>
  <c r="J52" i="10"/>
  <c r="J50" i="10"/>
  <c r="H34" i="10"/>
  <c r="J42" i="10"/>
  <c r="H51" i="10"/>
  <c r="J40" i="10"/>
  <c r="H46" i="10"/>
  <c r="J48" i="10"/>
  <c r="H52" i="10"/>
  <c r="H53" i="10"/>
  <c r="H43" i="10"/>
  <c r="H54" i="10"/>
  <c r="J35" i="10"/>
  <c r="H42" i="10"/>
  <c r="H45" i="10"/>
  <c r="J39" i="10"/>
  <c r="J47" i="10"/>
  <c r="J41" i="10"/>
  <c r="J49" i="10"/>
  <c r="J33" i="10"/>
  <c r="H36" i="10"/>
  <c r="H39" i="10"/>
  <c r="J32" i="10"/>
  <c r="H40" i="10"/>
  <c r="H48" i="10"/>
  <c r="H35" i="10"/>
  <c r="H47" i="10"/>
  <c r="K34" i="10"/>
  <c r="J34" i="10" s="1"/>
  <c r="H41" i="10"/>
  <c r="M45" i="10"/>
  <c r="J45" i="10" s="1"/>
  <c r="L46" i="10"/>
  <c r="J46" i="10" s="1"/>
  <c r="H49" i="10"/>
  <c r="H33" i="10"/>
  <c r="J29" i="10"/>
  <c r="J30" i="10"/>
  <c r="J37" i="10"/>
  <c r="J28" i="10"/>
  <c r="J38" i="10"/>
  <c r="J36" i="10"/>
  <c r="J31" i="10"/>
  <c r="H28" i="10"/>
  <c r="H29" i="10"/>
  <c r="H37" i="10"/>
  <c r="H38" i="10"/>
  <c r="H30" i="10"/>
  <c r="H31" i="10"/>
  <c r="H32" i="10"/>
  <c r="I55" i="11"/>
  <c r="G55" i="11"/>
  <c r="M55" i="11" s="1"/>
  <c r="F55" i="11"/>
  <c r="L55" i="11" s="1"/>
  <c r="E55" i="11"/>
  <c r="K55" i="11" s="1"/>
  <c r="I27" i="11"/>
  <c r="G27" i="11"/>
  <c r="M27" i="11" s="1"/>
  <c r="F27" i="11"/>
  <c r="L27" i="11" s="1"/>
  <c r="E27" i="11"/>
  <c r="K27" i="11" s="1"/>
  <c r="I26" i="11"/>
  <c r="G26" i="11"/>
  <c r="M26" i="11" s="1"/>
  <c r="F26" i="11"/>
  <c r="L26" i="11" s="1"/>
  <c r="E26" i="11"/>
  <c r="K26" i="11" s="1"/>
  <c r="I25" i="11"/>
  <c r="G25" i="11"/>
  <c r="M25" i="11" s="1"/>
  <c r="F25" i="11"/>
  <c r="L25" i="11" s="1"/>
  <c r="E25" i="11"/>
  <c r="K25" i="11" s="1"/>
  <c r="I24" i="11"/>
  <c r="G24" i="11"/>
  <c r="M24" i="11" s="1"/>
  <c r="F24" i="11"/>
  <c r="L24" i="11" s="1"/>
  <c r="E24" i="11"/>
  <c r="K24" i="11" s="1"/>
  <c r="I23" i="11"/>
  <c r="G23" i="11"/>
  <c r="M23" i="11" s="1"/>
  <c r="F23" i="11"/>
  <c r="L23" i="11" s="1"/>
  <c r="E23" i="11"/>
  <c r="K23" i="11" s="1"/>
  <c r="I22" i="11"/>
  <c r="G22" i="11"/>
  <c r="M22" i="11" s="1"/>
  <c r="F22" i="11"/>
  <c r="L22" i="11" s="1"/>
  <c r="E22" i="11"/>
  <c r="K22" i="11" s="1"/>
  <c r="I21" i="11"/>
  <c r="G21" i="11"/>
  <c r="M21" i="11" s="1"/>
  <c r="F21" i="11"/>
  <c r="L21" i="11" s="1"/>
  <c r="E21" i="11"/>
  <c r="K21" i="11" s="1"/>
  <c r="I20" i="11"/>
  <c r="G20" i="11"/>
  <c r="M20" i="11" s="1"/>
  <c r="F20" i="11"/>
  <c r="L20" i="11" s="1"/>
  <c r="E20" i="11"/>
  <c r="K20" i="11" s="1"/>
  <c r="I19" i="11"/>
  <c r="G19" i="11"/>
  <c r="M19" i="11" s="1"/>
  <c r="F19" i="11"/>
  <c r="L19" i="11" s="1"/>
  <c r="E19" i="11"/>
  <c r="K19" i="11" s="1"/>
  <c r="I18" i="11"/>
  <c r="G18" i="11"/>
  <c r="F18" i="11"/>
  <c r="L18" i="11" s="1"/>
  <c r="E18" i="11"/>
  <c r="K18" i="11" s="1"/>
  <c r="I17" i="11"/>
  <c r="G17" i="11"/>
  <c r="M17" i="11" s="1"/>
  <c r="F17" i="11"/>
  <c r="E17" i="11"/>
  <c r="K17" i="11" s="1"/>
  <c r="I16" i="11"/>
  <c r="G16" i="11"/>
  <c r="M16" i="11" s="1"/>
  <c r="F16" i="11"/>
  <c r="L16" i="11" s="1"/>
  <c r="E16" i="11"/>
  <c r="K16" i="11" s="1"/>
  <c r="I15" i="11"/>
  <c r="G15" i="11"/>
  <c r="M15" i="11" s="1"/>
  <c r="F15" i="11"/>
  <c r="L15" i="11" s="1"/>
  <c r="E15" i="11"/>
  <c r="K15" i="11" s="1"/>
  <c r="I14" i="11"/>
  <c r="G14" i="11"/>
  <c r="M14" i="11" s="1"/>
  <c r="F14" i="11"/>
  <c r="L14" i="11" s="1"/>
  <c r="E14" i="11"/>
  <c r="K14" i="11" s="1"/>
  <c r="I13" i="11"/>
  <c r="G13" i="11"/>
  <c r="M13" i="11" s="1"/>
  <c r="F13" i="11"/>
  <c r="L13" i="11" s="1"/>
  <c r="E13" i="11"/>
  <c r="K13" i="11" s="1"/>
  <c r="I12" i="11"/>
  <c r="G12" i="11"/>
  <c r="M12" i="11" s="1"/>
  <c r="F12" i="11"/>
  <c r="L12" i="11" s="1"/>
  <c r="E12" i="11"/>
  <c r="K12" i="11" s="1"/>
  <c r="I11" i="11"/>
  <c r="G11" i="11"/>
  <c r="M11" i="11" s="1"/>
  <c r="F11" i="11"/>
  <c r="L11" i="11" s="1"/>
  <c r="E11" i="11"/>
  <c r="K11" i="11" s="1"/>
  <c r="K10" i="11"/>
  <c r="I10" i="11"/>
  <c r="G10" i="11"/>
  <c r="M10" i="11" s="1"/>
  <c r="F10" i="11"/>
  <c r="L10" i="11" s="1"/>
  <c r="E10" i="11"/>
  <c r="I9" i="11"/>
  <c r="G9" i="11"/>
  <c r="M9" i="11" s="1"/>
  <c r="F9" i="11"/>
  <c r="E9" i="11"/>
  <c r="K9" i="11" s="1"/>
  <c r="I8" i="11"/>
  <c r="G8" i="11"/>
  <c r="M8" i="11" s="1"/>
  <c r="F8" i="11"/>
  <c r="L8" i="11" s="1"/>
  <c r="E8" i="11"/>
  <c r="K8" i="11" s="1"/>
  <c r="I7" i="11"/>
  <c r="G7" i="11"/>
  <c r="M7" i="11" s="1"/>
  <c r="F7" i="11"/>
  <c r="L7" i="11" s="1"/>
  <c r="E7" i="11"/>
  <c r="K7" i="11" s="1"/>
  <c r="I6" i="11"/>
  <c r="D6" i="11"/>
  <c r="G6" i="11" s="1"/>
  <c r="M6" i="11" s="1"/>
  <c r="I5" i="11"/>
  <c r="D5" i="11"/>
  <c r="D56" i="11" s="1"/>
  <c r="I55" i="10"/>
  <c r="G55" i="10"/>
  <c r="M55" i="10" s="1"/>
  <c r="F55" i="10"/>
  <c r="E55" i="10"/>
  <c r="K55" i="10" s="1"/>
  <c r="I27" i="10"/>
  <c r="G27" i="10"/>
  <c r="M27" i="10" s="1"/>
  <c r="F27" i="10"/>
  <c r="L27" i="10" s="1"/>
  <c r="E27" i="10"/>
  <c r="K27" i="10" s="1"/>
  <c r="I26" i="10"/>
  <c r="G26" i="10"/>
  <c r="M26" i="10" s="1"/>
  <c r="F26" i="10"/>
  <c r="L26" i="10" s="1"/>
  <c r="E26" i="10"/>
  <c r="K26" i="10" s="1"/>
  <c r="I25" i="10"/>
  <c r="G25" i="10"/>
  <c r="M25" i="10" s="1"/>
  <c r="F25" i="10"/>
  <c r="L25" i="10" s="1"/>
  <c r="E25" i="10"/>
  <c r="K25" i="10" s="1"/>
  <c r="I24" i="10"/>
  <c r="G24" i="10"/>
  <c r="M24" i="10" s="1"/>
  <c r="F24" i="10"/>
  <c r="L24" i="10" s="1"/>
  <c r="E24" i="10"/>
  <c r="K24" i="10" s="1"/>
  <c r="I23" i="10"/>
  <c r="G23" i="10"/>
  <c r="M23" i="10" s="1"/>
  <c r="F23" i="10"/>
  <c r="L23" i="10" s="1"/>
  <c r="E23" i="10"/>
  <c r="K23" i="10" s="1"/>
  <c r="I22" i="10"/>
  <c r="G22" i="10"/>
  <c r="M22" i="10" s="1"/>
  <c r="F22" i="10"/>
  <c r="L22" i="10" s="1"/>
  <c r="E22" i="10"/>
  <c r="K22" i="10" s="1"/>
  <c r="I21" i="10"/>
  <c r="G21" i="10"/>
  <c r="M21" i="10" s="1"/>
  <c r="F21" i="10"/>
  <c r="L21" i="10" s="1"/>
  <c r="E21" i="10"/>
  <c r="I20" i="10"/>
  <c r="G20" i="10"/>
  <c r="M20" i="10" s="1"/>
  <c r="F20" i="10"/>
  <c r="E20" i="10"/>
  <c r="K20" i="10" s="1"/>
  <c r="I19" i="10"/>
  <c r="G19" i="10"/>
  <c r="M19" i="10" s="1"/>
  <c r="F19" i="10"/>
  <c r="L19" i="10" s="1"/>
  <c r="E19" i="10"/>
  <c r="K19" i="10" s="1"/>
  <c r="I18" i="10"/>
  <c r="G18" i="10"/>
  <c r="M18" i="10" s="1"/>
  <c r="F18" i="10"/>
  <c r="L18" i="10" s="1"/>
  <c r="E18" i="10"/>
  <c r="K18" i="10" s="1"/>
  <c r="I17" i="10"/>
  <c r="G17" i="10"/>
  <c r="M17" i="10" s="1"/>
  <c r="F17" i="10"/>
  <c r="L17" i="10" s="1"/>
  <c r="E17" i="10"/>
  <c r="K17" i="10" s="1"/>
  <c r="I16" i="10"/>
  <c r="G16" i="10"/>
  <c r="M16" i="10" s="1"/>
  <c r="F16" i="10"/>
  <c r="L16" i="10" s="1"/>
  <c r="E16" i="10"/>
  <c r="K16" i="10" s="1"/>
  <c r="I15" i="10"/>
  <c r="G15" i="10"/>
  <c r="M15" i="10" s="1"/>
  <c r="F15" i="10"/>
  <c r="L15" i="10" s="1"/>
  <c r="E15" i="10"/>
  <c r="K15" i="10" s="1"/>
  <c r="I14" i="10"/>
  <c r="G14" i="10"/>
  <c r="M14" i="10" s="1"/>
  <c r="F14" i="10"/>
  <c r="L14" i="10" s="1"/>
  <c r="E14" i="10"/>
  <c r="K14" i="10" s="1"/>
  <c r="I13" i="10"/>
  <c r="G13" i="10"/>
  <c r="M13" i="10" s="1"/>
  <c r="F13" i="10"/>
  <c r="L13" i="10" s="1"/>
  <c r="E13" i="10"/>
  <c r="I12" i="10"/>
  <c r="G12" i="10"/>
  <c r="M12" i="10" s="1"/>
  <c r="F12" i="10"/>
  <c r="E12" i="10"/>
  <c r="K12" i="10" s="1"/>
  <c r="I11" i="10"/>
  <c r="G11" i="10"/>
  <c r="M11" i="10" s="1"/>
  <c r="F11" i="10"/>
  <c r="L11" i="10" s="1"/>
  <c r="E11" i="10"/>
  <c r="K11" i="10" s="1"/>
  <c r="I10" i="10"/>
  <c r="G10" i="10"/>
  <c r="M10" i="10" s="1"/>
  <c r="F10" i="10"/>
  <c r="L10" i="10" s="1"/>
  <c r="E10" i="10"/>
  <c r="K10" i="10" s="1"/>
  <c r="I9" i="10"/>
  <c r="G9" i="10"/>
  <c r="M9" i="10" s="1"/>
  <c r="F9" i="10"/>
  <c r="L9" i="10" s="1"/>
  <c r="E9" i="10"/>
  <c r="K9" i="10" s="1"/>
  <c r="I8" i="10"/>
  <c r="G8" i="10"/>
  <c r="M8" i="10" s="1"/>
  <c r="F8" i="10"/>
  <c r="L8" i="10" s="1"/>
  <c r="E8" i="10"/>
  <c r="K8" i="10" s="1"/>
  <c r="I7" i="10"/>
  <c r="G7" i="10"/>
  <c r="M7" i="10" s="1"/>
  <c r="F7" i="10"/>
  <c r="L7" i="10" s="1"/>
  <c r="E7" i="10"/>
  <c r="K7" i="10" s="1"/>
  <c r="I6" i="10"/>
  <c r="D6" i="10"/>
  <c r="G6" i="10" s="1"/>
  <c r="M6" i="10" s="1"/>
  <c r="I5" i="10"/>
  <c r="D5" i="10"/>
  <c r="F5" i="10" s="1"/>
  <c r="L5" i="10" s="1"/>
  <c r="H9" i="11" l="1"/>
  <c r="G5" i="11"/>
  <c r="M5" i="11" s="1"/>
  <c r="E6" i="11"/>
  <c r="K6" i="11" s="1"/>
  <c r="J6" i="11" s="1"/>
  <c r="F6" i="11"/>
  <c r="L6" i="11" s="1"/>
  <c r="J12" i="11"/>
  <c r="H17" i="11"/>
  <c r="J25" i="11"/>
  <c r="H26" i="11"/>
  <c r="L17" i="11"/>
  <c r="J17" i="11" s="1"/>
  <c r="H25" i="11"/>
  <c r="H27" i="11"/>
  <c r="H11" i="11"/>
  <c r="H19" i="11"/>
  <c r="J20" i="11"/>
  <c r="J22" i="11"/>
  <c r="L9" i="11"/>
  <c r="J9" i="11" s="1"/>
  <c r="H10" i="11"/>
  <c r="J24" i="11"/>
  <c r="J21" i="11"/>
  <c r="J23" i="11"/>
  <c r="J55" i="11"/>
  <c r="J7" i="11"/>
  <c r="J16" i="11"/>
  <c r="H18" i="11"/>
  <c r="J8" i="11"/>
  <c r="H12" i="10"/>
  <c r="H21" i="10"/>
  <c r="J10" i="10"/>
  <c r="H13" i="10"/>
  <c r="H14" i="10"/>
  <c r="J25" i="10"/>
  <c r="H55" i="10"/>
  <c r="J27" i="10"/>
  <c r="J7" i="10"/>
  <c r="J14" i="10"/>
  <c r="J18" i="10"/>
  <c r="H22" i="10"/>
  <c r="J26" i="10"/>
  <c r="L55" i="10"/>
  <c r="J55" i="10" s="1"/>
  <c r="J11" i="10"/>
  <c r="H20" i="10"/>
  <c r="J13" i="11"/>
  <c r="J15" i="11"/>
  <c r="J8" i="10"/>
  <c r="J27" i="11"/>
  <c r="J9" i="10"/>
  <c r="J15" i="10"/>
  <c r="J22" i="10"/>
  <c r="J11" i="11"/>
  <c r="J26" i="11"/>
  <c r="J16" i="10"/>
  <c r="J10" i="11"/>
  <c r="J14" i="11"/>
  <c r="J17" i="10"/>
  <c r="J23" i="10"/>
  <c r="J19" i="10"/>
  <c r="J24" i="10"/>
  <c r="J19" i="11"/>
  <c r="H7" i="10"/>
  <c r="L12" i="10"/>
  <c r="J12" i="10" s="1"/>
  <c r="K13" i="10"/>
  <c r="J13" i="10" s="1"/>
  <c r="H15" i="10"/>
  <c r="L20" i="10"/>
  <c r="J20" i="10" s="1"/>
  <c r="K21" i="10"/>
  <c r="J21" i="10" s="1"/>
  <c r="H23" i="10"/>
  <c r="H12" i="11"/>
  <c r="H20" i="11"/>
  <c r="H55" i="11"/>
  <c r="H16" i="10"/>
  <c r="H24" i="10"/>
  <c r="H13" i="11"/>
  <c r="H21" i="11"/>
  <c r="H8" i="10"/>
  <c r="E5" i="10"/>
  <c r="H9" i="10"/>
  <c r="H17" i="10"/>
  <c r="H25" i="10"/>
  <c r="H6" i="11"/>
  <c r="H14" i="11"/>
  <c r="M18" i="11"/>
  <c r="J18" i="11" s="1"/>
  <c r="H22" i="11"/>
  <c r="H10" i="10"/>
  <c r="H18" i="10"/>
  <c r="H26" i="10"/>
  <c r="D56" i="10"/>
  <c r="H7" i="11"/>
  <c r="H15" i="11"/>
  <c r="H23" i="11"/>
  <c r="G5" i="10"/>
  <c r="M5" i="10" s="1"/>
  <c r="E6" i="10"/>
  <c r="H11" i="10"/>
  <c r="H19" i="10"/>
  <c r="H27" i="10"/>
  <c r="H8" i="11"/>
  <c r="H16" i="11"/>
  <c r="H24" i="11"/>
  <c r="F6" i="10"/>
  <c r="L6" i="10" s="1"/>
  <c r="E5" i="11"/>
  <c r="F5" i="11"/>
  <c r="L5" i="11" s="1"/>
  <c r="K5" i="11" l="1"/>
  <c r="J5" i="11" s="1"/>
  <c r="H5" i="11"/>
  <c r="K6" i="10"/>
  <c r="J6" i="10" s="1"/>
  <c r="H6" i="10"/>
  <c r="H5" i="10"/>
  <c r="K5" i="10"/>
  <c r="J5" i="10" s="1"/>
</calcChain>
</file>

<file path=xl/sharedStrings.xml><?xml version="1.0" encoding="utf-8"?>
<sst xmlns="http://schemas.openxmlformats.org/spreadsheetml/2006/main" count="64" uniqueCount="31">
  <si>
    <t>常食</t>
  </si>
  <si>
    <t>1人</t>
  </si>
  <si>
    <t>注文数</t>
  </si>
  <si>
    <t>かつこんみ</t>
  </si>
  <si>
    <t>味噌</t>
  </si>
  <si>
    <t>水</t>
  </si>
  <si>
    <t>合計</t>
  </si>
  <si>
    <t>味噌汁　常食</t>
  </si>
  <si>
    <t>味噌汁　薄味</t>
  </si>
  <si>
    <t>人</t>
  </si>
  <si>
    <t>人（針刺し用）</t>
  </si>
  <si>
    <t>袋数</t>
  </si>
  <si>
    <t>ソフト食</t>
  </si>
  <si>
    <t>ミキサー食</t>
  </si>
  <si>
    <t>ゼリー食</t>
  </si>
  <si>
    <t>人（保存用）</t>
    <rPh sb="2" eb="4">
      <t xml:space="preserve">ホゾｎ </t>
    </rPh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</si>
  <si>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</si>
  <si>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</si>
  <si>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注文</t>
    <rPh sb="0" eb="2">
      <t>チュウモン</t>
    </rPh>
    <phoneticPr fontId="3"/>
  </si>
  <si>
    <t>袋数</t>
    <rPh sb="0" eb="1">
      <t>フクロ</t>
    </rPh>
    <rPh sb="1" eb="2">
      <t>スウ</t>
    </rPh>
    <phoneticPr fontId="3"/>
  </si>
  <si>
    <t>かつこんみ(/袋)</t>
    <rPh sb="7" eb="8">
      <t>フクロ</t>
    </rPh>
    <phoneticPr fontId="3"/>
  </si>
  <si>
    <t>味噌(/袋)</t>
    <phoneticPr fontId="3"/>
  </si>
  <si>
    <t>水(/袋)</t>
    <phoneticPr fontId="3"/>
  </si>
  <si>
    <t>合計(/袋)</t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</si>
  <si>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</si>
  <si>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</si>
  <si>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g</t>
    <phoneticPr fontId="3"/>
  </si>
  <si>
    <t>ソフト合計</t>
    <phoneticPr fontId="3"/>
  </si>
  <si>
    <t>ゼリー合計</t>
    <phoneticPr fontId="3"/>
  </si>
  <si>
    <t>ミキサー合計</t>
    <phoneticPr fontId="3"/>
  </si>
  <si>
    <t>薄味</t>
    <rPh sb="0" eb="2">
      <t>ウスアジ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</si>
</sst>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9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0"/>
      <color theme="1"/>
      <name val="Meiryo"/>
      <family val="2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family val="2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2"/>
      <color theme="1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14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" fontId="8" fillId="0" borderId="7" xfId="0" applyNumberFormat="1" applyFont="1" applyBorder="1" applyAlignment="1">
      <alignment vertical="center" shrinkToFit="1"/>
    </xf>
    <xf numFmtId="0" fontId="1" fillId="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1" fillId="4" borderId="42" xfId="0" applyFont="1" applyFill="1" applyBorder="1" applyAlignment="1">
      <alignment horizontal="center" vertical="center" shrinkToFit="1"/>
    </xf>
    <xf numFmtId="1" fontId="1" fillId="4" borderId="42" xfId="0" applyNumberFormat="1" applyFont="1" applyFill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176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" fontId="8" fillId="0" borderId="4" xfId="0" applyNumberFormat="1" applyFont="1" applyBorder="1" applyAlignment="1">
      <alignment horizontal="right" vertical="center" shrinkToFit="1"/>
    </xf>
    <xf numFmtId="1" fontId="8" fillId="0" borderId="8" xfId="0" applyNumberFormat="1" applyFont="1" applyBorder="1" applyAlignment="1">
      <alignment vertical="center" shrinkToFit="1"/>
    </xf>
    <xf numFmtId="1" fontId="8" fillId="0" borderId="8" xfId="0" applyNumberFormat="1" applyFont="1" applyBorder="1" applyAlignment="1">
      <alignment horizontal="right" vertical="center" shrinkToFit="1"/>
    </xf>
    <xf numFmtId="1" fontId="8" fillId="0" borderId="7" xfId="0" applyNumberFormat="1" applyFont="1" applyBorder="1" applyAlignment="1">
      <alignment horizontal="right" vertical="center" shrinkToFit="1"/>
    </xf>
    <xf numFmtId="1" fontId="8" fillId="0" borderId="5" xfId="0" applyNumberFormat="1" applyFont="1" applyBorder="1" applyAlignment="1">
      <alignment horizontal="right" vertical="center" shrinkToFit="1"/>
    </xf>
    <xf numFmtId="1" fontId="1" fillId="0" borderId="0" xfId="0" applyNumberFormat="1" applyFont="1" applyAlignment="1">
      <alignment vertical="center" shrinkToFit="1"/>
    </xf>
    <xf numFmtId="1" fontId="5" fillId="0" borderId="0" xfId="0" applyNumberFormat="1" applyFont="1" applyAlignment="1">
      <alignment vertical="center" shrinkToFit="1"/>
    </xf>
    <xf numFmtId="176" fontId="1" fillId="0" borderId="13" xfId="0" applyNumberFormat="1" applyFont="1" applyBorder="1" applyAlignment="1">
      <alignment vertical="center" shrinkToFit="1"/>
    </xf>
    <xf numFmtId="0" fontId="1" fillId="0" borderId="13" xfId="0" applyFont="1" applyBorder="1" applyAlignment="1">
      <alignment vertical="center" shrinkToFit="1"/>
    </xf>
    <xf numFmtId="1" fontId="1" fillId="5" borderId="42" xfId="0" applyNumberFormat="1" applyFont="1" applyFill="1" applyBorder="1" applyAlignment="1">
      <alignment horizontal="center" vertical="center" shrinkToFit="1"/>
    </xf>
    <xf numFmtId="0" fontId="1" fillId="5" borderId="42" xfId="0" applyFont="1" applyFill="1" applyBorder="1" applyAlignment="1">
      <alignment horizontal="center" vertical="center" shrinkToFit="1"/>
    </xf>
    <xf numFmtId="1" fontId="8" fillId="0" borderId="4" xfId="0" applyNumberFormat="1" applyFont="1" applyBorder="1" applyAlignment="1">
      <alignment vertical="center" shrinkToFit="1"/>
    </xf>
    <xf numFmtId="1" fontId="8" fillId="0" borderId="5" xfId="0" applyNumberFormat="1" applyFont="1" applyBorder="1" applyAlignment="1">
      <alignment vertical="center" shrinkToFit="1"/>
    </xf>
    <xf numFmtId="0" fontId="1" fillId="0" borderId="4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2" borderId="60" xfId="0" applyFont="1" applyFill="1" applyBorder="1" applyAlignment="1">
      <alignment horizontal="center" vertical="center" shrinkToFit="1"/>
    </xf>
    <xf numFmtId="0" fontId="2" fillId="0" borderId="61" xfId="0" applyFont="1" applyBorder="1" applyAlignment="1">
      <alignment horizontal="center" vertical="center" shrinkToFit="1"/>
    </xf>
    <xf numFmtId="0" fontId="0" fillId="0" borderId="62" xfId="0" applyBorder="1"/>
    <xf numFmtId="1" fontId="4" fillId="0" borderId="60" xfId="0" applyNumberFormat="1" applyFont="1" applyBorder="1" applyAlignment="1">
      <alignment vertical="center" shrinkToFit="1"/>
    </xf>
    <xf numFmtId="1" fontId="4" fillId="0" borderId="61" xfId="0" applyNumberFormat="1" applyFont="1" applyBorder="1" applyAlignment="1">
      <alignment vertical="center" shrinkToFit="1"/>
    </xf>
    <xf numFmtId="1" fontId="4" fillId="0" borderId="63" xfId="0" applyNumberFormat="1" applyFont="1" applyBorder="1" applyAlignment="1">
      <alignment vertical="center" shrinkToFit="1"/>
    </xf>
    <xf numFmtId="0" fontId="4" fillId="0" borderId="5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76" fontId="12" fillId="0" borderId="20" xfId="0" applyNumberFormat="1" applyFont="1" applyBorder="1" applyAlignment="1">
      <alignment horizontal="right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10" fillId="2" borderId="60" xfId="0" applyFont="1" applyFill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 shrinkToFit="1"/>
    </xf>
    <xf numFmtId="0" fontId="14" fillId="4" borderId="42" xfId="0" applyFont="1" applyFill="1" applyBorder="1" applyAlignment="1">
      <alignment horizontal="center" vertical="center" shrinkToFit="1"/>
    </xf>
    <xf numFmtId="1" fontId="14" fillId="4" borderId="41" xfId="0" applyNumberFormat="1" applyFont="1" applyFill="1" applyBorder="1" applyAlignment="1">
      <alignment horizontal="center" vertical="center" shrinkToFit="1"/>
    </xf>
    <xf numFmtId="1" fontId="14" fillId="4" borderId="42" xfId="0" applyNumberFormat="1" applyFont="1" applyFill="1" applyBorder="1" applyAlignment="1">
      <alignment horizontal="center" vertical="center" shrinkToFit="1"/>
    </xf>
    <xf numFmtId="0" fontId="14" fillId="4" borderId="43" xfId="0" applyFont="1" applyFill="1" applyBorder="1" applyAlignment="1">
      <alignment horizontal="center" vertical="center" shrinkToFit="1"/>
    </xf>
    <xf numFmtId="0" fontId="15" fillId="3" borderId="41" xfId="0" applyFont="1" applyFill="1" applyBorder="1" applyAlignment="1">
      <alignment horizontal="center" vertical="center" shrinkToFit="1"/>
    </xf>
    <xf numFmtId="0" fontId="14" fillId="3" borderId="42" xfId="0" applyFont="1" applyFill="1" applyBorder="1" applyAlignment="1">
      <alignment horizontal="center" vertical="center" shrinkToFit="1"/>
    </xf>
    <xf numFmtId="1" fontId="14" fillId="3" borderId="41" xfId="0" applyNumberFormat="1" applyFont="1" applyFill="1" applyBorder="1" applyAlignment="1">
      <alignment horizontal="center" vertical="center" shrinkToFit="1"/>
    </xf>
    <xf numFmtId="1" fontId="14" fillId="3" borderId="42" xfId="0" applyNumberFormat="1" applyFont="1" applyFill="1" applyBorder="1" applyAlignment="1">
      <alignment horizontal="center" vertical="center" shrinkToFit="1"/>
    </xf>
    <xf numFmtId="1" fontId="14" fillId="5" borderId="42" xfId="0" applyNumberFormat="1" applyFont="1" applyFill="1" applyBorder="1" applyAlignment="1">
      <alignment horizontal="center" vertical="center" shrinkToFit="1"/>
    </xf>
    <xf numFmtId="0" fontId="14" fillId="5" borderId="43" xfId="0" applyFont="1" applyFill="1" applyBorder="1" applyAlignment="1">
      <alignment horizontal="center" vertical="center" shrinkToFit="1"/>
    </xf>
    <xf numFmtId="0" fontId="15" fillId="0" borderId="18" xfId="0" applyFont="1" applyBorder="1" applyAlignment="1">
      <alignment horizontal="right" vertical="center" shrinkToFit="1"/>
    </xf>
    <xf numFmtId="0" fontId="15" fillId="0" borderId="19" xfId="0" applyFont="1" applyBorder="1" applyAlignment="1">
      <alignment horizontal="left" vertical="center" shrinkToFit="1"/>
    </xf>
    <xf numFmtId="0" fontId="14" fillId="0" borderId="7" xfId="0" applyFont="1" applyBorder="1" applyAlignment="1">
      <alignment vertical="center" shrinkToFit="1"/>
    </xf>
    <xf numFmtId="1" fontId="16" fillId="0" borderId="1" xfId="0" applyNumberFormat="1" applyFont="1" applyBorder="1" applyAlignment="1">
      <alignment vertical="center" shrinkToFit="1"/>
    </xf>
    <xf numFmtId="0" fontId="14" fillId="0" borderId="46" xfId="0" applyFont="1" applyBorder="1" applyAlignment="1">
      <alignment horizontal="right" vertical="center" shrinkToFit="1"/>
    </xf>
    <xf numFmtId="0" fontId="14" fillId="0" borderId="47" xfId="0" applyFont="1" applyBorder="1" applyAlignment="1">
      <alignment horizontal="left" vertical="center" shrinkToFit="1"/>
    </xf>
    <xf numFmtId="0" fontId="14" fillId="0" borderId="48" xfId="0" applyFont="1" applyBorder="1" applyAlignment="1">
      <alignment vertical="center" shrinkToFit="1"/>
    </xf>
    <xf numFmtId="1" fontId="16" fillId="0" borderId="45" xfId="0" applyNumberFormat="1" applyFont="1" applyBorder="1" applyAlignment="1">
      <alignment vertical="center" shrinkToFit="1"/>
    </xf>
    <xf numFmtId="0" fontId="14" fillId="0" borderId="14" xfId="0" applyFont="1" applyBorder="1" applyAlignment="1">
      <alignment horizontal="right" vertical="center" shrinkToFit="1"/>
    </xf>
    <xf numFmtId="0" fontId="14" fillId="0" borderId="11" xfId="0" applyFont="1" applyBorder="1" applyAlignment="1">
      <alignment horizontal="left" vertical="center" shrinkToFit="1"/>
    </xf>
    <xf numFmtId="0" fontId="14" fillId="0" borderId="8" xfId="0" applyFont="1" applyBorder="1" applyAlignment="1">
      <alignment vertical="center" shrinkToFit="1"/>
    </xf>
    <xf numFmtId="1" fontId="16" fillId="0" borderId="9" xfId="0" applyNumberFormat="1" applyFont="1" applyBorder="1" applyAlignment="1">
      <alignment vertical="center" shrinkToFit="1"/>
    </xf>
    <xf numFmtId="0" fontId="14" fillId="0" borderId="16" xfId="0" applyFont="1" applyBorder="1" applyAlignment="1">
      <alignment vertical="center" shrinkToFit="1"/>
    </xf>
    <xf numFmtId="0" fontId="14" fillId="0" borderId="3" xfId="0" applyFont="1" applyBorder="1" applyAlignment="1">
      <alignment vertical="center" shrinkToFit="1"/>
    </xf>
    <xf numFmtId="0" fontId="14" fillId="0" borderId="4" xfId="0" applyFont="1" applyBorder="1" applyAlignment="1">
      <alignment vertical="center" shrinkToFit="1"/>
    </xf>
    <xf numFmtId="0" fontId="14" fillId="0" borderId="17" xfId="0" applyFont="1" applyBorder="1" applyAlignment="1">
      <alignment vertical="center" shrinkToFit="1"/>
    </xf>
    <xf numFmtId="0" fontId="14" fillId="0" borderId="12" xfId="0" applyFont="1" applyBorder="1" applyAlignment="1">
      <alignment vertical="center" shrinkToFit="1"/>
    </xf>
    <xf numFmtId="0" fontId="14" fillId="0" borderId="5" xfId="0" applyFont="1" applyBorder="1" applyAlignment="1">
      <alignment vertical="center" shrinkToFit="1"/>
    </xf>
    <xf numFmtId="1" fontId="16" fillId="0" borderId="10" xfId="0" applyNumberFormat="1" applyFont="1" applyBorder="1" applyAlignment="1">
      <alignment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7" fillId="0" borderId="26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4" fillId="0" borderId="36" xfId="0" applyFont="1" applyBorder="1" applyAlignment="1">
      <alignment vertical="center" shrinkToFit="1"/>
    </xf>
    <xf numFmtId="2" fontId="14" fillId="0" borderId="29" xfId="0" applyNumberFormat="1" applyFont="1" applyBorder="1" applyAlignment="1">
      <alignment vertical="center" shrinkToFit="1"/>
    </xf>
    <xf numFmtId="2" fontId="14" fillId="0" borderId="24" xfId="0" applyNumberFormat="1" applyFont="1" applyBorder="1" applyAlignment="1">
      <alignment vertical="center" shrinkToFit="1"/>
    </xf>
    <xf numFmtId="1" fontId="14" fillId="0" borderId="24" xfId="0" applyNumberFormat="1" applyFont="1" applyBorder="1" applyAlignment="1">
      <alignment vertical="center" shrinkToFit="1"/>
    </xf>
    <xf numFmtId="1" fontId="14" fillId="0" borderId="25" xfId="0" applyNumberFormat="1" applyFont="1" applyBorder="1" applyAlignment="1">
      <alignment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51" xfId="0" applyFont="1" applyBorder="1" applyAlignment="1">
      <alignment vertical="center" shrinkToFit="1"/>
    </xf>
    <xf numFmtId="1" fontId="14" fillId="0" borderId="3" xfId="0" applyNumberFormat="1" applyFont="1" applyBorder="1" applyAlignment="1">
      <alignment horizontal="right" vertical="center" shrinkToFit="1"/>
    </xf>
    <xf numFmtId="1" fontId="14" fillId="0" borderId="4" xfId="0" applyNumberFormat="1" applyFont="1" applyBorder="1" applyAlignment="1">
      <alignment horizontal="right" vertical="center" shrinkToFit="1"/>
    </xf>
    <xf numFmtId="1" fontId="14" fillId="0" borderId="51" xfId="0" applyNumberFormat="1" applyFont="1" applyBorder="1" applyAlignment="1">
      <alignment horizontal="right" vertical="center" shrinkToFit="1"/>
    </xf>
    <xf numFmtId="177" fontId="14" fillId="0" borderId="52" xfId="0" applyNumberFormat="1" applyFont="1" applyBorder="1" applyAlignment="1">
      <alignment horizontal="right" vertical="center" shrinkToFit="1"/>
    </xf>
    <xf numFmtId="0" fontId="14" fillId="0" borderId="26" xfId="0" applyFont="1" applyBorder="1" applyAlignment="1">
      <alignment vertical="center" shrinkToFit="1"/>
    </xf>
    <xf numFmtId="1" fontId="14" fillId="0" borderId="11" xfId="0" applyNumberFormat="1" applyFont="1" applyBorder="1" applyAlignment="1">
      <alignment vertical="center" shrinkToFit="1"/>
    </xf>
    <xf numFmtId="1" fontId="14" fillId="0" borderId="8" xfId="0" applyNumberFormat="1" applyFont="1" applyBorder="1" applyAlignment="1">
      <alignment vertical="center" shrinkToFit="1"/>
    </xf>
    <xf numFmtId="1" fontId="14" fillId="0" borderId="26" xfId="0" applyNumberFormat="1" applyFont="1" applyBorder="1" applyAlignment="1">
      <alignment vertical="center" shrinkToFit="1"/>
    </xf>
    <xf numFmtId="177" fontId="14" fillId="0" borderId="53" xfId="0" applyNumberFormat="1" applyFont="1" applyBorder="1" applyAlignment="1">
      <alignment horizontal="right" vertical="center" shrinkToFit="1"/>
    </xf>
    <xf numFmtId="1" fontId="14" fillId="0" borderId="26" xfId="0" applyNumberFormat="1" applyFont="1" applyBorder="1" applyAlignment="1">
      <alignment horizontal="right" vertical="center" shrinkToFit="1"/>
    </xf>
    <xf numFmtId="0" fontId="14" fillId="0" borderId="34" xfId="0" applyFont="1" applyBorder="1" applyAlignment="1">
      <alignment vertical="center" shrinkToFit="1"/>
    </xf>
    <xf numFmtId="0" fontId="14" fillId="0" borderId="37" xfId="0" applyFont="1" applyBorder="1" applyAlignment="1">
      <alignment vertical="center" shrinkToFit="1"/>
    </xf>
    <xf numFmtId="1" fontId="14" fillId="0" borderId="2" xfId="0" applyNumberFormat="1" applyFont="1" applyBorder="1" applyAlignment="1">
      <alignment vertical="center" shrinkToFit="1"/>
    </xf>
    <xf numFmtId="1" fontId="14" fillId="0" borderId="7" xfId="0" applyNumberFormat="1" applyFont="1" applyBorder="1" applyAlignment="1">
      <alignment vertical="center" shrinkToFit="1"/>
    </xf>
    <xf numFmtId="1" fontId="14" fillId="0" borderId="22" xfId="0" applyNumberFormat="1" applyFont="1" applyBorder="1" applyAlignment="1">
      <alignment vertical="center" shrinkToFit="1"/>
    </xf>
    <xf numFmtId="177" fontId="14" fillId="0" borderId="6" xfId="0" applyNumberFormat="1" applyFont="1" applyBorder="1" applyAlignment="1">
      <alignment horizontal="right" vertical="center" shrinkToFit="1"/>
    </xf>
    <xf numFmtId="1" fontId="14" fillId="0" borderId="22" xfId="0" applyNumberFormat="1" applyFont="1" applyBorder="1" applyAlignment="1">
      <alignment horizontal="right" vertical="center" shrinkToFit="1"/>
    </xf>
    <xf numFmtId="0" fontId="14" fillId="0" borderId="38" xfId="0" applyFont="1" applyBorder="1" applyAlignment="1">
      <alignment vertical="center" shrinkToFit="1"/>
    </xf>
    <xf numFmtId="0" fontId="14" fillId="0" borderId="35" xfId="0" applyFont="1" applyBorder="1" applyAlignment="1">
      <alignment vertical="center" shrinkToFit="1"/>
    </xf>
    <xf numFmtId="0" fontId="14" fillId="0" borderId="39" xfId="0" applyFont="1" applyBorder="1" applyAlignment="1">
      <alignment vertical="center" shrinkToFit="1"/>
    </xf>
    <xf numFmtId="1" fontId="14" fillId="0" borderId="30" xfId="0" applyNumberFormat="1" applyFont="1" applyBorder="1" applyAlignment="1">
      <alignment vertical="center" shrinkToFit="1"/>
    </xf>
    <xf numFmtId="1" fontId="14" fillId="0" borderId="27" xfId="0" applyNumberFormat="1" applyFont="1" applyBorder="1" applyAlignment="1">
      <alignment vertical="center" shrinkToFit="1"/>
    </xf>
    <xf numFmtId="1" fontId="14" fillId="0" borderId="28" xfId="0" applyNumberFormat="1" applyFont="1" applyBorder="1" applyAlignment="1">
      <alignment vertical="center" shrinkToFit="1"/>
    </xf>
    <xf numFmtId="177" fontId="14" fillId="0" borderId="54" xfId="0" applyNumberFormat="1" applyFont="1" applyBorder="1" applyAlignment="1">
      <alignment horizontal="right" vertical="center" shrinkToFit="1"/>
    </xf>
    <xf numFmtId="1" fontId="14" fillId="0" borderId="55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vertical="center" shrinkToFit="1"/>
    </xf>
    <xf numFmtId="0" fontId="14" fillId="0" borderId="56" xfId="0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vertical="center" shrinkToFit="1"/>
    </xf>
    <xf numFmtId="1" fontId="14" fillId="0" borderId="4" xfId="0" applyNumberFormat="1" applyFont="1" applyBorder="1" applyAlignment="1">
      <alignment vertical="center" shrinkToFit="1"/>
    </xf>
    <xf numFmtId="1" fontId="14" fillId="0" borderId="51" xfId="0" applyNumberFormat="1" applyFont="1" applyBorder="1" applyAlignment="1">
      <alignment vertical="center" shrinkToFit="1"/>
    </xf>
    <xf numFmtId="177" fontId="14" fillId="0" borderId="53" xfId="0" applyNumberFormat="1" applyFont="1" applyBorder="1" applyAlignment="1">
      <alignment vertical="center" shrinkToFit="1"/>
    </xf>
    <xf numFmtId="177" fontId="14" fillId="0" borderId="6" xfId="0" applyNumberFormat="1" applyFont="1" applyBorder="1" applyAlignment="1">
      <alignment vertical="center" shrinkToFit="1"/>
    </xf>
    <xf numFmtId="177" fontId="14" fillId="0" borderId="54" xfId="0" applyNumberFormat="1" applyFont="1" applyBorder="1" applyAlignment="1">
      <alignment vertical="center" shrinkToFit="1"/>
    </xf>
    <xf numFmtId="1" fontId="14" fillId="0" borderId="55" xfId="0" applyNumberFormat="1" applyFont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1" fontId="14" fillId="0" borderId="0" xfId="0" applyNumberFormat="1" applyFont="1" applyAlignment="1">
      <alignment vertical="center" shrinkToFit="1"/>
    </xf>
    <xf numFmtId="0" fontId="14" fillId="0" borderId="0" xfId="0" applyFont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18" fillId="0" borderId="49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 shrinkToFit="1"/>
    </xf>
    <xf numFmtId="0" fontId="18" fillId="0" borderId="33" xfId="0" applyFont="1" applyBorder="1" applyAlignment="1">
      <alignment horizontal="center" vertical="center" shrinkToFit="1"/>
    </xf>
    <xf numFmtId="0" fontId="16" fillId="0" borderId="15" xfId="0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9" fillId="0" borderId="13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11" fillId="0" borderId="58" xfId="0" applyFont="1" applyBorder="1" applyAlignment="1">
      <alignment horizontal="center" vertical="center" shrinkToFit="1"/>
    </xf>
    <xf numFmtId="1" fontId="14" fillId="2" borderId="9" xfId="0" applyNumberFormat="1" applyFont="1" applyFill="1" applyBorder="1" applyAlignment="1">
      <alignment horizontal="center" vertical="center" shrinkToFit="1"/>
    </xf>
    <xf numFmtId="1" fontId="14" fillId="2" borderId="32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5" fillId="0" borderId="23" xfId="0" applyFont="1" applyBorder="1" applyAlignment="1">
      <alignment horizontal="left" vertical="center" shrinkToFit="1"/>
    </xf>
    <xf numFmtId="0" fontId="14" fillId="0" borderId="31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7002-DC5A-4A62-9A6C-7B03AFBE8AB4}">
  <sheetPr>
    <pageSetUpPr fitToPage="1"/>
  </sheetPr>
  <dimension ref="B1:Q71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8" ht="48" customHeight="1" thickBot="1">
      <c r="B1" s="137" t="s">
        <v>12</v>
      </c>
      <c r="C1" s="138"/>
      <c r="D1" s="138"/>
      <c r="E1" s="138"/>
      <c r="F1" s="138"/>
      <c r="G1" s="139"/>
      <c r="H1" s="139"/>
    </row>
    <row r="2" spans="2:8" ht="44.1" customHeight="1">
      <c r="B2" s="140"/>
      <c r="C2" s="141"/>
      <c r="D2" s="141"/>
      <c r="E2" s="39"/>
      <c r="F2" s="126"/>
      <c r="G2" s="37"/>
      <c r="H2" s="30"/>
    </row>
    <row r="3" spans="2:8" s="38" customFormat="1" ht="36" customHeight="1" thickBot="1">
      <c r="B3" s="40"/>
      <c r="C3" s="41"/>
      <c r="D3" s="44" t="s">
        <v>2</v>
      </c>
      <c r="E3" s="142" t="s">
        <v>0</v>
      </c>
      <c r="F3" s="143"/>
      <c r="G3" s="43" t="s">
        <v>11</v>
      </c>
      <c r="H3" s="42" t="s">
        <v>6</v>
      </c>
    </row>
    <row r="4" spans="2:8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8" ht="36" customHeight="1">
      <c r="B5" s="61">
        <f>D5</f>
        <v>0</v>
      </c>
      <c r="C5" s="62" t="s">
        <v>10</v>
      </c>
      <c r="D5" s="63"/>
      <c r="E5" s="64"/>
      <c r="F5" s="128" t="str">
        <f>$F$4</f>
        <v>g</v>
      </c>
      <c r="G5" s="77"/>
      <c r="H5" s="33"/>
    </row>
    <row r="6" spans="2:8" ht="36" customHeight="1" thickBot="1">
      <c r="B6" s="65">
        <f>D6</f>
        <v>1</v>
      </c>
      <c r="C6" s="66" t="s">
        <v>16</v>
      </c>
      <c r="D6" s="67">
        <v>1</v>
      </c>
      <c r="E6" s="68"/>
      <c r="F6" s="129" t="str">
        <f>$F$4</f>
        <v>g</v>
      </c>
      <c r="G6" s="78"/>
      <c r="H6" s="34">
        <f>G6*$E$2</f>
        <v>0</v>
      </c>
    </row>
    <row r="7" spans="2:8" ht="36" customHeight="1" thickTop="1">
      <c r="B7" s="135" t="s">
        <v>27</v>
      </c>
      <c r="C7" s="136"/>
      <c r="D7" s="59">
        <f>D5+G6+SUM(D9:D58)</f>
        <v>0</v>
      </c>
      <c r="E7" s="60"/>
      <c r="F7" s="127" t="str">
        <f>$F$4</f>
        <v>g</v>
      </c>
      <c r="G7" s="79"/>
      <c r="H7" s="35"/>
    </row>
    <row r="8" spans="2:8" ht="36" customHeight="1">
      <c r="B8" s="69"/>
      <c r="C8" s="70"/>
      <c r="D8" s="71"/>
      <c r="E8" s="60"/>
      <c r="F8" s="8"/>
      <c r="G8" s="79"/>
      <c r="H8" s="35"/>
    </row>
    <row r="9" spans="2:8" ht="36" customHeight="1">
      <c r="B9" s="69"/>
      <c r="C9" s="70"/>
      <c r="D9" s="71"/>
      <c r="E9" s="60"/>
      <c r="F9" s="130" t="str">
        <f t="shared" ref="F9:F58" si="0">$F$4</f>
        <v>g</v>
      </c>
      <c r="G9" s="79">
        <f t="shared" ref="G9:G58" si="1">ROUNDUP(D9/30,0)</f>
        <v>0</v>
      </c>
      <c r="H9" s="35">
        <f t="shared" ref="H9:H58" si="2">D9*$E$2</f>
        <v>0</v>
      </c>
    </row>
    <row r="10" spans="2:8" ht="36" customHeight="1">
      <c r="B10" s="69"/>
      <c r="C10" s="70"/>
      <c r="D10" s="71"/>
      <c r="E10" s="60"/>
      <c r="F10" s="130" t="str">
        <f t="shared" si="0"/>
        <v>g</v>
      </c>
      <c r="G10" s="79">
        <f t="shared" si="1"/>
        <v>0</v>
      </c>
      <c r="H10" s="35">
        <f t="shared" si="2"/>
        <v>0</v>
      </c>
    </row>
    <row r="11" spans="2:8" ht="36" customHeight="1">
      <c r="B11" s="69"/>
      <c r="C11" s="70"/>
      <c r="D11" s="71"/>
      <c r="E11" s="60"/>
      <c r="F11" s="130" t="str">
        <f t="shared" si="0"/>
        <v>g</v>
      </c>
      <c r="G11" s="79">
        <f t="shared" si="1"/>
        <v>0</v>
      </c>
      <c r="H11" s="35">
        <f t="shared" si="2"/>
        <v>0</v>
      </c>
    </row>
    <row r="12" spans="2:8" ht="36" customHeight="1">
      <c r="B12" s="69"/>
      <c r="C12" s="70"/>
      <c r="D12" s="71"/>
      <c r="E12" s="60"/>
      <c r="F12" s="130" t="str">
        <f t="shared" si="0"/>
        <v>g</v>
      </c>
      <c r="G12" s="79">
        <f t="shared" si="1"/>
        <v>0</v>
      </c>
      <c r="H12" s="35">
        <f t="shared" si="2"/>
        <v>0</v>
      </c>
    </row>
    <row r="13" spans="2:8" ht="36" customHeight="1">
      <c r="B13" s="69"/>
      <c r="C13" s="70"/>
      <c r="D13" s="71"/>
      <c r="E13" s="60"/>
      <c r="F13" s="130" t="str">
        <f t="shared" si="0"/>
        <v>g</v>
      </c>
      <c r="G13" s="79">
        <f t="shared" si="1"/>
        <v>0</v>
      </c>
      <c r="H13" s="35">
        <f t="shared" si="2"/>
        <v>0</v>
      </c>
    </row>
    <row r="14" spans="2:8" ht="36" customHeight="1">
      <c r="B14" s="69"/>
      <c r="C14" s="70"/>
      <c r="D14" s="71"/>
      <c r="E14" s="60"/>
      <c r="F14" s="130" t="str">
        <f t="shared" si="0"/>
        <v>g</v>
      </c>
      <c r="G14" s="79">
        <f t="shared" si="1"/>
        <v>0</v>
      </c>
      <c r="H14" s="35">
        <f t="shared" si="2"/>
        <v>0</v>
      </c>
    </row>
    <row r="15" spans="2:8" ht="36" customHeight="1">
      <c r="B15" s="69"/>
      <c r="C15" s="70"/>
      <c r="D15" s="71"/>
      <c r="E15" s="60"/>
      <c r="F15" s="130" t="str">
        <f t="shared" si="0"/>
        <v>g</v>
      </c>
      <c r="G15" s="79">
        <f t="shared" si="1"/>
        <v>0</v>
      </c>
      <c r="H15" s="35">
        <f t="shared" si="2"/>
        <v>0</v>
      </c>
    </row>
    <row r="16" spans="2:8" ht="36" customHeight="1">
      <c r="B16" s="69"/>
      <c r="C16" s="70"/>
      <c r="D16" s="71"/>
      <c r="E16" s="60"/>
      <c r="F16" s="130" t="str">
        <f t="shared" si="0"/>
        <v>g</v>
      </c>
      <c r="G16" s="79">
        <f t="shared" ref="G16:G24" si="3">ROUNDUP(D16/30,0)</f>
        <v>0</v>
      </c>
      <c r="H16" s="35">
        <f t="shared" ref="H16:H24" si="4">D16*$E$2</f>
        <v>0</v>
      </c>
    </row>
    <row r="17" spans="2:8" ht="36" customHeight="1">
      <c r="B17" s="69"/>
      <c r="C17" s="70"/>
      <c r="D17" s="71"/>
      <c r="E17" s="60"/>
      <c r="F17" s="130" t="str">
        <f t="shared" si="0"/>
        <v>g</v>
      </c>
      <c r="G17" s="79">
        <f t="shared" si="3"/>
        <v>0</v>
      </c>
      <c r="H17" s="35">
        <f t="shared" si="4"/>
        <v>0</v>
      </c>
    </row>
    <row r="18" spans="2:8" ht="36" customHeight="1">
      <c r="B18" s="69"/>
      <c r="C18" s="70"/>
      <c r="D18" s="71"/>
      <c r="E18" s="60"/>
      <c r="F18" s="130" t="str">
        <f t="shared" si="0"/>
        <v>g</v>
      </c>
      <c r="G18" s="79">
        <f t="shared" si="3"/>
        <v>0</v>
      </c>
      <c r="H18" s="35">
        <f t="shared" si="4"/>
        <v>0</v>
      </c>
    </row>
    <row r="19" spans="2:8" ht="36" customHeight="1">
      <c r="B19" s="69"/>
      <c r="C19" s="70"/>
      <c r="D19" s="71"/>
      <c r="E19" s="60"/>
      <c r="F19" s="130" t="str">
        <f t="shared" si="0"/>
        <v>g</v>
      </c>
      <c r="G19" s="79">
        <f t="shared" si="3"/>
        <v>0</v>
      </c>
      <c r="H19" s="35">
        <f t="shared" si="4"/>
        <v>0</v>
      </c>
    </row>
    <row r="20" spans="2:8" ht="36" customHeight="1">
      <c r="B20" s="69"/>
      <c r="C20" s="70"/>
      <c r="D20" s="71"/>
      <c r="E20" s="60"/>
      <c r="F20" s="130" t="str">
        <f t="shared" si="0"/>
        <v>g</v>
      </c>
      <c r="G20" s="79">
        <f t="shared" si="3"/>
        <v>0</v>
      </c>
      <c r="H20" s="35">
        <f t="shared" si="4"/>
        <v>0</v>
      </c>
    </row>
    <row r="21" spans="2:8" ht="36" customHeight="1">
      <c r="B21" s="69"/>
      <c r="C21" s="70"/>
      <c r="D21" s="71"/>
      <c r="E21" s="60"/>
      <c r="F21" s="130" t="str">
        <f t="shared" si="0"/>
        <v>g</v>
      </c>
      <c r="G21" s="79">
        <f t="shared" si="3"/>
        <v>0</v>
      </c>
      <c r="H21" s="35">
        <f t="shared" si="4"/>
        <v>0</v>
      </c>
    </row>
    <row r="22" spans="2:8" ht="36" customHeight="1">
      <c r="B22" s="69"/>
      <c r="C22" s="70"/>
      <c r="D22" s="71"/>
      <c r="E22" s="60"/>
      <c r="F22" s="130" t="str">
        <f t="shared" si="0"/>
        <v>g</v>
      </c>
      <c r="G22" s="79">
        <f t="shared" si="3"/>
        <v>0</v>
      </c>
      <c r="H22" s="35">
        <f t="shared" si="4"/>
        <v>0</v>
      </c>
    </row>
    <row r="23" spans="2:8" ht="36" customHeight="1">
      <c r="B23" s="69"/>
      <c r="C23" s="70"/>
      <c r="D23" s="71"/>
      <c r="E23" s="60"/>
      <c r="F23" s="130" t="str">
        <f t="shared" si="0"/>
        <v>g</v>
      </c>
      <c r="G23" s="79">
        <f t="shared" si="3"/>
        <v>0</v>
      </c>
      <c r="H23" s="35">
        <f t="shared" si="4"/>
        <v>0</v>
      </c>
    </row>
    <row r="24" spans="2:8" ht="36" customHeight="1">
      <c r="B24" s="69"/>
      <c r="C24" s="70"/>
      <c r="D24" s="71"/>
      <c r="E24" s="60"/>
      <c r="F24" s="130" t="str">
        <f t="shared" si="0"/>
        <v>g</v>
      </c>
      <c r="G24" s="79">
        <f t="shared" si="3"/>
        <v>0</v>
      </c>
      <c r="H24" s="35">
        <f t="shared" si="4"/>
        <v>0</v>
      </c>
    </row>
    <row r="25" spans="2:8" ht="36" customHeight="1">
      <c r="B25" s="69"/>
      <c r="C25" s="70"/>
      <c r="D25" s="71"/>
      <c r="E25" s="60"/>
      <c r="F25" s="130" t="str">
        <f t="shared" si="0"/>
        <v>g</v>
      </c>
      <c r="G25" s="79">
        <f t="shared" si="1"/>
        <v>0</v>
      </c>
      <c r="H25" s="35">
        <f t="shared" si="2"/>
        <v>0</v>
      </c>
    </row>
    <row r="26" spans="2:8" ht="36" customHeight="1">
      <c r="B26" s="69"/>
      <c r="C26" s="70"/>
      <c r="D26" s="71"/>
      <c r="E26" s="60"/>
      <c r="F26" s="130" t="str">
        <f t="shared" si="0"/>
        <v>g</v>
      </c>
      <c r="G26" s="79">
        <f t="shared" si="1"/>
        <v>0</v>
      </c>
      <c r="H26" s="35">
        <f t="shared" si="2"/>
        <v>0</v>
      </c>
    </row>
    <row r="27" spans="2:8" ht="36" customHeight="1">
      <c r="B27" s="69"/>
      <c r="C27" s="70"/>
      <c r="D27" s="71"/>
      <c r="E27" s="60"/>
      <c r="F27" s="130" t="str">
        <f t="shared" si="0"/>
        <v>g</v>
      </c>
      <c r="G27" s="79">
        <f t="shared" si="1"/>
        <v>0</v>
      </c>
      <c r="H27" s="35">
        <f t="shared" si="2"/>
        <v>0</v>
      </c>
    </row>
    <row r="28" spans="2:8" ht="36" hidden="1" customHeight="1">
      <c r="B28" s="69"/>
      <c r="C28" s="70"/>
      <c r="D28" s="71"/>
      <c r="E28" s="60"/>
      <c r="F28" s="130" t="str">
        <f t="shared" si="0"/>
        <v>g</v>
      </c>
      <c r="G28" s="79">
        <f t="shared" si="1"/>
        <v>0</v>
      </c>
      <c r="H28" s="35">
        <f t="shared" si="2"/>
        <v>0</v>
      </c>
    </row>
    <row r="29" spans="2:8" ht="36" hidden="1" customHeight="1">
      <c r="B29" s="69"/>
      <c r="C29" s="70"/>
      <c r="D29" s="71"/>
      <c r="E29" s="60"/>
      <c r="F29" s="130" t="str">
        <f t="shared" si="0"/>
        <v>g</v>
      </c>
      <c r="G29" s="79">
        <f t="shared" si="1"/>
        <v>0</v>
      </c>
      <c r="H29" s="35">
        <f t="shared" si="2"/>
        <v>0</v>
      </c>
    </row>
    <row r="30" spans="2:8" ht="36" hidden="1" customHeight="1">
      <c r="B30" s="69"/>
      <c r="C30" s="70"/>
      <c r="D30" s="71"/>
      <c r="E30" s="60"/>
      <c r="F30" s="130" t="str">
        <f t="shared" si="0"/>
        <v>g</v>
      </c>
      <c r="G30" s="79">
        <f t="shared" si="1"/>
        <v>0</v>
      </c>
      <c r="H30" s="35">
        <f t="shared" si="2"/>
        <v>0</v>
      </c>
    </row>
    <row r="31" spans="2:8" ht="36" hidden="1" customHeight="1">
      <c r="B31" s="69"/>
      <c r="C31" s="70"/>
      <c r="D31" s="71"/>
      <c r="E31" s="60"/>
      <c r="F31" s="130" t="str">
        <f t="shared" si="0"/>
        <v>g</v>
      </c>
      <c r="G31" s="79">
        <f t="shared" si="1"/>
        <v>0</v>
      </c>
      <c r="H31" s="35">
        <f t="shared" si="2"/>
        <v>0</v>
      </c>
    </row>
    <row r="32" spans="2:8" ht="36" hidden="1" customHeight="1">
      <c r="B32" s="69"/>
      <c r="C32" s="70"/>
      <c r="D32" s="71"/>
      <c r="E32" s="60"/>
      <c r="F32" s="130" t="str">
        <f t="shared" si="0"/>
        <v>g</v>
      </c>
      <c r="G32" s="79">
        <f t="shared" si="1"/>
        <v>0</v>
      </c>
      <c r="H32" s="35">
        <f t="shared" si="2"/>
        <v>0</v>
      </c>
    </row>
    <row r="33" spans="2:8" ht="36" hidden="1" customHeight="1">
      <c r="B33" s="69"/>
      <c r="C33" s="70"/>
      <c r="D33" s="71"/>
      <c r="E33" s="60"/>
      <c r="F33" s="130" t="str">
        <f t="shared" si="0"/>
        <v>g</v>
      </c>
      <c r="G33" s="79">
        <f t="shared" si="1"/>
        <v>0</v>
      </c>
      <c r="H33" s="35">
        <f t="shared" si="2"/>
        <v>0</v>
      </c>
    </row>
    <row r="34" spans="2:8" ht="36" hidden="1" customHeight="1">
      <c r="B34" s="69"/>
      <c r="C34" s="70"/>
      <c r="D34" s="71"/>
      <c r="E34" s="60"/>
      <c r="F34" s="130" t="str">
        <f t="shared" si="0"/>
        <v>g</v>
      </c>
      <c r="G34" s="79">
        <f t="shared" ref="G34:G42" si="5">ROUNDUP(D34/30,0)</f>
        <v>0</v>
      </c>
      <c r="H34" s="35">
        <f t="shared" ref="H34:H42" si="6">D34*$E$2</f>
        <v>0</v>
      </c>
    </row>
    <row r="35" spans="2:8" ht="36" hidden="1" customHeight="1">
      <c r="B35" s="69"/>
      <c r="C35" s="70"/>
      <c r="D35" s="71"/>
      <c r="E35" s="60"/>
      <c r="F35" s="130" t="str">
        <f t="shared" si="0"/>
        <v>g</v>
      </c>
      <c r="G35" s="79">
        <f t="shared" si="5"/>
        <v>0</v>
      </c>
      <c r="H35" s="35">
        <f t="shared" si="6"/>
        <v>0</v>
      </c>
    </row>
    <row r="36" spans="2:8" ht="36" hidden="1" customHeight="1">
      <c r="B36" s="69"/>
      <c r="C36" s="70"/>
      <c r="D36" s="71"/>
      <c r="E36" s="60"/>
      <c r="F36" s="130" t="str">
        <f t="shared" si="0"/>
        <v>g</v>
      </c>
      <c r="G36" s="79">
        <f t="shared" si="5"/>
        <v>0</v>
      </c>
      <c r="H36" s="35">
        <f t="shared" si="6"/>
        <v>0</v>
      </c>
    </row>
    <row r="37" spans="2:8" ht="36" hidden="1" customHeight="1">
      <c r="B37" s="69"/>
      <c r="C37" s="70"/>
      <c r="D37" s="71"/>
      <c r="E37" s="60"/>
      <c r="F37" s="130" t="str">
        <f t="shared" si="0"/>
        <v>g</v>
      </c>
      <c r="G37" s="79">
        <f t="shared" si="5"/>
        <v>0</v>
      </c>
      <c r="H37" s="35">
        <f t="shared" si="6"/>
        <v>0</v>
      </c>
    </row>
    <row r="38" spans="2:8" ht="36" hidden="1" customHeight="1">
      <c r="B38" s="69"/>
      <c r="C38" s="70"/>
      <c r="D38" s="71"/>
      <c r="E38" s="60"/>
      <c r="F38" s="130" t="str">
        <f t="shared" si="0"/>
        <v>g</v>
      </c>
      <c r="G38" s="79">
        <f t="shared" si="5"/>
        <v>0</v>
      </c>
      <c r="H38" s="35">
        <f t="shared" si="6"/>
        <v>0</v>
      </c>
    </row>
    <row r="39" spans="2:8" ht="36" hidden="1" customHeight="1">
      <c r="B39" s="69"/>
      <c r="C39" s="70"/>
      <c r="D39" s="71"/>
      <c r="E39" s="60"/>
      <c r="F39" s="130" t="str">
        <f t="shared" si="0"/>
        <v>g</v>
      </c>
      <c r="G39" s="79">
        <f t="shared" si="5"/>
        <v>0</v>
      </c>
      <c r="H39" s="35">
        <f t="shared" si="6"/>
        <v>0</v>
      </c>
    </row>
    <row r="40" spans="2:8" ht="36" hidden="1" customHeight="1">
      <c r="B40" s="69"/>
      <c r="C40" s="70"/>
      <c r="D40" s="71"/>
      <c r="E40" s="60"/>
      <c r="F40" s="130" t="str">
        <f t="shared" si="0"/>
        <v>g</v>
      </c>
      <c r="G40" s="79">
        <f t="shared" si="5"/>
        <v>0</v>
      </c>
      <c r="H40" s="35">
        <f t="shared" si="6"/>
        <v>0</v>
      </c>
    </row>
    <row r="41" spans="2:8" ht="36" hidden="1" customHeight="1">
      <c r="B41" s="69"/>
      <c r="C41" s="70"/>
      <c r="D41" s="71"/>
      <c r="E41" s="60"/>
      <c r="F41" s="130" t="str">
        <f t="shared" si="0"/>
        <v>g</v>
      </c>
      <c r="G41" s="79">
        <f t="shared" si="5"/>
        <v>0</v>
      </c>
      <c r="H41" s="35">
        <f t="shared" si="6"/>
        <v>0</v>
      </c>
    </row>
    <row r="42" spans="2:8" ht="36" hidden="1" customHeight="1">
      <c r="B42" s="69"/>
      <c r="C42" s="70"/>
      <c r="D42" s="71"/>
      <c r="E42" s="60"/>
      <c r="F42" s="130" t="str">
        <f t="shared" si="0"/>
        <v>g</v>
      </c>
      <c r="G42" s="79">
        <f t="shared" si="5"/>
        <v>0</v>
      </c>
      <c r="H42" s="35">
        <f t="shared" si="6"/>
        <v>0</v>
      </c>
    </row>
    <row r="43" spans="2:8" ht="36" hidden="1" customHeight="1">
      <c r="B43" s="69"/>
      <c r="C43" s="70"/>
      <c r="D43" s="71"/>
      <c r="E43" s="60"/>
      <c r="F43" s="130" t="str">
        <f t="shared" si="0"/>
        <v>g</v>
      </c>
      <c r="G43" s="79">
        <f t="shared" si="1"/>
        <v>0</v>
      </c>
      <c r="H43" s="35">
        <f t="shared" si="2"/>
        <v>0</v>
      </c>
    </row>
    <row r="44" spans="2:8" ht="36" hidden="1" customHeight="1">
      <c r="B44" s="69"/>
      <c r="C44" s="70"/>
      <c r="D44" s="71"/>
      <c r="E44" s="60"/>
      <c r="F44" s="130" t="str">
        <f t="shared" si="0"/>
        <v>g</v>
      </c>
      <c r="G44" s="79">
        <f t="shared" si="1"/>
        <v>0</v>
      </c>
      <c r="H44" s="35">
        <f t="shared" si="2"/>
        <v>0</v>
      </c>
    </row>
    <row r="45" spans="2:8" ht="36" hidden="1" customHeight="1">
      <c r="B45" s="69"/>
      <c r="C45" s="70"/>
      <c r="D45" s="71"/>
      <c r="E45" s="60"/>
      <c r="F45" s="130" t="str">
        <f t="shared" si="0"/>
        <v>g</v>
      </c>
      <c r="G45" s="79">
        <f t="shared" si="1"/>
        <v>0</v>
      </c>
      <c r="H45" s="35">
        <f t="shared" si="2"/>
        <v>0</v>
      </c>
    </row>
    <row r="46" spans="2:8" ht="36" hidden="1" customHeight="1">
      <c r="B46" s="69"/>
      <c r="C46" s="70"/>
      <c r="D46" s="71"/>
      <c r="E46" s="60"/>
      <c r="F46" s="130" t="str">
        <f t="shared" si="0"/>
        <v>g</v>
      </c>
      <c r="G46" s="79">
        <f t="shared" si="1"/>
        <v>0</v>
      </c>
      <c r="H46" s="35">
        <f t="shared" si="2"/>
        <v>0</v>
      </c>
    </row>
    <row r="47" spans="2:8" ht="36" hidden="1" customHeight="1">
      <c r="B47" s="69"/>
      <c r="C47" s="70"/>
      <c r="D47" s="71"/>
      <c r="E47" s="60"/>
      <c r="F47" s="130" t="str">
        <f t="shared" si="0"/>
        <v>g</v>
      </c>
      <c r="G47" s="79">
        <f t="shared" si="1"/>
        <v>0</v>
      </c>
      <c r="H47" s="35">
        <f t="shared" si="2"/>
        <v>0</v>
      </c>
    </row>
    <row r="48" spans="2:8" ht="36" hidden="1" customHeight="1">
      <c r="B48" s="69"/>
      <c r="C48" s="70"/>
      <c r="D48" s="71"/>
      <c r="E48" s="60"/>
      <c r="F48" s="130" t="str">
        <f t="shared" si="0"/>
        <v>g</v>
      </c>
      <c r="G48" s="79">
        <f t="shared" si="1"/>
        <v>0</v>
      </c>
      <c r="H48" s="35">
        <f t="shared" si="2"/>
        <v>0</v>
      </c>
    </row>
    <row r="49" spans="2:17" ht="36" hidden="1" customHeight="1">
      <c r="B49" s="69"/>
      <c r="C49" s="70"/>
      <c r="D49" s="71"/>
      <c r="E49" s="60"/>
      <c r="F49" s="130" t="str">
        <f t="shared" si="0"/>
        <v>g</v>
      </c>
      <c r="G49" s="79">
        <f t="shared" si="1"/>
        <v>0</v>
      </c>
      <c r="H49" s="35">
        <f t="shared" si="2"/>
        <v>0</v>
      </c>
    </row>
    <row r="50" spans="2:17" ht="36" hidden="1" customHeight="1">
      <c r="B50" s="69"/>
      <c r="C50" s="70"/>
      <c r="D50" s="71"/>
      <c r="E50" s="60"/>
      <c r="F50" s="130" t="str">
        <f t="shared" si="0"/>
        <v>g</v>
      </c>
      <c r="G50" s="79">
        <f t="shared" ref="G50:G52" si="7">ROUNDUP(D50/30,0)</f>
        <v>0</v>
      </c>
      <c r="H50" s="35">
        <f t="shared" ref="H50:H52" si="8">D50*$E$2</f>
        <v>0</v>
      </c>
    </row>
    <row r="51" spans="2:17" ht="36" hidden="1" customHeight="1">
      <c r="B51" s="69"/>
      <c r="C51" s="70"/>
      <c r="D51" s="71"/>
      <c r="E51" s="60"/>
      <c r="F51" s="130" t="str">
        <f t="shared" si="0"/>
        <v>g</v>
      </c>
      <c r="G51" s="79">
        <f t="shared" si="7"/>
        <v>0</v>
      </c>
      <c r="H51" s="35">
        <f t="shared" si="8"/>
        <v>0</v>
      </c>
    </row>
    <row r="52" spans="2:17" ht="36" hidden="1" customHeight="1">
      <c r="B52" s="69"/>
      <c r="C52" s="70"/>
      <c r="D52" s="71"/>
      <c r="E52" s="60"/>
      <c r="F52" s="130" t="str">
        <f t="shared" si="0"/>
        <v>g</v>
      </c>
      <c r="G52" s="79">
        <f t="shared" si="7"/>
        <v>0</v>
      </c>
      <c r="H52" s="35">
        <f t="shared" si="8"/>
        <v>0</v>
      </c>
    </row>
    <row r="53" spans="2:17" ht="36" hidden="1" customHeight="1">
      <c r="B53" s="69"/>
      <c r="C53" s="70"/>
      <c r="D53" s="71"/>
      <c r="E53" s="60"/>
      <c r="F53" s="130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30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30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30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30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customHeight="1" thickBot="1">
      <c r="B58" s="72"/>
      <c r="C58" s="73"/>
      <c r="D58" s="74"/>
      <c r="E58" s="75"/>
      <c r="F58" s="131" t="str">
        <f t="shared" si="0"/>
        <v>g</v>
      </c>
      <c r="G58" s="80">
        <f t="shared" si="1"/>
        <v>0</v>
      </c>
      <c r="H58" s="36">
        <f t="shared" si="2"/>
        <v>0</v>
      </c>
    </row>
    <row r="59" spans="2:17" s="13" customFormat="1" ht="32.1" customHeight="1">
      <c r="B59" s="12"/>
      <c r="C59" s="12"/>
      <c r="D59" s="12"/>
      <c r="E59" s="21"/>
      <c r="F59" s="2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F66" s="29"/>
      <c r="G66" s="13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</sheetData>
  <mergeCells count="6">
    <mergeCell ref="B7:C7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DF8F-A7C0-43B1-9EA4-740F96ADE238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17" ht="48" customHeight="1" thickBot="1">
      <c r="B1" s="137" t="s">
        <v>13</v>
      </c>
      <c r="C1" s="138"/>
      <c r="D1" s="138"/>
      <c r="E1" s="138"/>
      <c r="F1" s="138"/>
      <c r="G1" s="139"/>
      <c r="H1" s="139"/>
    </row>
    <row r="2" spans="2:17" ht="44.1" customHeight="1">
      <c r="B2" s="140"/>
      <c r="C2" s="141"/>
      <c r="D2" s="141"/>
      <c r="E2" s="39"/>
      <c r="F2" s="28"/>
      <c r="G2" s="37"/>
      <c r="H2" s="30"/>
    </row>
    <row r="3" spans="2:17" s="13" customFormat="1" ht="36" customHeight="1" thickBot="1">
      <c r="B3" s="1"/>
      <c r="C3" s="2"/>
      <c r="D3" s="45" t="s">
        <v>2</v>
      </c>
      <c r="E3" s="142" t="s">
        <v>0</v>
      </c>
      <c r="F3" s="143"/>
      <c r="G3" s="43" t="s">
        <v>11</v>
      </c>
      <c r="H3" s="31" t="s">
        <v>6</v>
      </c>
      <c r="I3" s="9"/>
      <c r="J3" s="9"/>
      <c r="K3" s="9"/>
      <c r="L3" s="9"/>
      <c r="M3" s="9"/>
      <c r="N3" s="9"/>
      <c r="O3" s="9"/>
      <c r="P3" s="9"/>
      <c r="Q3" s="9"/>
    </row>
    <row r="4" spans="2:17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17" ht="36" customHeight="1">
      <c r="B5" s="61">
        <f>D5</f>
        <v>0</v>
      </c>
      <c r="C5" s="62" t="s">
        <v>10</v>
      </c>
      <c r="D5" s="63"/>
      <c r="E5" s="64"/>
      <c r="F5" s="132" t="str">
        <f>$F$4</f>
        <v>g</v>
      </c>
      <c r="G5" s="77"/>
      <c r="H5" s="33"/>
    </row>
    <row r="6" spans="2:17" ht="36" customHeight="1" thickBot="1">
      <c r="B6" s="65">
        <f>D6</f>
        <v>1</v>
      </c>
      <c r="C6" s="66" t="s">
        <v>15</v>
      </c>
      <c r="D6" s="67">
        <v>1</v>
      </c>
      <c r="E6" s="68"/>
      <c r="F6" s="133" t="str">
        <f>$F$4</f>
        <v>g</v>
      </c>
      <c r="G6" s="78"/>
      <c r="H6" s="34">
        <f>G6*$E$2</f>
        <v>0</v>
      </c>
    </row>
    <row r="7" spans="2:17" ht="36" customHeight="1" thickTop="1">
      <c r="B7" s="135" t="s">
        <v>29</v>
      </c>
      <c r="C7" s="136"/>
      <c r="D7" s="59">
        <f>D5+G6+SUM(D9:D58)</f>
        <v>0</v>
      </c>
      <c r="E7" s="60"/>
      <c r="F7" s="134" t="str">
        <f>$F$4</f>
        <v>g</v>
      </c>
      <c r="G7" s="79"/>
      <c r="H7" s="35"/>
    </row>
    <row r="8" spans="2:17" ht="36" customHeight="1">
      <c r="B8" s="69"/>
      <c r="C8" s="70"/>
      <c r="D8" s="71"/>
      <c r="E8" s="60"/>
      <c r="F8" s="8"/>
      <c r="G8" s="79"/>
      <c r="H8" s="35"/>
    </row>
    <row r="9" spans="2:17" ht="36" customHeight="1">
      <c r="B9" s="69"/>
      <c r="C9" s="70"/>
      <c r="D9" s="71"/>
      <c r="E9" s="60"/>
      <c r="F9" s="130" t="str">
        <f t="shared" ref="F9:F58" si="0">$F$4</f>
        <v>g</v>
      </c>
      <c r="G9" s="79">
        <f t="shared" ref="G9:G58" si="1">ROUNDUP(D9/30,0)</f>
        <v>0</v>
      </c>
      <c r="H9" s="35">
        <f t="shared" ref="H9:H58" si="2">D9*$E$2</f>
        <v>0</v>
      </c>
    </row>
    <row r="10" spans="2:17" ht="36" customHeight="1">
      <c r="B10" s="69"/>
      <c r="C10" s="70"/>
      <c r="D10" s="71"/>
      <c r="E10" s="60"/>
      <c r="F10" s="130" t="str">
        <f t="shared" si="0"/>
        <v>g</v>
      </c>
      <c r="G10" s="79">
        <f t="shared" si="1"/>
        <v>0</v>
      </c>
      <c r="H10" s="35">
        <f t="shared" si="2"/>
        <v>0</v>
      </c>
    </row>
    <row r="11" spans="2:17" ht="36" customHeight="1">
      <c r="B11" s="69"/>
      <c r="C11" s="70"/>
      <c r="D11" s="71"/>
      <c r="E11" s="60"/>
      <c r="F11" s="130" t="str">
        <f t="shared" si="0"/>
        <v>g</v>
      </c>
      <c r="G11" s="79">
        <f t="shared" si="1"/>
        <v>0</v>
      </c>
      <c r="H11" s="35">
        <f t="shared" si="2"/>
        <v>0</v>
      </c>
    </row>
    <row r="12" spans="2:17" ht="36" customHeight="1">
      <c r="B12" s="69"/>
      <c r="C12" s="70"/>
      <c r="D12" s="71"/>
      <c r="E12" s="60"/>
      <c r="F12" s="130" t="str">
        <f t="shared" si="0"/>
        <v>g</v>
      </c>
      <c r="G12" s="79">
        <f t="shared" si="1"/>
        <v>0</v>
      </c>
      <c r="H12" s="35">
        <f t="shared" si="2"/>
        <v>0</v>
      </c>
    </row>
    <row r="13" spans="2:17" ht="36" customHeight="1">
      <c r="B13" s="69"/>
      <c r="C13" s="70"/>
      <c r="D13" s="71"/>
      <c r="E13" s="60"/>
      <c r="F13" s="130" t="str">
        <f t="shared" si="0"/>
        <v>g</v>
      </c>
      <c r="G13" s="79">
        <f t="shared" si="1"/>
        <v>0</v>
      </c>
      <c r="H13" s="35">
        <f t="shared" si="2"/>
        <v>0</v>
      </c>
    </row>
    <row r="14" spans="2:17" ht="36" customHeight="1">
      <c r="B14" s="69"/>
      <c r="C14" s="70"/>
      <c r="D14" s="71"/>
      <c r="E14" s="60"/>
      <c r="F14" s="130" t="str">
        <f t="shared" si="0"/>
        <v>g</v>
      </c>
      <c r="G14" s="79">
        <f t="shared" si="1"/>
        <v>0</v>
      </c>
      <c r="H14" s="35">
        <f t="shared" si="2"/>
        <v>0</v>
      </c>
    </row>
    <row r="15" spans="2:17" ht="36" customHeight="1">
      <c r="B15" s="69"/>
      <c r="C15" s="70"/>
      <c r="D15" s="71"/>
      <c r="E15" s="60"/>
      <c r="F15" s="130" t="str">
        <f t="shared" si="0"/>
        <v>g</v>
      </c>
      <c r="G15" s="79">
        <f t="shared" si="1"/>
        <v>0</v>
      </c>
      <c r="H15" s="35">
        <f t="shared" si="2"/>
        <v>0</v>
      </c>
    </row>
    <row r="16" spans="2:17" ht="36" customHeight="1">
      <c r="B16" s="69"/>
      <c r="C16" s="70"/>
      <c r="D16" s="71"/>
      <c r="E16" s="60"/>
      <c r="F16" s="130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30" t="str">
        <f t="shared" si="0"/>
        <v>g</v>
      </c>
      <c r="G17" s="79">
        <f t="shared" si="1"/>
        <v>0</v>
      </c>
      <c r="H17" s="35">
        <f t="shared" si="2"/>
        <v>0</v>
      </c>
    </row>
    <row r="18" spans="2:8" ht="36" customHeight="1">
      <c r="B18" s="69"/>
      <c r="C18" s="70"/>
      <c r="D18" s="71"/>
      <c r="E18" s="60"/>
      <c r="F18" s="130" t="str">
        <f t="shared" si="0"/>
        <v>g</v>
      </c>
      <c r="G18" s="79">
        <f t="shared" si="1"/>
        <v>0</v>
      </c>
      <c r="H18" s="35">
        <f t="shared" si="2"/>
        <v>0</v>
      </c>
    </row>
    <row r="19" spans="2:8" ht="36" customHeight="1">
      <c r="B19" s="69"/>
      <c r="C19" s="70"/>
      <c r="D19" s="71"/>
      <c r="E19" s="60"/>
      <c r="F19" s="130" t="str">
        <f t="shared" si="0"/>
        <v>g</v>
      </c>
      <c r="G19" s="79">
        <f t="shared" si="1"/>
        <v>0</v>
      </c>
      <c r="H19" s="35">
        <f t="shared" si="2"/>
        <v>0</v>
      </c>
    </row>
    <row r="20" spans="2:8" ht="36" customHeight="1">
      <c r="B20" s="69"/>
      <c r="C20" s="70"/>
      <c r="D20" s="71"/>
      <c r="E20" s="60"/>
      <c r="F20" s="130" t="str">
        <f t="shared" si="0"/>
        <v>g</v>
      </c>
      <c r="G20" s="79">
        <f t="shared" si="1"/>
        <v>0</v>
      </c>
      <c r="H20" s="35">
        <f t="shared" si="2"/>
        <v>0</v>
      </c>
    </row>
    <row r="21" spans="2:8" ht="36" customHeight="1">
      <c r="B21" s="69"/>
      <c r="C21" s="70"/>
      <c r="D21" s="71"/>
      <c r="E21" s="60"/>
      <c r="F21" s="130" t="str">
        <f t="shared" si="0"/>
        <v>g</v>
      </c>
      <c r="G21" s="79">
        <f t="shared" si="1"/>
        <v>0</v>
      </c>
      <c r="H21" s="35">
        <f t="shared" si="2"/>
        <v>0</v>
      </c>
    </row>
    <row r="22" spans="2:8" ht="36" customHeight="1">
      <c r="B22" s="69"/>
      <c r="C22" s="70"/>
      <c r="D22" s="71"/>
      <c r="E22" s="60"/>
      <c r="F22" s="130" t="str">
        <f t="shared" si="0"/>
        <v>g</v>
      </c>
      <c r="G22" s="79">
        <f t="shared" si="1"/>
        <v>0</v>
      </c>
      <c r="H22" s="35">
        <f t="shared" si="2"/>
        <v>0</v>
      </c>
    </row>
    <row r="23" spans="2:8" ht="36" customHeight="1">
      <c r="B23" s="69"/>
      <c r="C23" s="70"/>
      <c r="D23" s="71"/>
      <c r="E23" s="60"/>
      <c r="F23" s="130" t="str">
        <f t="shared" si="0"/>
        <v>g</v>
      </c>
      <c r="G23" s="79">
        <f t="shared" si="1"/>
        <v>0</v>
      </c>
      <c r="H23" s="35">
        <f t="shared" si="2"/>
        <v>0</v>
      </c>
    </row>
    <row r="24" spans="2:8" ht="36" customHeight="1">
      <c r="B24" s="69"/>
      <c r="C24" s="70"/>
      <c r="D24" s="71"/>
      <c r="E24" s="60"/>
      <c r="F24" s="130" t="str">
        <f t="shared" si="0"/>
        <v>g</v>
      </c>
      <c r="G24" s="79">
        <f t="shared" si="1"/>
        <v>0</v>
      </c>
      <c r="H24" s="35">
        <f t="shared" si="2"/>
        <v>0</v>
      </c>
    </row>
    <row r="25" spans="2:8" ht="36" customHeight="1">
      <c r="B25" s="69"/>
      <c r="C25" s="70"/>
      <c r="D25" s="71"/>
      <c r="E25" s="60"/>
      <c r="F25" s="130" t="str">
        <f t="shared" si="0"/>
        <v>g</v>
      </c>
      <c r="G25" s="79">
        <f t="shared" si="1"/>
        <v>0</v>
      </c>
      <c r="H25" s="35">
        <f t="shared" si="2"/>
        <v>0</v>
      </c>
    </row>
    <row r="26" spans="2:8" ht="36" customHeight="1">
      <c r="B26" s="69"/>
      <c r="C26" s="70"/>
      <c r="D26" s="71"/>
      <c r="E26" s="60"/>
      <c r="F26" s="130" t="str">
        <f t="shared" si="0"/>
        <v>g</v>
      </c>
      <c r="G26" s="79">
        <f t="shared" si="1"/>
        <v>0</v>
      </c>
      <c r="H26" s="35">
        <f t="shared" si="2"/>
        <v>0</v>
      </c>
    </row>
    <row r="27" spans="2:8" ht="36" customHeight="1">
      <c r="B27" s="69"/>
      <c r="C27" s="70"/>
      <c r="D27" s="71"/>
      <c r="E27" s="60"/>
      <c r="F27" s="130" t="str">
        <f t="shared" si="0"/>
        <v>g</v>
      </c>
      <c r="G27" s="79">
        <f t="shared" ref="G27:G34" si="3">ROUNDUP(D27/30,0)</f>
        <v>0</v>
      </c>
      <c r="H27" s="35">
        <f t="shared" ref="H27:H34" si="4">D27*$E$2</f>
        <v>0</v>
      </c>
    </row>
    <row r="28" spans="2:8" ht="36" hidden="1" customHeight="1">
      <c r="B28" s="69"/>
      <c r="C28" s="70"/>
      <c r="D28" s="71"/>
      <c r="E28" s="60"/>
      <c r="F28" s="130" t="str">
        <f t="shared" si="0"/>
        <v>g</v>
      </c>
      <c r="G28" s="79">
        <f t="shared" si="3"/>
        <v>0</v>
      </c>
      <c r="H28" s="35">
        <f t="shared" si="4"/>
        <v>0</v>
      </c>
    </row>
    <row r="29" spans="2:8" ht="36" hidden="1" customHeight="1">
      <c r="B29" s="69"/>
      <c r="C29" s="70"/>
      <c r="D29" s="71"/>
      <c r="E29" s="60"/>
      <c r="F29" s="130" t="str">
        <f t="shared" si="0"/>
        <v>g</v>
      </c>
      <c r="G29" s="79">
        <f t="shared" si="3"/>
        <v>0</v>
      </c>
      <c r="H29" s="35">
        <f t="shared" si="4"/>
        <v>0</v>
      </c>
    </row>
    <row r="30" spans="2:8" ht="36" hidden="1" customHeight="1">
      <c r="B30" s="69"/>
      <c r="C30" s="70"/>
      <c r="D30" s="71"/>
      <c r="E30" s="60"/>
      <c r="F30" s="130" t="str">
        <f t="shared" si="0"/>
        <v>g</v>
      </c>
      <c r="G30" s="79">
        <f t="shared" si="3"/>
        <v>0</v>
      </c>
      <c r="H30" s="35">
        <f t="shared" si="4"/>
        <v>0</v>
      </c>
    </row>
    <row r="31" spans="2:8" ht="36" hidden="1" customHeight="1">
      <c r="B31" s="69"/>
      <c r="C31" s="70"/>
      <c r="D31" s="71"/>
      <c r="E31" s="60"/>
      <c r="F31" s="130" t="str">
        <f t="shared" si="0"/>
        <v>g</v>
      </c>
      <c r="G31" s="79">
        <f t="shared" si="3"/>
        <v>0</v>
      </c>
      <c r="H31" s="35">
        <f t="shared" si="4"/>
        <v>0</v>
      </c>
    </row>
    <row r="32" spans="2:8" ht="36" hidden="1" customHeight="1">
      <c r="B32" s="69"/>
      <c r="C32" s="70"/>
      <c r="D32" s="71"/>
      <c r="E32" s="60"/>
      <c r="F32" s="130" t="str">
        <f t="shared" si="0"/>
        <v>g</v>
      </c>
      <c r="G32" s="79">
        <f t="shared" si="3"/>
        <v>0</v>
      </c>
      <c r="H32" s="35">
        <f t="shared" si="4"/>
        <v>0</v>
      </c>
    </row>
    <row r="33" spans="2:8" ht="36" hidden="1" customHeight="1">
      <c r="B33" s="69"/>
      <c r="C33" s="70"/>
      <c r="D33" s="71"/>
      <c r="E33" s="60"/>
      <c r="F33" s="130" t="str">
        <f t="shared" si="0"/>
        <v>g</v>
      </c>
      <c r="G33" s="79">
        <f t="shared" si="3"/>
        <v>0</v>
      </c>
      <c r="H33" s="35">
        <f t="shared" si="4"/>
        <v>0</v>
      </c>
    </row>
    <row r="34" spans="2:8" ht="36" hidden="1" customHeight="1">
      <c r="B34" s="69"/>
      <c r="C34" s="70"/>
      <c r="D34" s="71"/>
      <c r="E34" s="60"/>
      <c r="F34" s="130" t="str">
        <f t="shared" si="0"/>
        <v>g</v>
      </c>
      <c r="G34" s="79">
        <f t="shared" si="3"/>
        <v>0</v>
      </c>
      <c r="H34" s="35">
        <f t="shared" si="4"/>
        <v>0</v>
      </c>
    </row>
    <row r="35" spans="2:8" ht="36" hidden="1" customHeight="1">
      <c r="B35" s="69"/>
      <c r="C35" s="70"/>
      <c r="D35" s="71"/>
      <c r="E35" s="60"/>
      <c r="F35" s="130" t="str">
        <f t="shared" si="0"/>
        <v>g</v>
      </c>
      <c r="G35" s="79">
        <f t="shared" si="1"/>
        <v>0</v>
      </c>
      <c r="H35" s="35">
        <f t="shared" si="2"/>
        <v>0</v>
      </c>
    </row>
    <row r="36" spans="2:8" ht="36" hidden="1" customHeight="1">
      <c r="B36" s="69"/>
      <c r="C36" s="70"/>
      <c r="D36" s="71"/>
      <c r="E36" s="60"/>
      <c r="F36" s="130" t="str">
        <f t="shared" si="0"/>
        <v>g</v>
      </c>
      <c r="G36" s="79">
        <f t="shared" si="1"/>
        <v>0</v>
      </c>
      <c r="H36" s="35">
        <f t="shared" si="2"/>
        <v>0</v>
      </c>
    </row>
    <row r="37" spans="2:8" ht="36" hidden="1" customHeight="1">
      <c r="B37" s="69"/>
      <c r="C37" s="70"/>
      <c r="D37" s="71"/>
      <c r="E37" s="60"/>
      <c r="F37" s="130" t="str">
        <f t="shared" si="0"/>
        <v>g</v>
      </c>
      <c r="G37" s="79">
        <f t="shared" si="1"/>
        <v>0</v>
      </c>
      <c r="H37" s="35">
        <f t="shared" si="2"/>
        <v>0</v>
      </c>
    </row>
    <row r="38" spans="2:8" ht="36" hidden="1" customHeight="1">
      <c r="B38" s="69"/>
      <c r="C38" s="70"/>
      <c r="D38" s="71"/>
      <c r="E38" s="60"/>
      <c r="F38" s="130" t="str">
        <f t="shared" si="0"/>
        <v>g</v>
      </c>
      <c r="G38" s="79">
        <f t="shared" si="1"/>
        <v>0</v>
      </c>
      <c r="H38" s="35">
        <f t="shared" si="2"/>
        <v>0</v>
      </c>
    </row>
    <row r="39" spans="2:8" ht="36" hidden="1" customHeight="1">
      <c r="B39" s="69"/>
      <c r="C39" s="70"/>
      <c r="D39" s="71"/>
      <c r="E39" s="60"/>
      <c r="F39" s="130" t="str">
        <f t="shared" si="0"/>
        <v>g</v>
      </c>
      <c r="G39" s="79">
        <f t="shared" si="1"/>
        <v>0</v>
      </c>
      <c r="H39" s="35">
        <f t="shared" si="2"/>
        <v>0</v>
      </c>
    </row>
    <row r="40" spans="2:8" ht="36" hidden="1" customHeight="1">
      <c r="B40" s="69"/>
      <c r="C40" s="70"/>
      <c r="D40" s="71"/>
      <c r="E40" s="60"/>
      <c r="F40" s="130" t="str">
        <f t="shared" si="0"/>
        <v>g</v>
      </c>
      <c r="G40" s="79">
        <f t="shared" si="1"/>
        <v>0</v>
      </c>
      <c r="H40" s="35">
        <f t="shared" si="2"/>
        <v>0</v>
      </c>
    </row>
    <row r="41" spans="2:8" ht="36" hidden="1" customHeight="1">
      <c r="B41" s="69"/>
      <c r="C41" s="70"/>
      <c r="D41" s="71"/>
      <c r="E41" s="60"/>
      <c r="F41" s="130" t="str">
        <f t="shared" si="0"/>
        <v>g</v>
      </c>
      <c r="G41" s="79">
        <f t="shared" si="1"/>
        <v>0</v>
      </c>
      <c r="H41" s="35">
        <f t="shared" si="2"/>
        <v>0</v>
      </c>
    </row>
    <row r="42" spans="2:8" ht="36" hidden="1" customHeight="1">
      <c r="B42" s="69"/>
      <c r="C42" s="70"/>
      <c r="D42" s="71"/>
      <c r="E42" s="60"/>
      <c r="F42" s="130" t="str">
        <f t="shared" si="0"/>
        <v>g</v>
      </c>
      <c r="G42" s="79">
        <f t="shared" si="1"/>
        <v>0</v>
      </c>
      <c r="H42" s="35">
        <f t="shared" si="2"/>
        <v>0</v>
      </c>
    </row>
    <row r="43" spans="2:8" ht="36" hidden="1" customHeight="1">
      <c r="B43" s="69"/>
      <c r="C43" s="70"/>
      <c r="D43" s="71"/>
      <c r="E43" s="60"/>
      <c r="F43" s="130" t="str">
        <f t="shared" si="0"/>
        <v>g</v>
      </c>
      <c r="G43" s="79">
        <f t="shared" ref="G43:G50" si="5">ROUNDUP(D43/30,0)</f>
        <v>0</v>
      </c>
      <c r="H43" s="35">
        <f t="shared" ref="H43:H50" si="6">D43*$E$2</f>
        <v>0</v>
      </c>
    </row>
    <row r="44" spans="2:8" ht="36" hidden="1" customHeight="1">
      <c r="B44" s="69"/>
      <c r="C44" s="70"/>
      <c r="D44" s="71"/>
      <c r="E44" s="60"/>
      <c r="F44" s="130" t="str">
        <f t="shared" si="0"/>
        <v>g</v>
      </c>
      <c r="G44" s="79">
        <f t="shared" si="5"/>
        <v>0</v>
      </c>
      <c r="H44" s="35">
        <f t="shared" si="6"/>
        <v>0</v>
      </c>
    </row>
    <row r="45" spans="2:8" ht="36" hidden="1" customHeight="1">
      <c r="B45" s="69"/>
      <c r="C45" s="70"/>
      <c r="D45" s="71"/>
      <c r="E45" s="60"/>
      <c r="F45" s="130" t="str">
        <f t="shared" si="0"/>
        <v>g</v>
      </c>
      <c r="G45" s="79">
        <f t="shared" si="5"/>
        <v>0</v>
      </c>
      <c r="H45" s="35">
        <f t="shared" si="6"/>
        <v>0</v>
      </c>
    </row>
    <row r="46" spans="2:8" ht="36" hidden="1" customHeight="1">
      <c r="B46" s="69"/>
      <c r="C46" s="70"/>
      <c r="D46" s="71"/>
      <c r="E46" s="60"/>
      <c r="F46" s="130" t="str">
        <f t="shared" si="0"/>
        <v>g</v>
      </c>
      <c r="G46" s="79">
        <f t="shared" si="5"/>
        <v>0</v>
      </c>
      <c r="H46" s="35">
        <f t="shared" si="6"/>
        <v>0</v>
      </c>
    </row>
    <row r="47" spans="2:8" ht="36" hidden="1" customHeight="1">
      <c r="B47" s="69"/>
      <c r="C47" s="70"/>
      <c r="D47" s="71"/>
      <c r="E47" s="60"/>
      <c r="F47" s="130" t="str">
        <f t="shared" si="0"/>
        <v>g</v>
      </c>
      <c r="G47" s="79">
        <f t="shared" si="5"/>
        <v>0</v>
      </c>
      <c r="H47" s="35">
        <f t="shared" si="6"/>
        <v>0</v>
      </c>
    </row>
    <row r="48" spans="2:8" ht="36" hidden="1" customHeight="1">
      <c r="B48" s="69"/>
      <c r="C48" s="70"/>
      <c r="D48" s="71"/>
      <c r="E48" s="60"/>
      <c r="F48" s="130" t="str">
        <f t="shared" si="0"/>
        <v>g</v>
      </c>
      <c r="G48" s="79">
        <f t="shared" si="5"/>
        <v>0</v>
      </c>
      <c r="H48" s="35">
        <f t="shared" si="6"/>
        <v>0</v>
      </c>
    </row>
    <row r="49" spans="2:17" ht="36" hidden="1" customHeight="1">
      <c r="B49" s="69"/>
      <c r="C49" s="70"/>
      <c r="D49" s="71"/>
      <c r="E49" s="60"/>
      <c r="F49" s="130" t="str">
        <f t="shared" si="0"/>
        <v>g</v>
      </c>
      <c r="G49" s="79">
        <f t="shared" si="5"/>
        <v>0</v>
      </c>
      <c r="H49" s="35">
        <f t="shared" si="6"/>
        <v>0</v>
      </c>
    </row>
    <row r="50" spans="2:17" ht="36" hidden="1" customHeight="1">
      <c r="B50" s="69"/>
      <c r="C50" s="70"/>
      <c r="D50" s="71"/>
      <c r="E50" s="60"/>
      <c r="F50" s="130" t="str">
        <f t="shared" si="0"/>
        <v>g</v>
      </c>
      <c r="G50" s="79">
        <f t="shared" si="5"/>
        <v>0</v>
      </c>
      <c r="H50" s="35">
        <f t="shared" si="6"/>
        <v>0</v>
      </c>
    </row>
    <row r="51" spans="2:17" ht="36" hidden="1" customHeight="1">
      <c r="B51" s="69"/>
      <c r="C51" s="70"/>
      <c r="D51" s="71"/>
      <c r="E51" s="60"/>
      <c r="F51" s="130" t="str">
        <f t="shared" si="0"/>
        <v>g</v>
      </c>
      <c r="G51" s="79">
        <f t="shared" si="1"/>
        <v>0</v>
      </c>
      <c r="H51" s="35">
        <f t="shared" si="2"/>
        <v>0</v>
      </c>
    </row>
    <row r="52" spans="2:17" ht="36" hidden="1" customHeight="1">
      <c r="B52" s="69"/>
      <c r="C52" s="70"/>
      <c r="D52" s="71"/>
      <c r="E52" s="60"/>
      <c r="F52" s="130" t="str">
        <f t="shared" si="0"/>
        <v>g</v>
      </c>
      <c r="G52" s="79">
        <f t="shared" si="1"/>
        <v>0</v>
      </c>
      <c r="H52" s="35">
        <f t="shared" si="2"/>
        <v>0</v>
      </c>
    </row>
    <row r="53" spans="2:17" ht="36" hidden="1" customHeight="1">
      <c r="B53" s="69"/>
      <c r="C53" s="70"/>
      <c r="D53" s="71"/>
      <c r="E53" s="60"/>
      <c r="F53" s="130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30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30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30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30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customHeight="1" thickBot="1">
      <c r="B58" s="72"/>
      <c r="C58" s="73"/>
      <c r="D58" s="74"/>
      <c r="E58" s="75"/>
      <c r="F58" s="131" t="str">
        <f t="shared" si="0"/>
        <v>g</v>
      </c>
      <c r="G58" s="80">
        <f t="shared" si="1"/>
        <v>0</v>
      </c>
      <c r="H58" s="36">
        <f t="shared" si="2"/>
        <v>0</v>
      </c>
    </row>
    <row r="59" spans="2:17" s="13" customFormat="1" ht="32.1" customHeight="1">
      <c r="B59" s="12"/>
      <c r="C59" s="12"/>
      <c r="D59" s="12"/>
      <c r="E59" s="21"/>
      <c r="F59" s="2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F66" s="29"/>
      <c r="G66" s="13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</sheetData>
  <mergeCells count="6">
    <mergeCell ref="B7:C7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1341-0FE3-41C3-95BF-5846ACAFC38A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17" ht="48" customHeight="1" thickBot="1">
      <c r="B1" s="137" t="s">
        <v>14</v>
      </c>
      <c r="C1" s="138"/>
      <c r="D1" s="138"/>
      <c r="E1" s="138"/>
      <c r="F1" s="138"/>
      <c r="G1" s="139"/>
      <c r="H1" s="139"/>
    </row>
    <row r="2" spans="2:17" ht="44.1" customHeight="1">
      <c r="B2" s="140"/>
      <c r="C2" s="141"/>
      <c r="D2" s="141"/>
      <c r="E2" s="39"/>
      <c r="F2" s="28"/>
      <c r="G2" s="37"/>
      <c r="H2" s="30"/>
    </row>
    <row r="3" spans="2:17" s="13" customFormat="1" ht="36" customHeight="1" thickBot="1">
      <c r="B3" s="1"/>
      <c r="C3" s="2"/>
      <c r="D3" s="44" t="s">
        <v>2</v>
      </c>
      <c r="E3" s="142" t="s">
        <v>0</v>
      </c>
      <c r="F3" s="143"/>
      <c r="G3" s="43" t="s">
        <v>11</v>
      </c>
      <c r="H3" s="31" t="s">
        <v>6</v>
      </c>
      <c r="I3" s="9"/>
      <c r="J3" s="9"/>
      <c r="K3" s="9"/>
      <c r="L3" s="9"/>
      <c r="M3" s="9"/>
      <c r="N3" s="9"/>
      <c r="O3" s="9"/>
      <c r="P3" s="9"/>
      <c r="Q3" s="9"/>
    </row>
    <row r="4" spans="2:17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17" ht="36" customHeight="1">
      <c r="B5" s="61">
        <f>D5</f>
        <v>0</v>
      </c>
      <c r="C5" s="62" t="s">
        <v>10</v>
      </c>
      <c r="D5" s="63"/>
      <c r="E5" s="64"/>
      <c r="F5" s="132" t="str">
        <f>$F$4</f>
        <v>g</v>
      </c>
      <c r="G5" s="77"/>
      <c r="H5" s="33"/>
    </row>
    <row r="6" spans="2:17" ht="36" customHeight="1" thickBot="1">
      <c r="B6" s="65">
        <f>D6</f>
        <v>1</v>
      </c>
      <c r="C6" s="66" t="s">
        <v>15</v>
      </c>
      <c r="D6" s="67">
        <v>1</v>
      </c>
      <c r="E6" s="68"/>
      <c r="F6" s="133" t="str">
        <f>$F$4</f>
        <v>g</v>
      </c>
      <c r="G6" s="78"/>
      <c r="H6" s="34">
        <f>G6*$E$2</f>
        <v>0</v>
      </c>
    </row>
    <row r="7" spans="2:17" ht="36" customHeight="1" thickTop="1">
      <c r="B7" s="135" t="s">
        <v>28</v>
      </c>
      <c r="C7" s="136"/>
      <c r="D7" s="59">
        <f>D5+G6+SUM(D9:D58)</f>
        <v>0</v>
      </c>
      <c r="E7" s="60"/>
      <c r="F7" s="134" t="str">
        <f>$F$4</f>
        <v>g</v>
      </c>
      <c r="G7" s="79"/>
      <c r="H7" s="35"/>
    </row>
    <row r="8" spans="2:17" ht="36" customHeight="1">
      <c r="B8" s="69"/>
      <c r="C8" s="70"/>
      <c r="D8" s="71"/>
      <c r="E8" s="60"/>
      <c r="F8" s="8"/>
      <c r="G8" s="79"/>
      <c r="H8" s="35"/>
    </row>
    <row r="9" spans="2:17" ht="36" customHeight="1">
      <c r="B9" s="69"/>
      <c r="C9" s="70"/>
      <c r="D9" s="71"/>
      <c r="E9" s="60"/>
      <c r="F9" s="130" t="str">
        <f t="shared" ref="F9:F58" si="0">$F$4</f>
        <v>g</v>
      </c>
      <c r="G9" s="79">
        <f t="shared" ref="G9:G58" si="1">ROUNDUP(D9/30,0)</f>
        <v>0</v>
      </c>
      <c r="H9" s="35">
        <f t="shared" ref="H9:H58" si="2">D9*$E$2</f>
        <v>0</v>
      </c>
    </row>
    <row r="10" spans="2:17" ht="36" customHeight="1">
      <c r="B10" s="69"/>
      <c r="C10" s="70"/>
      <c r="D10" s="71"/>
      <c r="E10" s="60"/>
      <c r="F10" s="130" t="str">
        <f t="shared" si="0"/>
        <v>g</v>
      </c>
      <c r="G10" s="79">
        <f t="shared" si="1"/>
        <v>0</v>
      </c>
      <c r="H10" s="35">
        <f t="shared" si="2"/>
        <v>0</v>
      </c>
    </row>
    <row r="11" spans="2:17" ht="36" customHeight="1">
      <c r="B11" s="69"/>
      <c r="C11" s="70"/>
      <c r="D11" s="71"/>
      <c r="E11" s="60"/>
      <c r="F11" s="130" t="str">
        <f t="shared" si="0"/>
        <v>g</v>
      </c>
      <c r="G11" s="79">
        <f t="shared" si="1"/>
        <v>0</v>
      </c>
      <c r="H11" s="35">
        <f t="shared" si="2"/>
        <v>0</v>
      </c>
    </row>
    <row r="12" spans="2:17" ht="36" customHeight="1">
      <c r="B12" s="69"/>
      <c r="C12" s="70"/>
      <c r="D12" s="71"/>
      <c r="E12" s="60"/>
      <c r="F12" s="130" t="str">
        <f t="shared" si="0"/>
        <v>g</v>
      </c>
      <c r="G12" s="79">
        <f t="shared" si="1"/>
        <v>0</v>
      </c>
      <c r="H12" s="35">
        <f t="shared" si="2"/>
        <v>0</v>
      </c>
    </row>
    <row r="13" spans="2:17" ht="36" customHeight="1">
      <c r="B13" s="69"/>
      <c r="C13" s="70"/>
      <c r="D13" s="71"/>
      <c r="E13" s="60"/>
      <c r="F13" s="130" t="str">
        <f t="shared" si="0"/>
        <v>g</v>
      </c>
      <c r="G13" s="79">
        <f t="shared" si="1"/>
        <v>0</v>
      </c>
      <c r="H13" s="35">
        <f t="shared" si="2"/>
        <v>0</v>
      </c>
    </row>
    <row r="14" spans="2:17" ht="36" customHeight="1">
      <c r="B14" s="69"/>
      <c r="C14" s="70"/>
      <c r="D14" s="71"/>
      <c r="E14" s="60"/>
      <c r="F14" s="130" t="str">
        <f t="shared" si="0"/>
        <v>g</v>
      </c>
      <c r="G14" s="79">
        <f t="shared" si="1"/>
        <v>0</v>
      </c>
      <c r="H14" s="35">
        <f t="shared" si="2"/>
        <v>0</v>
      </c>
    </row>
    <row r="15" spans="2:17" ht="36" customHeight="1">
      <c r="B15" s="69"/>
      <c r="C15" s="70"/>
      <c r="D15" s="71"/>
      <c r="E15" s="60"/>
      <c r="F15" s="130" t="str">
        <f t="shared" si="0"/>
        <v>g</v>
      </c>
      <c r="G15" s="79">
        <f t="shared" si="1"/>
        <v>0</v>
      </c>
      <c r="H15" s="35">
        <f t="shared" si="2"/>
        <v>0</v>
      </c>
    </row>
    <row r="16" spans="2:17" ht="36" customHeight="1">
      <c r="B16" s="69"/>
      <c r="C16" s="70"/>
      <c r="D16" s="71"/>
      <c r="E16" s="60"/>
      <c r="F16" s="130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30" t="str">
        <f t="shared" si="0"/>
        <v>g</v>
      </c>
      <c r="G17" s="79">
        <f t="shared" si="1"/>
        <v>0</v>
      </c>
      <c r="H17" s="35">
        <f t="shared" si="2"/>
        <v>0</v>
      </c>
    </row>
    <row r="18" spans="2:8" ht="36" customHeight="1">
      <c r="B18" s="69"/>
      <c r="C18" s="70"/>
      <c r="D18" s="71"/>
      <c r="E18" s="60"/>
      <c r="F18" s="130" t="str">
        <f t="shared" si="0"/>
        <v>g</v>
      </c>
      <c r="G18" s="79">
        <f t="shared" ref="G18:G27" si="3">ROUNDUP(D18/30,0)</f>
        <v>0</v>
      </c>
      <c r="H18" s="35">
        <f t="shared" ref="H18:H27" si="4">D18*$E$2</f>
        <v>0</v>
      </c>
    </row>
    <row r="19" spans="2:8" ht="36" customHeight="1">
      <c r="B19" s="69"/>
      <c r="C19" s="70"/>
      <c r="D19" s="71"/>
      <c r="E19" s="60"/>
      <c r="F19" s="130" t="str">
        <f t="shared" si="0"/>
        <v>g</v>
      </c>
      <c r="G19" s="79">
        <f t="shared" si="3"/>
        <v>0</v>
      </c>
      <c r="H19" s="35">
        <f t="shared" si="4"/>
        <v>0</v>
      </c>
    </row>
    <row r="20" spans="2:8" ht="36" customHeight="1">
      <c r="B20" s="69"/>
      <c r="C20" s="70"/>
      <c r="D20" s="71"/>
      <c r="E20" s="60"/>
      <c r="F20" s="130" t="str">
        <f t="shared" si="0"/>
        <v>g</v>
      </c>
      <c r="G20" s="79">
        <f t="shared" si="3"/>
        <v>0</v>
      </c>
      <c r="H20" s="35">
        <f t="shared" si="4"/>
        <v>0</v>
      </c>
    </row>
    <row r="21" spans="2:8" ht="36" customHeight="1">
      <c r="B21" s="69"/>
      <c r="C21" s="70"/>
      <c r="D21" s="71"/>
      <c r="E21" s="60"/>
      <c r="F21" s="130" t="str">
        <f t="shared" si="0"/>
        <v>g</v>
      </c>
      <c r="G21" s="79">
        <f t="shared" si="3"/>
        <v>0</v>
      </c>
      <c r="H21" s="35">
        <f t="shared" si="4"/>
        <v>0</v>
      </c>
    </row>
    <row r="22" spans="2:8" ht="36" customHeight="1">
      <c r="B22" s="69"/>
      <c r="C22" s="70"/>
      <c r="D22" s="71"/>
      <c r="E22" s="60"/>
      <c r="F22" s="130" t="str">
        <f t="shared" si="0"/>
        <v>g</v>
      </c>
      <c r="G22" s="79">
        <f t="shared" si="3"/>
        <v>0</v>
      </c>
      <c r="H22" s="35">
        <f t="shared" si="4"/>
        <v>0</v>
      </c>
    </row>
    <row r="23" spans="2:8" ht="36" customHeight="1">
      <c r="B23" s="69"/>
      <c r="C23" s="70"/>
      <c r="D23" s="71"/>
      <c r="E23" s="60"/>
      <c r="F23" s="130" t="str">
        <f t="shared" si="0"/>
        <v>g</v>
      </c>
      <c r="G23" s="79">
        <f t="shared" si="3"/>
        <v>0</v>
      </c>
      <c r="H23" s="35">
        <f t="shared" si="4"/>
        <v>0</v>
      </c>
    </row>
    <row r="24" spans="2:8" ht="36" customHeight="1">
      <c r="B24" s="69"/>
      <c r="C24" s="70"/>
      <c r="D24" s="71"/>
      <c r="E24" s="60"/>
      <c r="F24" s="130" t="str">
        <f t="shared" si="0"/>
        <v>g</v>
      </c>
      <c r="G24" s="79">
        <f t="shared" si="3"/>
        <v>0</v>
      </c>
      <c r="H24" s="35">
        <f t="shared" si="4"/>
        <v>0</v>
      </c>
    </row>
    <row r="25" spans="2:8" ht="36" customHeight="1">
      <c r="B25" s="69"/>
      <c r="C25" s="70"/>
      <c r="D25" s="71"/>
      <c r="E25" s="60"/>
      <c r="F25" s="130" t="str">
        <f t="shared" si="0"/>
        <v>g</v>
      </c>
      <c r="G25" s="79">
        <f t="shared" si="3"/>
        <v>0</v>
      </c>
      <c r="H25" s="35">
        <f t="shared" si="4"/>
        <v>0</v>
      </c>
    </row>
    <row r="26" spans="2:8" ht="36" customHeight="1">
      <c r="B26" s="69"/>
      <c r="C26" s="70"/>
      <c r="D26" s="71"/>
      <c r="E26" s="60"/>
      <c r="F26" s="130" t="str">
        <f t="shared" si="0"/>
        <v>g</v>
      </c>
      <c r="G26" s="79">
        <f t="shared" si="3"/>
        <v>0</v>
      </c>
      <c r="H26" s="35">
        <f t="shared" si="4"/>
        <v>0</v>
      </c>
    </row>
    <row r="27" spans="2:8" ht="36" customHeight="1">
      <c r="B27" s="69"/>
      <c r="C27" s="70"/>
      <c r="D27" s="71"/>
      <c r="E27" s="60"/>
      <c r="F27" s="130" t="str">
        <f t="shared" si="0"/>
        <v>g</v>
      </c>
      <c r="G27" s="79">
        <f t="shared" si="3"/>
        <v>0</v>
      </c>
      <c r="H27" s="35">
        <f t="shared" si="4"/>
        <v>0</v>
      </c>
    </row>
    <row r="28" spans="2:8" ht="36" hidden="1" customHeight="1">
      <c r="B28" s="69"/>
      <c r="C28" s="70"/>
      <c r="D28" s="71"/>
      <c r="E28" s="60"/>
      <c r="F28" s="130" t="str">
        <f t="shared" si="0"/>
        <v>g</v>
      </c>
      <c r="G28" s="79">
        <f t="shared" si="1"/>
        <v>0</v>
      </c>
      <c r="H28" s="35">
        <f t="shared" si="2"/>
        <v>0</v>
      </c>
    </row>
    <row r="29" spans="2:8" ht="36" hidden="1" customHeight="1">
      <c r="B29" s="69"/>
      <c r="C29" s="70"/>
      <c r="D29" s="71"/>
      <c r="E29" s="60"/>
      <c r="F29" s="130" t="str">
        <f t="shared" si="0"/>
        <v>g</v>
      </c>
      <c r="G29" s="79">
        <f t="shared" si="1"/>
        <v>0</v>
      </c>
      <c r="H29" s="35">
        <f t="shared" si="2"/>
        <v>0</v>
      </c>
    </row>
    <row r="30" spans="2:8" ht="36" hidden="1" customHeight="1">
      <c r="B30" s="69"/>
      <c r="C30" s="70"/>
      <c r="D30" s="71"/>
      <c r="E30" s="60"/>
      <c r="F30" s="130" t="str">
        <f t="shared" si="0"/>
        <v>g</v>
      </c>
      <c r="G30" s="79">
        <f t="shared" si="1"/>
        <v>0</v>
      </c>
      <c r="H30" s="35">
        <f t="shared" si="2"/>
        <v>0</v>
      </c>
    </row>
    <row r="31" spans="2:8" ht="36" hidden="1" customHeight="1">
      <c r="B31" s="69"/>
      <c r="C31" s="70"/>
      <c r="D31" s="71"/>
      <c r="E31" s="60"/>
      <c r="F31" s="130" t="str">
        <f t="shared" si="0"/>
        <v>g</v>
      </c>
      <c r="G31" s="79">
        <f t="shared" si="1"/>
        <v>0</v>
      </c>
      <c r="H31" s="35">
        <f t="shared" si="2"/>
        <v>0</v>
      </c>
    </row>
    <row r="32" spans="2:8" ht="36" hidden="1" customHeight="1">
      <c r="B32" s="69"/>
      <c r="C32" s="70"/>
      <c r="D32" s="71"/>
      <c r="E32" s="60"/>
      <c r="F32" s="130" t="str">
        <f t="shared" si="0"/>
        <v>g</v>
      </c>
      <c r="G32" s="79">
        <f t="shared" si="1"/>
        <v>0</v>
      </c>
      <c r="H32" s="35">
        <f t="shared" si="2"/>
        <v>0</v>
      </c>
    </row>
    <row r="33" spans="2:8" ht="36" hidden="1" customHeight="1">
      <c r="B33" s="69"/>
      <c r="C33" s="70"/>
      <c r="D33" s="71"/>
      <c r="E33" s="60"/>
      <c r="F33" s="130" t="str">
        <f t="shared" si="0"/>
        <v>g</v>
      </c>
      <c r="G33" s="79">
        <f t="shared" si="1"/>
        <v>0</v>
      </c>
      <c r="H33" s="35">
        <f t="shared" si="2"/>
        <v>0</v>
      </c>
    </row>
    <row r="34" spans="2:8" ht="36" hidden="1" customHeight="1">
      <c r="B34" s="69"/>
      <c r="C34" s="70"/>
      <c r="D34" s="71"/>
      <c r="E34" s="60"/>
      <c r="F34" s="130" t="str">
        <f t="shared" si="0"/>
        <v>g</v>
      </c>
      <c r="G34" s="79">
        <f t="shared" si="1"/>
        <v>0</v>
      </c>
      <c r="H34" s="35">
        <f t="shared" si="2"/>
        <v>0</v>
      </c>
    </row>
    <row r="35" spans="2:8" ht="36" hidden="1" customHeight="1">
      <c r="B35" s="69"/>
      <c r="C35" s="70"/>
      <c r="D35" s="71"/>
      <c r="E35" s="60"/>
      <c r="F35" s="130" t="str">
        <f t="shared" si="0"/>
        <v>g</v>
      </c>
      <c r="G35" s="79">
        <f t="shared" si="1"/>
        <v>0</v>
      </c>
      <c r="H35" s="35">
        <f t="shared" si="2"/>
        <v>0</v>
      </c>
    </row>
    <row r="36" spans="2:8" ht="36" hidden="1" customHeight="1">
      <c r="B36" s="69"/>
      <c r="C36" s="70"/>
      <c r="D36" s="71"/>
      <c r="E36" s="60"/>
      <c r="F36" s="130" t="str">
        <f t="shared" si="0"/>
        <v>g</v>
      </c>
      <c r="G36" s="79">
        <f t="shared" si="1"/>
        <v>0</v>
      </c>
      <c r="H36" s="35">
        <f t="shared" si="2"/>
        <v>0</v>
      </c>
    </row>
    <row r="37" spans="2:8" ht="36" hidden="1" customHeight="1">
      <c r="B37" s="69"/>
      <c r="C37" s="70"/>
      <c r="D37" s="71"/>
      <c r="E37" s="60"/>
      <c r="F37" s="130" t="str">
        <f t="shared" si="0"/>
        <v>g</v>
      </c>
      <c r="G37" s="79">
        <f t="shared" si="1"/>
        <v>0</v>
      </c>
      <c r="H37" s="35">
        <f t="shared" si="2"/>
        <v>0</v>
      </c>
    </row>
    <row r="38" spans="2:8" ht="36" hidden="1" customHeight="1">
      <c r="B38" s="69"/>
      <c r="C38" s="70"/>
      <c r="D38" s="71"/>
      <c r="E38" s="60"/>
      <c r="F38" s="130" t="str">
        <f t="shared" si="0"/>
        <v>g</v>
      </c>
      <c r="G38" s="79">
        <f t="shared" ref="G38:G47" si="5">ROUNDUP(D38/30,0)</f>
        <v>0</v>
      </c>
      <c r="H38" s="35">
        <f t="shared" ref="H38:H47" si="6">D38*$E$2</f>
        <v>0</v>
      </c>
    </row>
    <row r="39" spans="2:8" ht="36" hidden="1" customHeight="1">
      <c r="B39" s="69"/>
      <c r="C39" s="70"/>
      <c r="D39" s="71"/>
      <c r="E39" s="60"/>
      <c r="F39" s="130" t="str">
        <f t="shared" si="0"/>
        <v>g</v>
      </c>
      <c r="G39" s="79">
        <f t="shared" si="5"/>
        <v>0</v>
      </c>
      <c r="H39" s="35">
        <f t="shared" si="6"/>
        <v>0</v>
      </c>
    </row>
    <row r="40" spans="2:8" ht="36" hidden="1" customHeight="1">
      <c r="B40" s="69"/>
      <c r="C40" s="70"/>
      <c r="D40" s="71"/>
      <c r="E40" s="60"/>
      <c r="F40" s="130" t="str">
        <f t="shared" si="0"/>
        <v>g</v>
      </c>
      <c r="G40" s="79">
        <f t="shared" si="5"/>
        <v>0</v>
      </c>
      <c r="H40" s="35">
        <f t="shared" si="6"/>
        <v>0</v>
      </c>
    </row>
    <row r="41" spans="2:8" ht="36" hidden="1" customHeight="1">
      <c r="B41" s="69"/>
      <c r="C41" s="70"/>
      <c r="D41" s="71"/>
      <c r="E41" s="60"/>
      <c r="F41" s="130" t="str">
        <f t="shared" si="0"/>
        <v>g</v>
      </c>
      <c r="G41" s="79">
        <f t="shared" si="5"/>
        <v>0</v>
      </c>
      <c r="H41" s="35">
        <f t="shared" si="6"/>
        <v>0</v>
      </c>
    </row>
    <row r="42" spans="2:8" ht="36" hidden="1" customHeight="1">
      <c r="B42" s="69"/>
      <c r="C42" s="70"/>
      <c r="D42" s="71"/>
      <c r="E42" s="60"/>
      <c r="F42" s="130" t="str">
        <f t="shared" si="0"/>
        <v>g</v>
      </c>
      <c r="G42" s="79">
        <f t="shared" si="5"/>
        <v>0</v>
      </c>
      <c r="H42" s="35">
        <f t="shared" si="6"/>
        <v>0</v>
      </c>
    </row>
    <row r="43" spans="2:8" ht="36" hidden="1" customHeight="1">
      <c r="B43" s="69"/>
      <c r="C43" s="70"/>
      <c r="D43" s="71"/>
      <c r="E43" s="60"/>
      <c r="F43" s="130" t="str">
        <f t="shared" si="0"/>
        <v>g</v>
      </c>
      <c r="G43" s="79">
        <f t="shared" si="5"/>
        <v>0</v>
      </c>
      <c r="H43" s="35">
        <f t="shared" si="6"/>
        <v>0</v>
      </c>
    </row>
    <row r="44" spans="2:8" ht="36" hidden="1" customHeight="1">
      <c r="B44" s="69"/>
      <c r="C44" s="70"/>
      <c r="D44" s="71"/>
      <c r="E44" s="60"/>
      <c r="F44" s="130" t="str">
        <f t="shared" si="0"/>
        <v>g</v>
      </c>
      <c r="G44" s="79">
        <f t="shared" si="5"/>
        <v>0</v>
      </c>
      <c r="H44" s="35">
        <f t="shared" si="6"/>
        <v>0</v>
      </c>
    </row>
    <row r="45" spans="2:8" ht="36" hidden="1" customHeight="1">
      <c r="B45" s="69"/>
      <c r="C45" s="70"/>
      <c r="D45" s="71"/>
      <c r="E45" s="60"/>
      <c r="F45" s="130" t="str">
        <f t="shared" si="0"/>
        <v>g</v>
      </c>
      <c r="G45" s="79">
        <f t="shared" si="5"/>
        <v>0</v>
      </c>
      <c r="H45" s="35">
        <f t="shared" si="6"/>
        <v>0</v>
      </c>
    </row>
    <row r="46" spans="2:8" ht="36" hidden="1" customHeight="1">
      <c r="B46" s="69"/>
      <c r="C46" s="70"/>
      <c r="D46" s="71"/>
      <c r="E46" s="60"/>
      <c r="F46" s="130" t="str">
        <f t="shared" si="0"/>
        <v>g</v>
      </c>
      <c r="G46" s="79">
        <f t="shared" si="5"/>
        <v>0</v>
      </c>
      <c r="H46" s="35">
        <f t="shared" si="6"/>
        <v>0</v>
      </c>
    </row>
    <row r="47" spans="2:8" ht="36" hidden="1" customHeight="1">
      <c r="B47" s="69"/>
      <c r="C47" s="70"/>
      <c r="D47" s="71"/>
      <c r="E47" s="60"/>
      <c r="F47" s="130" t="str">
        <f t="shared" si="0"/>
        <v>g</v>
      </c>
      <c r="G47" s="79">
        <f t="shared" si="5"/>
        <v>0</v>
      </c>
      <c r="H47" s="35">
        <f t="shared" si="6"/>
        <v>0</v>
      </c>
    </row>
    <row r="48" spans="2:8" ht="36" hidden="1" customHeight="1">
      <c r="B48" s="69"/>
      <c r="C48" s="70"/>
      <c r="D48" s="71"/>
      <c r="E48" s="60"/>
      <c r="F48" s="130" t="str">
        <f t="shared" si="0"/>
        <v>g</v>
      </c>
      <c r="G48" s="79">
        <f t="shared" si="1"/>
        <v>0</v>
      </c>
      <c r="H48" s="35">
        <f t="shared" si="2"/>
        <v>0</v>
      </c>
    </row>
    <row r="49" spans="2:17" ht="36" hidden="1" customHeight="1">
      <c r="B49" s="69"/>
      <c r="C49" s="70"/>
      <c r="D49" s="71"/>
      <c r="E49" s="60"/>
      <c r="F49" s="130" t="str">
        <f t="shared" si="0"/>
        <v>g</v>
      </c>
      <c r="G49" s="79">
        <f t="shared" si="1"/>
        <v>0</v>
      </c>
      <c r="H49" s="35">
        <f t="shared" si="2"/>
        <v>0</v>
      </c>
    </row>
    <row r="50" spans="2:17" ht="36" hidden="1" customHeight="1">
      <c r="B50" s="69"/>
      <c r="C50" s="70"/>
      <c r="D50" s="71"/>
      <c r="E50" s="60"/>
      <c r="F50" s="130" t="str">
        <f t="shared" si="0"/>
        <v>g</v>
      </c>
      <c r="G50" s="79">
        <f t="shared" si="1"/>
        <v>0</v>
      </c>
      <c r="H50" s="35">
        <f t="shared" si="2"/>
        <v>0</v>
      </c>
    </row>
    <row r="51" spans="2:17" ht="36" hidden="1" customHeight="1">
      <c r="B51" s="69"/>
      <c r="C51" s="70"/>
      <c r="D51" s="71"/>
      <c r="E51" s="60"/>
      <c r="F51" s="130" t="str">
        <f t="shared" si="0"/>
        <v>g</v>
      </c>
      <c r="G51" s="79">
        <f t="shared" si="1"/>
        <v>0</v>
      </c>
      <c r="H51" s="35">
        <f t="shared" si="2"/>
        <v>0</v>
      </c>
    </row>
    <row r="52" spans="2:17" ht="36" hidden="1" customHeight="1">
      <c r="B52" s="69"/>
      <c r="C52" s="70"/>
      <c r="D52" s="71"/>
      <c r="E52" s="60"/>
      <c r="F52" s="130" t="str">
        <f t="shared" si="0"/>
        <v>g</v>
      </c>
      <c r="G52" s="79">
        <f t="shared" si="1"/>
        <v>0</v>
      </c>
      <c r="H52" s="35">
        <f t="shared" si="2"/>
        <v>0</v>
      </c>
    </row>
    <row r="53" spans="2:17" ht="36" hidden="1" customHeight="1">
      <c r="B53" s="69"/>
      <c r="C53" s="70"/>
      <c r="D53" s="71"/>
      <c r="E53" s="60"/>
      <c r="F53" s="130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30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30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30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30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customHeight="1" thickBot="1">
      <c r="B58" s="72"/>
      <c r="C58" s="73"/>
      <c r="D58" s="74"/>
      <c r="E58" s="75"/>
      <c r="F58" s="131" t="str">
        <f t="shared" si="0"/>
        <v>g</v>
      </c>
      <c r="G58" s="80">
        <f t="shared" si="1"/>
        <v>0</v>
      </c>
      <c r="H58" s="36">
        <f t="shared" si="2"/>
        <v>0</v>
      </c>
    </row>
    <row r="59" spans="2:17" s="13" customFormat="1" ht="32.1" customHeight="1">
      <c r="B59" s="12"/>
      <c r="C59" s="12"/>
      <c r="D59" s="12"/>
      <c r="E59" s="21"/>
      <c r="F59" s="2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F66" s="29"/>
      <c r="G66" s="13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</sheetData>
  <mergeCells count="6">
    <mergeCell ref="B7:C7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Q68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3" style="10" customWidth="1"/>
    <col min="4" max="4" width="8.88671875" style="10" customWidth="1"/>
    <col min="5" max="5" width="8.88671875" style="20" hidden="1" customWidth="1"/>
    <col min="6" max="8" width="8.88671875" style="12" hidden="1" customWidth="1"/>
    <col min="9" max="10" width="8.88671875" style="9" customWidth="1"/>
    <col min="11" max="13" width="8.88671875" style="9" hidden="1" customWidth="1"/>
    <col min="14" max="14" width="7.6640625" style="9" customWidth="1"/>
    <col min="15" max="15" width="7.6640625" style="9" hidden="1" customWidth="1"/>
    <col min="16" max="17" width="7.6640625" style="9" customWidth="1"/>
    <col min="18" max="16384" width="13.109375" style="10"/>
  </cols>
  <sheetData>
    <row r="1" spans="2:17" ht="48" customHeight="1" thickBot="1">
      <c r="B1" s="148" t="s">
        <v>7</v>
      </c>
      <c r="C1" s="139"/>
      <c r="D1" s="139"/>
      <c r="E1" s="139"/>
      <c r="F1" s="139"/>
      <c r="G1" s="139"/>
      <c r="H1" s="139"/>
      <c r="I1" s="139"/>
      <c r="J1" s="139"/>
      <c r="N1" s="147"/>
      <c r="O1" s="147"/>
    </row>
    <row r="2" spans="2:17" ht="18.75" hidden="1" customHeight="1" thickBot="1">
      <c r="B2" s="144"/>
      <c r="C2" s="144"/>
      <c r="D2" s="144"/>
      <c r="E2" s="11"/>
      <c r="I2" s="9" t="s">
        <v>17</v>
      </c>
      <c r="K2" s="9">
        <v>30</v>
      </c>
      <c r="L2" s="9" t="s">
        <v>18</v>
      </c>
    </row>
    <row r="3" spans="2:17" s="13" customFormat="1" ht="36" customHeight="1" thickBot="1">
      <c r="B3" s="5"/>
      <c r="C3" s="46" t="s">
        <v>0</v>
      </c>
      <c r="D3" s="47" t="s">
        <v>2</v>
      </c>
      <c r="E3" s="48" t="s">
        <v>3</v>
      </c>
      <c r="F3" s="49" t="s">
        <v>4</v>
      </c>
      <c r="G3" s="47" t="s">
        <v>5</v>
      </c>
      <c r="H3" s="47" t="s">
        <v>6</v>
      </c>
      <c r="I3" s="49" t="s">
        <v>19</v>
      </c>
      <c r="J3" s="50" t="s">
        <v>23</v>
      </c>
      <c r="K3" s="7" t="s">
        <v>20</v>
      </c>
      <c r="L3" s="7" t="s">
        <v>21</v>
      </c>
      <c r="M3" s="6" t="s">
        <v>22</v>
      </c>
      <c r="N3" s="9"/>
      <c r="O3" s="9"/>
      <c r="P3" s="9"/>
      <c r="Q3" s="9"/>
    </row>
    <row r="4" spans="2:17" ht="36" customHeight="1" thickTop="1">
      <c r="B4" s="145" t="s">
        <v>1</v>
      </c>
      <c r="C4" s="146"/>
      <c r="D4" s="81"/>
      <c r="E4" s="82">
        <v>0.93</v>
      </c>
      <c r="F4" s="83">
        <v>13.125</v>
      </c>
      <c r="G4" s="84">
        <v>20</v>
      </c>
      <c r="H4" s="85"/>
      <c r="I4" s="86"/>
      <c r="J4" s="87"/>
      <c r="K4" s="14"/>
      <c r="L4" s="14"/>
      <c r="M4" s="14"/>
    </row>
    <row r="5" spans="2:17" ht="36" customHeight="1">
      <c r="B5" s="61"/>
      <c r="C5" s="62" t="s">
        <v>24</v>
      </c>
      <c r="D5" s="88">
        <f>B5*2</f>
        <v>0</v>
      </c>
      <c r="E5" s="89">
        <f t="shared" ref="E5:E55" si="0">D5*$E$4</f>
        <v>0</v>
      </c>
      <c r="F5" s="90">
        <f t="shared" ref="F5:F55" si="1">D5*$F$4</f>
        <v>0</v>
      </c>
      <c r="G5" s="90">
        <f t="shared" ref="G5:G55" si="2">D5*$G$4</f>
        <v>0</v>
      </c>
      <c r="H5" s="91">
        <f t="shared" ref="H5:H55" si="3">SUM(E5:G5)</f>
        <v>0</v>
      </c>
      <c r="I5" s="92">
        <f>IF(B5=0,0,2)</f>
        <v>0</v>
      </c>
      <c r="J5" s="91">
        <f t="shared" ref="J5:J36" si="4">SUM(K5:M5)</f>
        <v>0</v>
      </c>
      <c r="K5" s="15">
        <f t="shared" ref="K5:K32" si="5">IF(E5=0,0,E5/$I5)</f>
        <v>0</v>
      </c>
      <c r="L5" s="15">
        <f t="shared" ref="L5:L32" si="6">IF(F5=0,0,F5/$I5)</f>
        <v>0</v>
      </c>
      <c r="M5" s="15">
        <f t="shared" ref="M5:M32" si="7">IF(G5=0,0,G5/$I5)</f>
        <v>0</v>
      </c>
    </row>
    <row r="6" spans="2:17" ht="36" customHeight="1" thickBot="1">
      <c r="B6" s="65"/>
      <c r="C6" s="66" t="s">
        <v>25</v>
      </c>
      <c r="D6" s="93">
        <f>B6*3</f>
        <v>0</v>
      </c>
      <c r="E6" s="94">
        <f t="shared" si="0"/>
        <v>0</v>
      </c>
      <c r="F6" s="95">
        <f t="shared" si="1"/>
        <v>0</v>
      </c>
      <c r="G6" s="95">
        <f t="shared" si="2"/>
        <v>0</v>
      </c>
      <c r="H6" s="96">
        <f t="shared" si="3"/>
        <v>0</v>
      </c>
      <c r="I6" s="97">
        <f>IF(B6=0,0,3)</f>
        <v>0</v>
      </c>
      <c r="J6" s="98">
        <f t="shared" si="4"/>
        <v>0</v>
      </c>
      <c r="K6" s="17">
        <f t="shared" si="5"/>
        <v>0</v>
      </c>
      <c r="L6" s="17">
        <f t="shared" si="6"/>
        <v>0</v>
      </c>
      <c r="M6" s="17">
        <f t="shared" si="7"/>
        <v>0</v>
      </c>
    </row>
    <row r="7" spans="2:17" ht="36" customHeight="1" thickTop="1">
      <c r="B7" s="69"/>
      <c r="C7" s="99"/>
      <c r="D7" s="100"/>
      <c r="E7" s="101">
        <f t="shared" si="0"/>
        <v>0</v>
      </c>
      <c r="F7" s="102">
        <f t="shared" si="1"/>
        <v>0</v>
      </c>
      <c r="G7" s="102">
        <f t="shared" si="2"/>
        <v>0</v>
      </c>
      <c r="H7" s="103">
        <f t="shared" si="3"/>
        <v>0</v>
      </c>
      <c r="I7" s="104">
        <f t="shared" ref="I7:I55" si="8">ROUNDUP((D7/$K$2), 0)</f>
        <v>0</v>
      </c>
      <c r="J7" s="105">
        <f t="shared" si="4"/>
        <v>0</v>
      </c>
      <c r="K7" s="18">
        <f t="shared" si="5"/>
        <v>0</v>
      </c>
      <c r="L7" s="18">
        <f t="shared" si="6"/>
        <v>0</v>
      </c>
      <c r="M7" s="18">
        <f t="shared" si="7"/>
        <v>0</v>
      </c>
    </row>
    <row r="8" spans="2:17" ht="36" customHeight="1">
      <c r="B8" s="69"/>
      <c r="C8" s="99"/>
      <c r="D8" s="106"/>
      <c r="E8" s="101">
        <f t="shared" si="0"/>
        <v>0</v>
      </c>
      <c r="F8" s="102">
        <f t="shared" si="1"/>
        <v>0</v>
      </c>
      <c r="G8" s="102">
        <f t="shared" si="2"/>
        <v>0</v>
      </c>
      <c r="H8" s="103">
        <f t="shared" si="3"/>
        <v>0</v>
      </c>
      <c r="I8" s="104">
        <f t="shared" si="8"/>
        <v>0</v>
      </c>
      <c r="J8" s="91">
        <f t="shared" si="4"/>
        <v>0</v>
      </c>
      <c r="K8" s="15">
        <f t="shared" si="5"/>
        <v>0</v>
      </c>
      <c r="L8" s="15">
        <f t="shared" si="6"/>
        <v>0</v>
      </c>
      <c r="M8" s="15">
        <f t="shared" si="7"/>
        <v>0</v>
      </c>
    </row>
    <row r="9" spans="2:17" ht="36" customHeight="1">
      <c r="B9" s="69"/>
      <c r="C9" s="99"/>
      <c r="D9" s="106"/>
      <c r="E9" s="101">
        <f t="shared" si="0"/>
        <v>0</v>
      </c>
      <c r="F9" s="102">
        <f t="shared" si="1"/>
        <v>0</v>
      </c>
      <c r="G9" s="102">
        <f t="shared" si="2"/>
        <v>0</v>
      </c>
      <c r="H9" s="103">
        <f t="shared" si="3"/>
        <v>0</v>
      </c>
      <c r="I9" s="104">
        <f t="shared" si="8"/>
        <v>0</v>
      </c>
      <c r="J9" s="91">
        <f t="shared" si="4"/>
        <v>0</v>
      </c>
      <c r="K9" s="15">
        <f t="shared" si="5"/>
        <v>0</v>
      </c>
      <c r="L9" s="15">
        <f t="shared" si="6"/>
        <v>0</v>
      </c>
      <c r="M9" s="15">
        <f t="shared" si="7"/>
        <v>0</v>
      </c>
    </row>
    <row r="10" spans="2:17" ht="36" customHeight="1">
      <c r="B10" s="69"/>
      <c r="C10" s="99"/>
      <c r="D10" s="106"/>
      <c r="E10" s="101">
        <f t="shared" si="0"/>
        <v>0</v>
      </c>
      <c r="F10" s="102">
        <f t="shared" si="1"/>
        <v>0</v>
      </c>
      <c r="G10" s="102">
        <f t="shared" si="2"/>
        <v>0</v>
      </c>
      <c r="H10" s="103">
        <f t="shared" si="3"/>
        <v>0</v>
      </c>
      <c r="I10" s="104">
        <f t="shared" si="8"/>
        <v>0</v>
      </c>
      <c r="J10" s="91">
        <f t="shared" si="4"/>
        <v>0</v>
      </c>
      <c r="K10" s="15">
        <f t="shared" si="5"/>
        <v>0</v>
      </c>
      <c r="L10" s="15">
        <f t="shared" si="6"/>
        <v>0</v>
      </c>
      <c r="M10" s="15">
        <f t="shared" si="7"/>
        <v>0</v>
      </c>
    </row>
    <row r="11" spans="2:17" ht="36" customHeight="1">
      <c r="B11" s="69"/>
      <c r="C11" s="99"/>
      <c r="D11" s="106"/>
      <c r="E11" s="101">
        <f t="shared" si="0"/>
        <v>0</v>
      </c>
      <c r="F11" s="102">
        <f t="shared" si="1"/>
        <v>0</v>
      </c>
      <c r="G11" s="102">
        <f t="shared" si="2"/>
        <v>0</v>
      </c>
      <c r="H11" s="103">
        <f t="shared" si="3"/>
        <v>0</v>
      </c>
      <c r="I11" s="104">
        <f t="shared" si="8"/>
        <v>0</v>
      </c>
      <c r="J11" s="91">
        <f t="shared" si="4"/>
        <v>0</v>
      </c>
      <c r="K11" s="15">
        <f t="shared" si="5"/>
        <v>0</v>
      </c>
      <c r="L11" s="15">
        <f t="shared" si="6"/>
        <v>0</v>
      </c>
      <c r="M11" s="15">
        <f t="shared" si="7"/>
        <v>0</v>
      </c>
    </row>
    <row r="12" spans="2:17" ht="36" customHeight="1">
      <c r="B12" s="69"/>
      <c r="C12" s="99"/>
      <c r="D12" s="106"/>
      <c r="E12" s="101">
        <f t="shared" si="0"/>
        <v>0</v>
      </c>
      <c r="F12" s="102">
        <f t="shared" si="1"/>
        <v>0</v>
      </c>
      <c r="G12" s="102">
        <f t="shared" si="2"/>
        <v>0</v>
      </c>
      <c r="H12" s="103">
        <f t="shared" si="3"/>
        <v>0</v>
      </c>
      <c r="I12" s="104">
        <f t="shared" si="8"/>
        <v>0</v>
      </c>
      <c r="J12" s="91">
        <f t="shared" si="4"/>
        <v>0</v>
      </c>
      <c r="K12" s="15">
        <f t="shared" si="5"/>
        <v>0</v>
      </c>
      <c r="L12" s="15">
        <f t="shared" si="6"/>
        <v>0</v>
      </c>
      <c r="M12" s="15">
        <f t="shared" si="7"/>
        <v>0</v>
      </c>
    </row>
    <row r="13" spans="2:17" ht="36" customHeight="1">
      <c r="B13" s="69"/>
      <c r="C13" s="99"/>
      <c r="D13" s="106"/>
      <c r="E13" s="101">
        <f t="shared" si="0"/>
        <v>0</v>
      </c>
      <c r="F13" s="102">
        <f t="shared" si="1"/>
        <v>0</v>
      </c>
      <c r="G13" s="102">
        <f t="shared" si="2"/>
        <v>0</v>
      </c>
      <c r="H13" s="103">
        <f t="shared" si="3"/>
        <v>0</v>
      </c>
      <c r="I13" s="104">
        <f t="shared" si="8"/>
        <v>0</v>
      </c>
      <c r="J13" s="91">
        <f t="shared" si="4"/>
        <v>0</v>
      </c>
      <c r="K13" s="15">
        <f t="shared" si="5"/>
        <v>0</v>
      </c>
      <c r="L13" s="15">
        <f t="shared" si="6"/>
        <v>0</v>
      </c>
      <c r="M13" s="15">
        <f t="shared" si="7"/>
        <v>0</v>
      </c>
    </row>
    <row r="14" spans="2:17" ht="36" customHeight="1">
      <c r="B14" s="69"/>
      <c r="C14" s="99"/>
      <c r="D14" s="106"/>
      <c r="E14" s="101">
        <f t="shared" si="0"/>
        <v>0</v>
      </c>
      <c r="F14" s="102">
        <f t="shared" si="1"/>
        <v>0</v>
      </c>
      <c r="G14" s="102">
        <f t="shared" si="2"/>
        <v>0</v>
      </c>
      <c r="H14" s="103">
        <f t="shared" si="3"/>
        <v>0</v>
      </c>
      <c r="I14" s="104">
        <f t="shared" si="8"/>
        <v>0</v>
      </c>
      <c r="J14" s="91">
        <f t="shared" si="4"/>
        <v>0</v>
      </c>
      <c r="K14" s="15">
        <f t="shared" si="5"/>
        <v>0</v>
      </c>
      <c r="L14" s="15">
        <f t="shared" si="6"/>
        <v>0</v>
      </c>
      <c r="M14" s="15">
        <f t="shared" si="7"/>
        <v>0</v>
      </c>
    </row>
    <row r="15" spans="2:17" ht="36" customHeight="1">
      <c r="B15" s="69"/>
      <c r="C15" s="99"/>
      <c r="D15" s="106"/>
      <c r="E15" s="101">
        <f t="shared" si="0"/>
        <v>0</v>
      </c>
      <c r="F15" s="102">
        <f t="shared" si="1"/>
        <v>0</v>
      </c>
      <c r="G15" s="102">
        <f t="shared" si="2"/>
        <v>0</v>
      </c>
      <c r="H15" s="103">
        <f t="shared" si="3"/>
        <v>0</v>
      </c>
      <c r="I15" s="104">
        <f t="shared" si="8"/>
        <v>0</v>
      </c>
      <c r="J15" s="91">
        <f t="shared" si="4"/>
        <v>0</v>
      </c>
      <c r="K15" s="15">
        <f t="shared" si="5"/>
        <v>0</v>
      </c>
      <c r="L15" s="15">
        <f t="shared" si="6"/>
        <v>0</v>
      </c>
      <c r="M15" s="15">
        <f t="shared" si="7"/>
        <v>0</v>
      </c>
    </row>
    <row r="16" spans="2:17" ht="36" customHeight="1">
      <c r="B16" s="69"/>
      <c r="C16" s="99"/>
      <c r="D16" s="106"/>
      <c r="E16" s="101">
        <f t="shared" si="0"/>
        <v>0</v>
      </c>
      <c r="F16" s="102">
        <f t="shared" si="1"/>
        <v>0</v>
      </c>
      <c r="G16" s="102">
        <f t="shared" si="2"/>
        <v>0</v>
      </c>
      <c r="H16" s="103">
        <f t="shared" si="3"/>
        <v>0</v>
      </c>
      <c r="I16" s="104">
        <f t="shared" si="8"/>
        <v>0</v>
      </c>
      <c r="J16" s="91">
        <f t="shared" si="4"/>
        <v>0</v>
      </c>
      <c r="K16" s="15">
        <f t="shared" si="5"/>
        <v>0</v>
      </c>
      <c r="L16" s="15">
        <f t="shared" si="6"/>
        <v>0</v>
      </c>
      <c r="M16" s="15">
        <f t="shared" si="7"/>
        <v>0</v>
      </c>
    </row>
    <row r="17" spans="2:13" ht="36" customHeight="1">
      <c r="B17" s="69"/>
      <c r="C17" s="99"/>
      <c r="D17" s="106"/>
      <c r="E17" s="101">
        <f t="shared" si="0"/>
        <v>0</v>
      </c>
      <c r="F17" s="102">
        <f t="shared" si="1"/>
        <v>0</v>
      </c>
      <c r="G17" s="102">
        <f t="shared" si="2"/>
        <v>0</v>
      </c>
      <c r="H17" s="103">
        <f t="shared" si="3"/>
        <v>0</v>
      </c>
      <c r="I17" s="104">
        <f t="shared" si="8"/>
        <v>0</v>
      </c>
      <c r="J17" s="91">
        <f t="shared" si="4"/>
        <v>0</v>
      </c>
      <c r="K17" s="15">
        <f t="shared" si="5"/>
        <v>0</v>
      </c>
      <c r="L17" s="15">
        <f t="shared" si="6"/>
        <v>0</v>
      </c>
      <c r="M17" s="15">
        <f t="shared" si="7"/>
        <v>0</v>
      </c>
    </row>
    <row r="18" spans="2:13" ht="36" customHeight="1">
      <c r="B18" s="69"/>
      <c r="C18" s="99"/>
      <c r="D18" s="106"/>
      <c r="E18" s="101">
        <f t="shared" si="0"/>
        <v>0</v>
      </c>
      <c r="F18" s="102">
        <f t="shared" si="1"/>
        <v>0</v>
      </c>
      <c r="G18" s="102">
        <f t="shared" si="2"/>
        <v>0</v>
      </c>
      <c r="H18" s="103">
        <f t="shared" si="3"/>
        <v>0</v>
      </c>
      <c r="I18" s="104">
        <f t="shared" si="8"/>
        <v>0</v>
      </c>
      <c r="J18" s="91">
        <f t="shared" si="4"/>
        <v>0</v>
      </c>
      <c r="K18" s="15">
        <f t="shared" si="5"/>
        <v>0</v>
      </c>
      <c r="L18" s="15">
        <f t="shared" si="6"/>
        <v>0</v>
      </c>
      <c r="M18" s="15">
        <f t="shared" si="7"/>
        <v>0</v>
      </c>
    </row>
    <row r="19" spans="2:13" ht="36" customHeight="1">
      <c r="B19" s="69"/>
      <c r="C19" s="99"/>
      <c r="D19" s="106"/>
      <c r="E19" s="101">
        <f t="shared" si="0"/>
        <v>0</v>
      </c>
      <c r="F19" s="102">
        <f t="shared" si="1"/>
        <v>0</v>
      </c>
      <c r="G19" s="102">
        <f t="shared" si="2"/>
        <v>0</v>
      </c>
      <c r="H19" s="103">
        <f t="shared" si="3"/>
        <v>0</v>
      </c>
      <c r="I19" s="104">
        <f t="shared" si="8"/>
        <v>0</v>
      </c>
      <c r="J19" s="91">
        <f t="shared" si="4"/>
        <v>0</v>
      </c>
      <c r="K19" s="15">
        <f t="shared" si="5"/>
        <v>0</v>
      </c>
      <c r="L19" s="15">
        <f t="shared" si="6"/>
        <v>0</v>
      </c>
      <c r="M19" s="15">
        <f t="shared" si="7"/>
        <v>0</v>
      </c>
    </row>
    <row r="20" spans="2:13" ht="36" customHeight="1">
      <c r="B20" s="69"/>
      <c r="C20" s="99"/>
      <c r="D20" s="106"/>
      <c r="E20" s="101">
        <f t="shared" si="0"/>
        <v>0</v>
      </c>
      <c r="F20" s="102">
        <f t="shared" si="1"/>
        <v>0</v>
      </c>
      <c r="G20" s="102">
        <f t="shared" si="2"/>
        <v>0</v>
      </c>
      <c r="H20" s="103">
        <f t="shared" si="3"/>
        <v>0</v>
      </c>
      <c r="I20" s="104">
        <f t="shared" si="8"/>
        <v>0</v>
      </c>
      <c r="J20" s="91">
        <f t="shared" si="4"/>
        <v>0</v>
      </c>
      <c r="K20" s="15">
        <f t="shared" si="5"/>
        <v>0</v>
      </c>
      <c r="L20" s="15">
        <f t="shared" si="6"/>
        <v>0</v>
      </c>
      <c r="M20" s="15">
        <f t="shared" si="7"/>
        <v>0</v>
      </c>
    </row>
    <row r="21" spans="2:13" ht="36" customHeight="1">
      <c r="B21" s="69"/>
      <c r="C21" s="99"/>
      <c r="D21" s="106"/>
      <c r="E21" s="101">
        <f t="shared" si="0"/>
        <v>0</v>
      </c>
      <c r="F21" s="102">
        <f t="shared" si="1"/>
        <v>0</v>
      </c>
      <c r="G21" s="102">
        <f t="shared" si="2"/>
        <v>0</v>
      </c>
      <c r="H21" s="103">
        <f t="shared" si="3"/>
        <v>0</v>
      </c>
      <c r="I21" s="104">
        <f t="shared" si="8"/>
        <v>0</v>
      </c>
      <c r="J21" s="91">
        <f t="shared" si="4"/>
        <v>0</v>
      </c>
      <c r="K21" s="15">
        <f t="shared" si="5"/>
        <v>0</v>
      </c>
      <c r="L21" s="15">
        <f t="shared" si="6"/>
        <v>0</v>
      </c>
      <c r="M21" s="15">
        <f t="shared" si="7"/>
        <v>0</v>
      </c>
    </row>
    <row r="22" spans="2:13" ht="36" customHeight="1">
      <c r="B22" s="69"/>
      <c r="C22" s="99"/>
      <c r="D22" s="106"/>
      <c r="E22" s="101">
        <f t="shared" si="0"/>
        <v>0</v>
      </c>
      <c r="F22" s="102">
        <f t="shared" si="1"/>
        <v>0</v>
      </c>
      <c r="G22" s="102">
        <f t="shared" si="2"/>
        <v>0</v>
      </c>
      <c r="H22" s="103">
        <f t="shared" si="3"/>
        <v>0</v>
      </c>
      <c r="I22" s="104">
        <f t="shared" si="8"/>
        <v>0</v>
      </c>
      <c r="J22" s="91">
        <f t="shared" si="4"/>
        <v>0</v>
      </c>
      <c r="K22" s="15">
        <f t="shared" si="5"/>
        <v>0</v>
      </c>
      <c r="L22" s="15">
        <f t="shared" si="6"/>
        <v>0</v>
      </c>
      <c r="M22" s="15">
        <f t="shared" si="7"/>
        <v>0</v>
      </c>
    </row>
    <row r="23" spans="2:13" ht="36" customHeight="1">
      <c r="B23" s="69"/>
      <c r="C23" s="99"/>
      <c r="D23" s="106"/>
      <c r="E23" s="101">
        <f t="shared" si="0"/>
        <v>0</v>
      </c>
      <c r="F23" s="102">
        <f t="shared" si="1"/>
        <v>0</v>
      </c>
      <c r="G23" s="102">
        <f t="shared" si="2"/>
        <v>0</v>
      </c>
      <c r="H23" s="103">
        <f t="shared" si="3"/>
        <v>0</v>
      </c>
      <c r="I23" s="104">
        <f t="shared" si="8"/>
        <v>0</v>
      </c>
      <c r="J23" s="91">
        <f t="shared" si="4"/>
        <v>0</v>
      </c>
      <c r="K23" s="15">
        <f t="shared" si="5"/>
        <v>0</v>
      </c>
      <c r="L23" s="15">
        <f t="shared" si="6"/>
        <v>0</v>
      </c>
      <c r="M23" s="15">
        <f t="shared" si="7"/>
        <v>0</v>
      </c>
    </row>
    <row r="24" spans="2:13" ht="36" hidden="1" customHeight="1">
      <c r="B24" s="69"/>
      <c r="C24" s="99"/>
      <c r="D24" s="106"/>
      <c r="E24" s="101">
        <f t="shared" si="0"/>
        <v>0</v>
      </c>
      <c r="F24" s="102">
        <f t="shared" si="1"/>
        <v>0</v>
      </c>
      <c r="G24" s="102">
        <f t="shared" si="2"/>
        <v>0</v>
      </c>
      <c r="H24" s="103">
        <f t="shared" si="3"/>
        <v>0</v>
      </c>
      <c r="I24" s="104">
        <f t="shared" si="8"/>
        <v>0</v>
      </c>
      <c r="J24" s="91">
        <f t="shared" si="4"/>
        <v>0</v>
      </c>
      <c r="K24" s="15">
        <f t="shared" si="5"/>
        <v>0</v>
      </c>
      <c r="L24" s="15">
        <f t="shared" si="6"/>
        <v>0</v>
      </c>
      <c r="M24" s="15">
        <f t="shared" si="7"/>
        <v>0</v>
      </c>
    </row>
    <row r="25" spans="2:13" ht="36" hidden="1" customHeight="1">
      <c r="B25" s="69"/>
      <c r="C25" s="99"/>
      <c r="D25" s="106"/>
      <c r="E25" s="101">
        <f t="shared" si="0"/>
        <v>0</v>
      </c>
      <c r="F25" s="102">
        <f t="shared" si="1"/>
        <v>0</v>
      </c>
      <c r="G25" s="102">
        <f t="shared" si="2"/>
        <v>0</v>
      </c>
      <c r="H25" s="103">
        <f t="shared" si="3"/>
        <v>0</v>
      </c>
      <c r="I25" s="104">
        <f t="shared" si="8"/>
        <v>0</v>
      </c>
      <c r="J25" s="91">
        <f t="shared" si="4"/>
        <v>0</v>
      </c>
      <c r="K25" s="15">
        <f t="shared" si="5"/>
        <v>0</v>
      </c>
      <c r="L25" s="15">
        <f t="shared" si="6"/>
        <v>0</v>
      </c>
      <c r="M25" s="15">
        <f t="shared" si="7"/>
        <v>0</v>
      </c>
    </row>
    <row r="26" spans="2:13" ht="36" hidden="1" customHeight="1">
      <c r="B26" s="69"/>
      <c r="C26" s="99"/>
      <c r="D26" s="106"/>
      <c r="E26" s="101">
        <f t="shared" si="0"/>
        <v>0</v>
      </c>
      <c r="F26" s="102">
        <f t="shared" si="1"/>
        <v>0</v>
      </c>
      <c r="G26" s="102">
        <f t="shared" si="2"/>
        <v>0</v>
      </c>
      <c r="H26" s="103">
        <f t="shared" si="3"/>
        <v>0</v>
      </c>
      <c r="I26" s="104">
        <f t="shared" si="8"/>
        <v>0</v>
      </c>
      <c r="J26" s="91">
        <f t="shared" si="4"/>
        <v>0</v>
      </c>
      <c r="K26" s="15">
        <f t="shared" si="5"/>
        <v>0</v>
      </c>
      <c r="L26" s="15">
        <f t="shared" si="6"/>
        <v>0</v>
      </c>
      <c r="M26" s="15">
        <f t="shared" si="7"/>
        <v>0</v>
      </c>
    </row>
    <row r="27" spans="2:13" ht="36" hidden="1" customHeight="1">
      <c r="B27" s="69"/>
      <c r="C27" s="99"/>
      <c r="D27" s="106"/>
      <c r="E27" s="101">
        <f t="shared" si="0"/>
        <v>0</v>
      </c>
      <c r="F27" s="102">
        <f t="shared" si="1"/>
        <v>0</v>
      </c>
      <c r="G27" s="102">
        <f t="shared" si="2"/>
        <v>0</v>
      </c>
      <c r="H27" s="103">
        <f t="shared" si="3"/>
        <v>0</v>
      </c>
      <c r="I27" s="104">
        <f t="shared" si="8"/>
        <v>0</v>
      </c>
      <c r="J27" s="91">
        <f t="shared" si="4"/>
        <v>0</v>
      </c>
      <c r="K27" s="15">
        <f t="shared" si="5"/>
        <v>0</v>
      </c>
      <c r="L27" s="15">
        <f t="shared" si="6"/>
        <v>0</v>
      </c>
      <c r="M27" s="15">
        <f t="shared" si="7"/>
        <v>0</v>
      </c>
    </row>
    <row r="28" spans="2:13" ht="36" hidden="1" customHeight="1">
      <c r="B28" s="69"/>
      <c r="C28" s="99"/>
      <c r="D28" s="106"/>
      <c r="E28" s="101">
        <f t="shared" ref="E28:E38" si="9">D28*$E$4</f>
        <v>0</v>
      </c>
      <c r="F28" s="102">
        <f t="shared" ref="F28:F38" si="10">D28*$F$4</f>
        <v>0</v>
      </c>
      <c r="G28" s="102">
        <f t="shared" ref="G28:G38" si="11">D28*$G$4</f>
        <v>0</v>
      </c>
      <c r="H28" s="103">
        <f t="shared" ref="H28:H38" si="12">SUM(E28:G28)</f>
        <v>0</v>
      </c>
      <c r="I28" s="104">
        <f t="shared" ref="I28:I38" si="13">ROUNDUP((D28/$K$2), 0)</f>
        <v>0</v>
      </c>
      <c r="J28" s="91">
        <f t="shared" si="4"/>
        <v>0</v>
      </c>
      <c r="K28" s="15">
        <f t="shared" si="5"/>
        <v>0</v>
      </c>
      <c r="L28" s="15">
        <f t="shared" si="6"/>
        <v>0</v>
      </c>
      <c r="M28" s="15">
        <f t="shared" si="7"/>
        <v>0</v>
      </c>
    </row>
    <row r="29" spans="2:13" ht="36" hidden="1" customHeight="1">
      <c r="B29" s="69"/>
      <c r="C29" s="99"/>
      <c r="D29" s="106"/>
      <c r="E29" s="101">
        <f t="shared" si="9"/>
        <v>0</v>
      </c>
      <c r="F29" s="102">
        <f t="shared" si="10"/>
        <v>0</v>
      </c>
      <c r="G29" s="102">
        <f t="shared" si="11"/>
        <v>0</v>
      </c>
      <c r="H29" s="103">
        <f t="shared" si="12"/>
        <v>0</v>
      </c>
      <c r="I29" s="104">
        <f t="shared" si="13"/>
        <v>0</v>
      </c>
      <c r="J29" s="91">
        <f t="shared" si="4"/>
        <v>0</v>
      </c>
      <c r="K29" s="15">
        <f t="shared" si="5"/>
        <v>0</v>
      </c>
      <c r="L29" s="15">
        <f t="shared" si="6"/>
        <v>0</v>
      </c>
      <c r="M29" s="15">
        <f t="shared" si="7"/>
        <v>0</v>
      </c>
    </row>
    <row r="30" spans="2:13" ht="36" hidden="1" customHeight="1">
      <c r="B30" s="69"/>
      <c r="C30" s="99"/>
      <c r="D30" s="106"/>
      <c r="E30" s="101">
        <f t="shared" si="9"/>
        <v>0</v>
      </c>
      <c r="F30" s="102">
        <f t="shared" si="10"/>
        <v>0</v>
      </c>
      <c r="G30" s="102">
        <f t="shared" si="11"/>
        <v>0</v>
      </c>
      <c r="H30" s="103">
        <f t="shared" si="12"/>
        <v>0</v>
      </c>
      <c r="I30" s="104">
        <f t="shared" si="13"/>
        <v>0</v>
      </c>
      <c r="J30" s="91">
        <f t="shared" si="4"/>
        <v>0</v>
      </c>
      <c r="K30" s="15">
        <f t="shared" si="5"/>
        <v>0</v>
      </c>
      <c r="L30" s="15">
        <f t="shared" si="6"/>
        <v>0</v>
      </c>
      <c r="M30" s="15">
        <f t="shared" si="7"/>
        <v>0</v>
      </c>
    </row>
    <row r="31" spans="2:13" ht="36" hidden="1" customHeight="1">
      <c r="B31" s="69"/>
      <c r="C31" s="99"/>
      <c r="D31" s="106"/>
      <c r="E31" s="101">
        <f t="shared" si="9"/>
        <v>0</v>
      </c>
      <c r="F31" s="102">
        <f t="shared" si="10"/>
        <v>0</v>
      </c>
      <c r="G31" s="102">
        <f t="shared" si="11"/>
        <v>0</v>
      </c>
      <c r="H31" s="103">
        <f t="shared" si="12"/>
        <v>0</v>
      </c>
      <c r="I31" s="104">
        <f t="shared" si="13"/>
        <v>0</v>
      </c>
      <c r="J31" s="91">
        <f t="shared" si="4"/>
        <v>0</v>
      </c>
      <c r="K31" s="15">
        <f t="shared" si="5"/>
        <v>0</v>
      </c>
      <c r="L31" s="15">
        <f t="shared" si="6"/>
        <v>0</v>
      </c>
      <c r="M31" s="15">
        <f t="shared" si="7"/>
        <v>0</v>
      </c>
    </row>
    <row r="32" spans="2:13" ht="36" hidden="1" customHeight="1">
      <c r="B32" s="69"/>
      <c r="C32" s="99"/>
      <c r="D32" s="106"/>
      <c r="E32" s="101">
        <f t="shared" si="9"/>
        <v>0</v>
      </c>
      <c r="F32" s="102">
        <f t="shared" si="10"/>
        <v>0</v>
      </c>
      <c r="G32" s="102">
        <f t="shared" si="11"/>
        <v>0</v>
      </c>
      <c r="H32" s="103">
        <f t="shared" si="12"/>
        <v>0</v>
      </c>
      <c r="I32" s="104">
        <f t="shared" si="13"/>
        <v>0</v>
      </c>
      <c r="J32" s="91">
        <f t="shared" si="4"/>
        <v>0</v>
      </c>
      <c r="K32" s="15">
        <f t="shared" si="5"/>
        <v>0</v>
      </c>
      <c r="L32" s="15">
        <f t="shared" si="6"/>
        <v>0</v>
      </c>
      <c r="M32" s="15">
        <f t="shared" si="7"/>
        <v>0</v>
      </c>
    </row>
    <row r="33" spans="2:13" ht="36" hidden="1" customHeight="1">
      <c r="B33" s="69"/>
      <c r="C33" s="99"/>
      <c r="D33" s="106"/>
      <c r="E33" s="101">
        <f t="shared" si="9"/>
        <v>0</v>
      </c>
      <c r="F33" s="102">
        <f t="shared" si="10"/>
        <v>0</v>
      </c>
      <c r="G33" s="102">
        <f t="shared" si="11"/>
        <v>0</v>
      </c>
      <c r="H33" s="103">
        <f t="shared" si="12"/>
        <v>0</v>
      </c>
      <c r="I33" s="104">
        <f t="shared" si="13"/>
        <v>0</v>
      </c>
      <c r="J33" s="91">
        <f t="shared" si="4"/>
        <v>0</v>
      </c>
      <c r="K33" s="15">
        <f t="shared" ref="K33:K43" si="14">IF(E33=0,0,E33/$I33)</f>
        <v>0</v>
      </c>
      <c r="L33" s="15">
        <f t="shared" ref="L33:L43" si="15">IF(F33=0,0,F33/$I33)</f>
        <v>0</v>
      </c>
      <c r="M33" s="15">
        <f t="shared" ref="M33:M43" si="16">IF(G33=0,0,G33/$I33)</f>
        <v>0</v>
      </c>
    </row>
    <row r="34" spans="2:13" ht="36" hidden="1" customHeight="1">
      <c r="B34" s="69"/>
      <c r="C34" s="99"/>
      <c r="D34" s="106"/>
      <c r="E34" s="101">
        <f t="shared" si="9"/>
        <v>0</v>
      </c>
      <c r="F34" s="102">
        <f t="shared" si="10"/>
        <v>0</v>
      </c>
      <c r="G34" s="102">
        <f t="shared" si="11"/>
        <v>0</v>
      </c>
      <c r="H34" s="103">
        <f t="shared" si="12"/>
        <v>0</v>
      </c>
      <c r="I34" s="104">
        <f t="shared" si="13"/>
        <v>0</v>
      </c>
      <c r="J34" s="91">
        <f t="shared" si="4"/>
        <v>0</v>
      </c>
      <c r="K34" s="15">
        <f t="shared" si="14"/>
        <v>0</v>
      </c>
      <c r="L34" s="15">
        <f t="shared" si="15"/>
        <v>0</v>
      </c>
      <c r="M34" s="15">
        <f t="shared" si="16"/>
        <v>0</v>
      </c>
    </row>
    <row r="35" spans="2:13" ht="36" hidden="1" customHeight="1">
      <c r="B35" s="69"/>
      <c r="C35" s="99"/>
      <c r="D35" s="106"/>
      <c r="E35" s="101">
        <f t="shared" si="9"/>
        <v>0</v>
      </c>
      <c r="F35" s="102">
        <f t="shared" si="10"/>
        <v>0</v>
      </c>
      <c r="G35" s="102">
        <f t="shared" si="11"/>
        <v>0</v>
      </c>
      <c r="H35" s="103">
        <f t="shared" si="12"/>
        <v>0</v>
      </c>
      <c r="I35" s="104">
        <f t="shared" si="13"/>
        <v>0</v>
      </c>
      <c r="J35" s="91">
        <f t="shared" si="4"/>
        <v>0</v>
      </c>
      <c r="K35" s="15">
        <f t="shared" si="14"/>
        <v>0</v>
      </c>
      <c r="L35" s="15">
        <f t="shared" si="15"/>
        <v>0</v>
      </c>
      <c r="M35" s="15">
        <f t="shared" si="16"/>
        <v>0</v>
      </c>
    </row>
    <row r="36" spans="2:13" ht="36" hidden="1" customHeight="1">
      <c r="B36" s="69"/>
      <c r="C36" s="99"/>
      <c r="D36" s="106"/>
      <c r="E36" s="101">
        <f t="shared" si="9"/>
        <v>0</v>
      </c>
      <c r="F36" s="102">
        <f t="shared" si="10"/>
        <v>0</v>
      </c>
      <c r="G36" s="102">
        <f t="shared" si="11"/>
        <v>0</v>
      </c>
      <c r="H36" s="103">
        <f t="shared" si="12"/>
        <v>0</v>
      </c>
      <c r="I36" s="104">
        <f t="shared" si="13"/>
        <v>0</v>
      </c>
      <c r="J36" s="91">
        <f t="shared" si="4"/>
        <v>0</v>
      </c>
      <c r="K36" s="15">
        <f t="shared" si="14"/>
        <v>0</v>
      </c>
      <c r="L36" s="15">
        <f t="shared" si="15"/>
        <v>0</v>
      </c>
      <c r="M36" s="15">
        <f t="shared" si="16"/>
        <v>0</v>
      </c>
    </row>
    <row r="37" spans="2:13" ht="36" hidden="1" customHeight="1">
      <c r="B37" s="69"/>
      <c r="C37" s="99"/>
      <c r="D37" s="106"/>
      <c r="E37" s="101">
        <f t="shared" si="9"/>
        <v>0</v>
      </c>
      <c r="F37" s="102">
        <f t="shared" si="10"/>
        <v>0</v>
      </c>
      <c r="G37" s="102">
        <f t="shared" si="11"/>
        <v>0</v>
      </c>
      <c r="H37" s="103">
        <f t="shared" si="12"/>
        <v>0</v>
      </c>
      <c r="I37" s="104">
        <f t="shared" si="13"/>
        <v>0</v>
      </c>
      <c r="J37" s="91">
        <f t="shared" ref="J37:J55" si="17">SUM(K37:M37)</f>
        <v>0</v>
      </c>
      <c r="K37" s="15">
        <f t="shared" si="14"/>
        <v>0</v>
      </c>
      <c r="L37" s="15">
        <f t="shared" si="15"/>
        <v>0</v>
      </c>
      <c r="M37" s="15">
        <f t="shared" si="16"/>
        <v>0</v>
      </c>
    </row>
    <row r="38" spans="2:13" ht="36" hidden="1" customHeight="1">
      <c r="B38" s="69"/>
      <c r="C38" s="99"/>
      <c r="D38" s="106"/>
      <c r="E38" s="101">
        <f t="shared" si="9"/>
        <v>0</v>
      </c>
      <c r="F38" s="102">
        <f t="shared" si="10"/>
        <v>0</v>
      </c>
      <c r="G38" s="102">
        <f t="shared" si="11"/>
        <v>0</v>
      </c>
      <c r="H38" s="103">
        <f t="shared" si="12"/>
        <v>0</v>
      </c>
      <c r="I38" s="104">
        <f t="shared" si="13"/>
        <v>0</v>
      </c>
      <c r="J38" s="91">
        <f t="shared" si="17"/>
        <v>0</v>
      </c>
      <c r="K38" s="15">
        <f t="shared" si="14"/>
        <v>0</v>
      </c>
      <c r="L38" s="15">
        <f t="shared" si="15"/>
        <v>0</v>
      </c>
      <c r="M38" s="15">
        <f t="shared" si="16"/>
        <v>0</v>
      </c>
    </row>
    <row r="39" spans="2:13" ht="36" hidden="1" customHeight="1">
      <c r="B39" s="69"/>
      <c r="C39" s="99"/>
      <c r="D39" s="106"/>
      <c r="E39" s="101">
        <f t="shared" ref="E39:E49" si="18">D39*$E$4</f>
        <v>0</v>
      </c>
      <c r="F39" s="102">
        <f t="shared" ref="F39:F49" si="19">D39*$F$4</f>
        <v>0</v>
      </c>
      <c r="G39" s="102">
        <f t="shared" ref="G39:G49" si="20">D39*$G$4</f>
        <v>0</v>
      </c>
      <c r="H39" s="103">
        <f t="shared" ref="H39:H49" si="21">SUM(E39:G39)</f>
        <v>0</v>
      </c>
      <c r="I39" s="104">
        <f t="shared" ref="I39:I49" si="22">ROUNDUP((D39/$K$2), 0)</f>
        <v>0</v>
      </c>
      <c r="J39" s="91">
        <f t="shared" si="17"/>
        <v>0</v>
      </c>
      <c r="K39" s="15">
        <f t="shared" si="14"/>
        <v>0</v>
      </c>
      <c r="L39" s="15">
        <f t="shared" si="15"/>
        <v>0</v>
      </c>
      <c r="M39" s="15">
        <f t="shared" si="16"/>
        <v>0</v>
      </c>
    </row>
    <row r="40" spans="2:13" ht="36" hidden="1" customHeight="1">
      <c r="B40" s="69"/>
      <c r="C40" s="99"/>
      <c r="D40" s="106"/>
      <c r="E40" s="101">
        <f t="shared" si="18"/>
        <v>0</v>
      </c>
      <c r="F40" s="102">
        <f t="shared" si="19"/>
        <v>0</v>
      </c>
      <c r="G40" s="102">
        <f t="shared" si="20"/>
        <v>0</v>
      </c>
      <c r="H40" s="103">
        <f t="shared" si="21"/>
        <v>0</v>
      </c>
      <c r="I40" s="104">
        <f t="shared" si="22"/>
        <v>0</v>
      </c>
      <c r="J40" s="91">
        <f t="shared" si="17"/>
        <v>0</v>
      </c>
      <c r="K40" s="15">
        <f t="shared" si="14"/>
        <v>0</v>
      </c>
      <c r="L40" s="15">
        <f t="shared" si="15"/>
        <v>0</v>
      </c>
      <c r="M40" s="15">
        <f t="shared" si="16"/>
        <v>0</v>
      </c>
    </row>
    <row r="41" spans="2:13" ht="36" hidden="1" customHeight="1">
      <c r="B41" s="69"/>
      <c r="C41" s="99"/>
      <c r="D41" s="106"/>
      <c r="E41" s="101">
        <f t="shared" si="18"/>
        <v>0</v>
      </c>
      <c r="F41" s="102">
        <f t="shared" si="19"/>
        <v>0</v>
      </c>
      <c r="G41" s="102">
        <f t="shared" si="20"/>
        <v>0</v>
      </c>
      <c r="H41" s="103">
        <f t="shared" si="21"/>
        <v>0</v>
      </c>
      <c r="I41" s="104">
        <f t="shared" si="22"/>
        <v>0</v>
      </c>
      <c r="J41" s="91">
        <f t="shared" si="17"/>
        <v>0</v>
      </c>
      <c r="K41" s="15">
        <f t="shared" si="14"/>
        <v>0</v>
      </c>
      <c r="L41" s="15">
        <f t="shared" si="15"/>
        <v>0</v>
      </c>
      <c r="M41" s="15">
        <f t="shared" si="16"/>
        <v>0</v>
      </c>
    </row>
    <row r="42" spans="2:13" ht="36" hidden="1" customHeight="1">
      <c r="B42" s="69"/>
      <c r="C42" s="99"/>
      <c r="D42" s="106"/>
      <c r="E42" s="101">
        <f t="shared" si="18"/>
        <v>0</v>
      </c>
      <c r="F42" s="102">
        <f t="shared" si="19"/>
        <v>0</v>
      </c>
      <c r="G42" s="102">
        <f t="shared" si="20"/>
        <v>0</v>
      </c>
      <c r="H42" s="103">
        <f t="shared" si="21"/>
        <v>0</v>
      </c>
      <c r="I42" s="104">
        <f t="shared" si="22"/>
        <v>0</v>
      </c>
      <c r="J42" s="91">
        <f t="shared" si="17"/>
        <v>0</v>
      </c>
      <c r="K42" s="15">
        <f t="shared" si="14"/>
        <v>0</v>
      </c>
      <c r="L42" s="15">
        <f t="shared" si="15"/>
        <v>0</v>
      </c>
      <c r="M42" s="15">
        <f t="shared" si="16"/>
        <v>0</v>
      </c>
    </row>
    <row r="43" spans="2:13" ht="36" hidden="1" customHeight="1">
      <c r="B43" s="69"/>
      <c r="C43" s="99"/>
      <c r="D43" s="106"/>
      <c r="E43" s="101">
        <f t="shared" si="18"/>
        <v>0</v>
      </c>
      <c r="F43" s="102">
        <f t="shared" si="19"/>
        <v>0</v>
      </c>
      <c r="G43" s="102">
        <f t="shared" si="20"/>
        <v>0</v>
      </c>
      <c r="H43" s="103">
        <f t="shared" si="21"/>
        <v>0</v>
      </c>
      <c r="I43" s="104">
        <f t="shared" si="22"/>
        <v>0</v>
      </c>
      <c r="J43" s="91">
        <f t="shared" si="17"/>
        <v>0</v>
      </c>
      <c r="K43" s="15">
        <f t="shared" si="14"/>
        <v>0</v>
      </c>
      <c r="L43" s="15">
        <f t="shared" si="15"/>
        <v>0</v>
      </c>
      <c r="M43" s="15">
        <f t="shared" si="16"/>
        <v>0</v>
      </c>
    </row>
    <row r="44" spans="2:13" ht="36" hidden="1" customHeight="1">
      <c r="B44" s="69"/>
      <c r="C44" s="99"/>
      <c r="D44" s="106"/>
      <c r="E44" s="101">
        <f t="shared" si="18"/>
        <v>0</v>
      </c>
      <c r="F44" s="102">
        <f t="shared" si="19"/>
        <v>0</v>
      </c>
      <c r="G44" s="102">
        <f t="shared" si="20"/>
        <v>0</v>
      </c>
      <c r="H44" s="103">
        <f t="shared" si="21"/>
        <v>0</v>
      </c>
      <c r="I44" s="104">
        <f t="shared" si="22"/>
        <v>0</v>
      </c>
      <c r="J44" s="91">
        <f t="shared" si="17"/>
        <v>0</v>
      </c>
      <c r="K44" s="15">
        <f t="shared" ref="K44:K54" si="23">IF(E44=0,0,E44/$I44)</f>
        <v>0</v>
      </c>
      <c r="L44" s="15">
        <f t="shared" ref="L44:L54" si="24">IF(F44=0,0,F44/$I44)</f>
        <v>0</v>
      </c>
      <c r="M44" s="15">
        <f t="shared" ref="M44:M54" si="25">IF(G44=0,0,G44/$I44)</f>
        <v>0</v>
      </c>
    </row>
    <row r="45" spans="2:13" ht="36" hidden="1" customHeight="1">
      <c r="B45" s="69"/>
      <c r="C45" s="99"/>
      <c r="D45" s="106"/>
      <c r="E45" s="101">
        <f t="shared" si="18"/>
        <v>0</v>
      </c>
      <c r="F45" s="102">
        <f t="shared" si="19"/>
        <v>0</v>
      </c>
      <c r="G45" s="102">
        <f t="shared" si="20"/>
        <v>0</v>
      </c>
      <c r="H45" s="103">
        <f t="shared" si="21"/>
        <v>0</v>
      </c>
      <c r="I45" s="104">
        <f t="shared" si="22"/>
        <v>0</v>
      </c>
      <c r="J45" s="91">
        <f t="shared" si="17"/>
        <v>0</v>
      </c>
      <c r="K45" s="15">
        <f t="shared" si="23"/>
        <v>0</v>
      </c>
      <c r="L45" s="15">
        <f t="shared" si="24"/>
        <v>0</v>
      </c>
      <c r="M45" s="15">
        <f t="shared" si="25"/>
        <v>0</v>
      </c>
    </row>
    <row r="46" spans="2:13" ht="36" hidden="1" customHeight="1">
      <c r="B46" s="69"/>
      <c r="C46" s="99"/>
      <c r="D46" s="106"/>
      <c r="E46" s="101">
        <f t="shared" si="18"/>
        <v>0</v>
      </c>
      <c r="F46" s="102">
        <f t="shared" si="19"/>
        <v>0</v>
      </c>
      <c r="G46" s="102">
        <f t="shared" si="20"/>
        <v>0</v>
      </c>
      <c r="H46" s="103">
        <f t="shared" si="21"/>
        <v>0</v>
      </c>
      <c r="I46" s="104">
        <f t="shared" si="22"/>
        <v>0</v>
      </c>
      <c r="J46" s="91">
        <f t="shared" si="17"/>
        <v>0</v>
      </c>
      <c r="K46" s="15">
        <f t="shared" si="23"/>
        <v>0</v>
      </c>
      <c r="L46" s="15">
        <f t="shared" si="24"/>
        <v>0</v>
      </c>
      <c r="M46" s="15">
        <f t="shared" si="25"/>
        <v>0</v>
      </c>
    </row>
    <row r="47" spans="2:13" ht="36" hidden="1" customHeight="1">
      <c r="B47" s="69"/>
      <c r="C47" s="99"/>
      <c r="D47" s="106"/>
      <c r="E47" s="101">
        <f t="shared" si="18"/>
        <v>0</v>
      </c>
      <c r="F47" s="102">
        <f t="shared" si="19"/>
        <v>0</v>
      </c>
      <c r="G47" s="102">
        <f t="shared" si="20"/>
        <v>0</v>
      </c>
      <c r="H47" s="103">
        <f t="shared" si="21"/>
        <v>0</v>
      </c>
      <c r="I47" s="104">
        <f t="shared" si="22"/>
        <v>0</v>
      </c>
      <c r="J47" s="91">
        <f t="shared" si="17"/>
        <v>0</v>
      </c>
      <c r="K47" s="15">
        <f t="shared" si="23"/>
        <v>0</v>
      </c>
      <c r="L47" s="15">
        <f t="shared" si="24"/>
        <v>0</v>
      </c>
      <c r="M47" s="15">
        <f t="shared" si="25"/>
        <v>0</v>
      </c>
    </row>
    <row r="48" spans="2:13" ht="36" hidden="1" customHeight="1">
      <c r="B48" s="69"/>
      <c r="C48" s="99"/>
      <c r="D48" s="106"/>
      <c r="E48" s="101">
        <f t="shared" si="18"/>
        <v>0</v>
      </c>
      <c r="F48" s="102">
        <f t="shared" si="19"/>
        <v>0</v>
      </c>
      <c r="G48" s="102">
        <f t="shared" si="20"/>
        <v>0</v>
      </c>
      <c r="H48" s="103">
        <f t="shared" si="21"/>
        <v>0</v>
      </c>
      <c r="I48" s="104">
        <f t="shared" si="22"/>
        <v>0</v>
      </c>
      <c r="J48" s="91">
        <f t="shared" si="17"/>
        <v>0</v>
      </c>
      <c r="K48" s="15">
        <f t="shared" si="23"/>
        <v>0</v>
      </c>
      <c r="L48" s="15">
        <f t="shared" si="24"/>
        <v>0</v>
      </c>
      <c r="M48" s="15">
        <f t="shared" si="25"/>
        <v>0</v>
      </c>
    </row>
    <row r="49" spans="2:17" ht="36" hidden="1" customHeight="1">
      <c r="B49" s="69"/>
      <c r="C49" s="99"/>
      <c r="D49" s="106"/>
      <c r="E49" s="101">
        <f t="shared" si="18"/>
        <v>0</v>
      </c>
      <c r="F49" s="102">
        <f t="shared" si="19"/>
        <v>0</v>
      </c>
      <c r="G49" s="102">
        <f t="shared" si="20"/>
        <v>0</v>
      </c>
      <c r="H49" s="103">
        <f t="shared" si="21"/>
        <v>0</v>
      </c>
      <c r="I49" s="104">
        <f t="shared" si="22"/>
        <v>0</v>
      </c>
      <c r="J49" s="91">
        <f t="shared" si="17"/>
        <v>0</v>
      </c>
      <c r="K49" s="15">
        <f t="shared" si="23"/>
        <v>0</v>
      </c>
      <c r="L49" s="15">
        <f t="shared" si="24"/>
        <v>0</v>
      </c>
      <c r="M49" s="15">
        <f t="shared" si="25"/>
        <v>0</v>
      </c>
    </row>
    <row r="50" spans="2:17" ht="36" hidden="1" customHeight="1">
      <c r="B50" s="69"/>
      <c r="C50" s="99"/>
      <c r="D50" s="106"/>
      <c r="E50" s="101">
        <f t="shared" ref="E50:E54" si="26">D50*$E$4</f>
        <v>0</v>
      </c>
      <c r="F50" s="102">
        <f t="shared" ref="F50:F54" si="27">D50*$F$4</f>
        <v>0</v>
      </c>
      <c r="G50" s="102">
        <f t="shared" ref="G50:G54" si="28">D50*$G$4</f>
        <v>0</v>
      </c>
      <c r="H50" s="103">
        <f t="shared" ref="H50:H54" si="29">SUM(E50:G50)</f>
        <v>0</v>
      </c>
      <c r="I50" s="104">
        <f t="shared" ref="I50:I54" si="30">ROUNDUP((D50/$K$2), 0)</f>
        <v>0</v>
      </c>
      <c r="J50" s="91">
        <f t="shared" si="17"/>
        <v>0</v>
      </c>
      <c r="K50" s="15">
        <f t="shared" si="23"/>
        <v>0</v>
      </c>
      <c r="L50" s="15">
        <f t="shared" si="24"/>
        <v>0</v>
      </c>
      <c r="M50" s="15">
        <f t="shared" si="25"/>
        <v>0</v>
      </c>
    </row>
    <row r="51" spans="2:17" ht="36" hidden="1" customHeight="1">
      <c r="B51" s="69"/>
      <c r="C51" s="99"/>
      <c r="D51" s="106"/>
      <c r="E51" s="101">
        <f t="shared" si="26"/>
        <v>0</v>
      </c>
      <c r="F51" s="102">
        <f t="shared" si="27"/>
        <v>0</v>
      </c>
      <c r="G51" s="102">
        <f t="shared" si="28"/>
        <v>0</v>
      </c>
      <c r="H51" s="103">
        <f t="shared" si="29"/>
        <v>0</v>
      </c>
      <c r="I51" s="104">
        <f t="shared" si="30"/>
        <v>0</v>
      </c>
      <c r="J51" s="91">
        <f t="shared" si="17"/>
        <v>0</v>
      </c>
      <c r="K51" s="15">
        <f t="shared" si="23"/>
        <v>0</v>
      </c>
      <c r="L51" s="15">
        <f t="shared" si="24"/>
        <v>0</v>
      </c>
      <c r="M51" s="15">
        <f t="shared" si="25"/>
        <v>0</v>
      </c>
    </row>
    <row r="52" spans="2:17" ht="36" hidden="1" customHeight="1">
      <c r="B52" s="69"/>
      <c r="C52" s="99"/>
      <c r="D52" s="106"/>
      <c r="E52" s="101">
        <f t="shared" si="26"/>
        <v>0</v>
      </c>
      <c r="F52" s="102">
        <f t="shared" si="27"/>
        <v>0</v>
      </c>
      <c r="G52" s="102">
        <f t="shared" si="28"/>
        <v>0</v>
      </c>
      <c r="H52" s="103">
        <f t="shared" si="29"/>
        <v>0</v>
      </c>
      <c r="I52" s="104">
        <f t="shared" si="30"/>
        <v>0</v>
      </c>
      <c r="J52" s="91">
        <f t="shared" si="17"/>
        <v>0</v>
      </c>
      <c r="K52" s="15">
        <f t="shared" si="23"/>
        <v>0</v>
      </c>
      <c r="L52" s="15">
        <f t="shared" si="24"/>
        <v>0</v>
      </c>
      <c r="M52" s="15">
        <f t="shared" si="25"/>
        <v>0</v>
      </c>
    </row>
    <row r="53" spans="2:17" ht="36" hidden="1" customHeight="1">
      <c r="B53" s="69"/>
      <c r="C53" s="99"/>
      <c r="D53" s="106"/>
      <c r="E53" s="101">
        <f t="shared" si="26"/>
        <v>0</v>
      </c>
      <c r="F53" s="102">
        <f t="shared" si="27"/>
        <v>0</v>
      </c>
      <c r="G53" s="102">
        <f t="shared" si="28"/>
        <v>0</v>
      </c>
      <c r="H53" s="103">
        <f t="shared" si="29"/>
        <v>0</v>
      </c>
      <c r="I53" s="104">
        <f t="shared" si="30"/>
        <v>0</v>
      </c>
      <c r="J53" s="91">
        <f t="shared" si="17"/>
        <v>0</v>
      </c>
      <c r="K53" s="15">
        <f t="shared" si="23"/>
        <v>0</v>
      </c>
      <c r="L53" s="15">
        <f t="shared" si="24"/>
        <v>0</v>
      </c>
      <c r="M53" s="15">
        <f t="shared" si="25"/>
        <v>0</v>
      </c>
    </row>
    <row r="54" spans="2:17" ht="36" hidden="1" customHeight="1">
      <c r="B54" s="69"/>
      <c r="C54" s="99"/>
      <c r="D54" s="106"/>
      <c r="E54" s="101">
        <f t="shared" si="26"/>
        <v>0</v>
      </c>
      <c r="F54" s="102">
        <f t="shared" si="27"/>
        <v>0</v>
      </c>
      <c r="G54" s="102">
        <f t="shared" si="28"/>
        <v>0</v>
      </c>
      <c r="H54" s="103">
        <f t="shared" si="29"/>
        <v>0</v>
      </c>
      <c r="I54" s="104">
        <f t="shared" si="30"/>
        <v>0</v>
      </c>
      <c r="J54" s="91">
        <f t="shared" si="17"/>
        <v>0</v>
      </c>
      <c r="K54" s="15">
        <f t="shared" si="23"/>
        <v>0</v>
      </c>
      <c r="L54" s="15">
        <f t="shared" si="24"/>
        <v>0</v>
      </c>
      <c r="M54" s="15">
        <f t="shared" si="25"/>
        <v>0</v>
      </c>
    </row>
    <row r="55" spans="2:17" ht="36" customHeight="1" thickBot="1">
      <c r="B55" s="72"/>
      <c r="C55" s="107"/>
      <c r="D55" s="108"/>
      <c r="E55" s="109">
        <f t="shared" si="0"/>
        <v>0</v>
      </c>
      <c r="F55" s="110">
        <f t="shared" si="1"/>
        <v>0</v>
      </c>
      <c r="G55" s="110">
        <f t="shared" si="2"/>
        <v>0</v>
      </c>
      <c r="H55" s="111">
        <f t="shared" si="3"/>
        <v>0</v>
      </c>
      <c r="I55" s="112">
        <f t="shared" si="8"/>
        <v>0</v>
      </c>
      <c r="J55" s="113">
        <f t="shared" si="17"/>
        <v>0</v>
      </c>
      <c r="K55" s="19">
        <f>IF(E55=0,0,E55/$I55)</f>
        <v>0</v>
      </c>
      <c r="L55" s="19">
        <f>IF(F55=0,0,F55/$I55)</f>
        <v>0</v>
      </c>
      <c r="M55" s="19">
        <f>IF(G55=0,0,G55/$I55)</f>
        <v>0</v>
      </c>
    </row>
    <row r="56" spans="2:17" s="13" customFormat="1" ht="36" customHeight="1">
      <c r="B56" s="12"/>
      <c r="C56" s="12"/>
      <c r="D56" s="114">
        <f>SUM(D5:D55)</f>
        <v>0</v>
      </c>
      <c r="E56" s="20"/>
      <c r="F56" s="12"/>
      <c r="G56" s="12"/>
      <c r="H56" s="12"/>
      <c r="I56" s="9"/>
      <c r="J56" s="9"/>
      <c r="K56" s="9"/>
      <c r="L56" s="9"/>
      <c r="M56" s="9"/>
      <c r="N56" s="9"/>
      <c r="O56" s="9"/>
      <c r="P56" s="9"/>
      <c r="Q56" s="9"/>
    </row>
    <row r="57" spans="2:17" s="13" customFormat="1" ht="32.1" customHeight="1">
      <c r="B57" s="12"/>
      <c r="C57" s="12"/>
      <c r="D57" s="12"/>
      <c r="E57" s="20"/>
      <c r="F57" s="12"/>
      <c r="G57" s="12"/>
      <c r="H57" s="12"/>
      <c r="I57" s="9"/>
      <c r="J57" s="9"/>
      <c r="K57" s="9"/>
      <c r="L57" s="9"/>
      <c r="M57" s="9"/>
      <c r="N57" s="9"/>
      <c r="O57" s="9"/>
      <c r="P57" s="9"/>
      <c r="Q57" s="9"/>
    </row>
    <row r="58" spans="2:17" s="13" customFormat="1" ht="32.1" customHeight="1">
      <c r="B58" s="12"/>
      <c r="C58" s="12"/>
      <c r="D58" s="12"/>
      <c r="E58" s="20"/>
      <c r="F58" s="12"/>
      <c r="G58" s="12"/>
      <c r="H58" s="12"/>
      <c r="I58" s="9"/>
      <c r="J58" s="9"/>
      <c r="K58" s="9"/>
      <c r="L58" s="9"/>
      <c r="M58" s="9"/>
      <c r="N58" s="9"/>
      <c r="O58" s="9"/>
      <c r="P58" s="9"/>
      <c r="Q58" s="9"/>
    </row>
    <row r="59" spans="2:17" s="13" customFormat="1" ht="32.1" customHeight="1">
      <c r="B59" s="12"/>
      <c r="C59" s="12"/>
      <c r="D59" s="12"/>
      <c r="E59" s="20"/>
      <c r="F59" s="12"/>
      <c r="G59" s="12"/>
      <c r="H59" s="12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0"/>
      <c r="F60" s="12"/>
      <c r="G60" s="12"/>
      <c r="H60" s="12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0"/>
      <c r="F61" s="12"/>
      <c r="G61" s="12"/>
      <c r="H61" s="12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0"/>
      <c r="F62" s="12"/>
      <c r="G62" s="12"/>
      <c r="H62" s="12"/>
      <c r="I62" s="9"/>
      <c r="J62" s="9"/>
      <c r="K62" s="9"/>
      <c r="L62" s="9"/>
      <c r="M62" s="9"/>
      <c r="N62" s="9"/>
      <c r="O62" s="9"/>
      <c r="P62" s="9"/>
      <c r="Q62" s="9"/>
    </row>
    <row r="63" spans="2:17" s="21" customFormat="1" ht="32.1" customHeight="1">
      <c r="B63" s="12"/>
      <c r="C63" s="12"/>
      <c r="D63" s="12"/>
      <c r="E63" s="20"/>
      <c r="F63" s="12"/>
      <c r="G63" s="12"/>
      <c r="H63" s="12"/>
      <c r="I63" s="9"/>
      <c r="J63" s="9"/>
      <c r="K63" s="9"/>
      <c r="L63" s="9"/>
      <c r="M63" s="9"/>
      <c r="N63" s="9"/>
      <c r="O63" s="9"/>
      <c r="P63" s="9"/>
      <c r="Q63" s="9"/>
    </row>
    <row r="64" spans="2:17" s="21" customFormat="1" ht="32.1" customHeight="1">
      <c r="B64" s="12"/>
      <c r="C64" s="12"/>
      <c r="D64" s="12"/>
      <c r="E64" s="20"/>
      <c r="F64" s="12"/>
      <c r="G64" s="12"/>
      <c r="H64" s="12"/>
      <c r="I64" s="9"/>
      <c r="J64" s="9"/>
      <c r="K64" s="9"/>
      <c r="L64" s="9"/>
      <c r="M64" s="9"/>
      <c r="N64" s="9"/>
      <c r="O64" s="9"/>
      <c r="P64" s="9"/>
      <c r="Q64" s="9"/>
    </row>
    <row r="65" spans="2:17" s="21" customFormat="1" ht="32.1" customHeight="1">
      <c r="B65" s="12"/>
      <c r="C65" s="12"/>
      <c r="D65" s="12"/>
      <c r="E65" s="20"/>
      <c r="F65" s="12"/>
      <c r="G65" s="12"/>
      <c r="H65" s="12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E66" s="20"/>
      <c r="F66" s="12"/>
      <c r="G66" s="12"/>
      <c r="H66" s="12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E67" s="20"/>
      <c r="F67" s="12"/>
      <c r="G67" s="12"/>
      <c r="H67" s="12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E68" s="20"/>
      <c r="F68" s="12"/>
      <c r="G68" s="12"/>
      <c r="H68" s="12"/>
      <c r="I68" s="9"/>
      <c r="J68" s="9"/>
      <c r="K68" s="9"/>
      <c r="L68" s="9"/>
      <c r="M68" s="9"/>
      <c r="N68" s="9"/>
      <c r="O68" s="9"/>
      <c r="P68" s="9"/>
      <c r="Q68" s="9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928C-1CBE-433C-A771-6EE0575D53D1}">
  <sheetPr>
    <pageSetUpPr fitToPage="1"/>
  </sheetPr>
  <dimension ref="B1:Q68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3" style="10" customWidth="1"/>
    <col min="4" max="4" width="8.88671875" style="10" customWidth="1"/>
    <col min="5" max="5" width="8.88671875" style="20" hidden="1" customWidth="1"/>
    <col min="6" max="8" width="8.88671875" style="12" hidden="1" customWidth="1"/>
    <col min="9" max="10" width="8.88671875" style="9" customWidth="1"/>
    <col min="11" max="13" width="8.88671875" style="9" hidden="1" customWidth="1"/>
    <col min="14" max="14" width="7.6640625" style="9" customWidth="1"/>
    <col min="15" max="15" width="7.6640625" style="9" hidden="1" customWidth="1"/>
    <col min="16" max="17" width="7.6640625" style="9" customWidth="1"/>
    <col min="18" max="16384" width="13.109375" style="10"/>
  </cols>
  <sheetData>
    <row r="1" spans="2:17" ht="48" customHeight="1" thickBot="1">
      <c r="B1" s="148" t="s">
        <v>8</v>
      </c>
      <c r="C1" s="139"/>
      <c r="D1" s="139"/>
      <c r="E1" s="139"/>
      <c r="F1" s="139"/>
      <c r="G1" s="139"/>
      <c r="H1" s="139"/>
      <c r="I1" s="139"/>
      <c r="J1" s="139"/>
      <c r="N1" s="147"/>
      <c r="O1" s="147"/>
    </row>
    <row r="2" spans="2:17" ht="29.25" hidden="1" customHeight="1" thickBot="1">
      <c r="B2" s="149"/>
      <c r="C2" s="149"/>
      <c r="D2" s="149"/>
      <c r="E2" s="22"/>
      <c r="F2" s="23"/>
      <c r="G2" s="23"/>
      <c r="H2" s="23"/>
      <c r="I2" s="9" t="s">
        <v>17</v>
      </c>
      <c r="K2" s="9">
        <v>30</v>
      </c>
      <c r="L2" s="9" t="s">
        <v>18</v>
      </c>
    </row>
    <row r="3" spans="2:17" s="13" customFormat="1" ht="36" customHeight="1" thickBot="1">
      <c r="B3" s="4"/>
      <c r="C3" s="51" t="s">
        <v>30</v>
      </c>
      <c r="D3" s="52" t="s">
        <v>2</v>
      </c>
      <c r="E3" s="53" t="s">
        <v>3</v>
      </c>
      <c r="F3" s="54" t="s">
        <v>4</v>
      </c>
      <c r="G3" s="52" t="s">
        <v>5</v>
      </c>
      <c r="H3" s="52" t="s">
        <v>6</v>
      </c>
      <c r="I3" s="55" t="s">
        <v>19</v>
      </c>
      <c r="J3" s="56" t="s">
        <v>23</v>
      </c>
      <c r="K3" s="24" t="s">
        <v>20</v>
      </c>
      <c r="L3" s="24" t="s">
        <v>21</v>
      </c>
      <c r="M3" s="25" t="s">
        <v>22</v>
      </c>
      <c r="N3" s="9"/>
      <c r="O3" s="9"/>
      <c r="P3" s="9"/>
      <c r="Q3" s="9"/>
    </row>
    <row r="4" spans="2:17" ht="36" customHeight="1" thickTop="1">
      <c r="B4" s="145" t="s">
        <v>1</v>
      </c>
      <c r="C4" s="146"/>
      <c r="D4" s="81"/>
      <c r="E4" s="82">
        <v>0.74</v>
      </c>
      <c r="F4" s="83">
        <v>10.5</v>
      </c>
      <c r="G4" s="84">
        <v>20</v>
      </c>
      <c r="H4" s="85"/>
      <c r="I4" s="115"/>
      <c r="J4" s="87"/>
      <c r="K4" s="14"/>
      <c r="L4" s="14"/>
      <c r="M4" s="14"/>
    </row>
    <row r="5" spans="2:17" ht="36" customHeight="1">
      <c r="B5" s="61"/>
      <c r="C5" s="62" t="s">
        <v>24</v>
      </c>
      <c r="D5" s="88">
        <f>B5*2</f>
        <v>0</v>
      </c>
      <c r="E5" s="116">
        <f t="shared" ref="E5:E55" si="0">D5*$E$4</f>
        <v>0</v>
      </c>
      <c r="F5" s="117">
        <f t="shared" ref="F5:F55" si="1">D5*$F$4</f>
        <v>0</v>
      </c>
      <c r="G5" s="117">
        <f t="shared" ref="G5:G55" si="2">D5*$G$4</f>
        <v>0</v>
      </c>
      <c r="H5" s="118">
        <f t="shared" ref="H5:H55" si="3">SUM(E5:G5)</f>
        <v>0</v>
      </c>
      <c r="I5" s="92">
        <f>IF(B5=0,0,2)</f>
        <v>0</v>
      </c>
      <c r="J5" s="91">
        <f t="shared" ref="J5:J36" si="4">SUM(K5:M5)</f>
        <v>0</v>
      </c>
      <c r="K5" s="15">
        <f t="shared" ref="K5:K20" si="5">IF(E5=0,0,E5/$I5)</f>
        <v>0</v>
      </c>
      <c r="L5" s="15">
        <f t="shared" ref="L5:L20" si="6">IF(F5=0,0,F5/$I5)</f>
        <v>0</v>
      </c>
      <c r="M5" s="15">
        <f t="shared" ref="M5:M20" si="7">IF(G5=0,0,G5/$I5)</f>
        <v>0</v>
      </c>
    </row>
    <row r="6" spans="2:17" ht="36" customHeight="1" thickBot="1">
      <c r="B6" s="65"/>
      <c r="C6" s="66" t="s">
        <v>25</v>
      </c>
      <c r="D6" s="93">
        <f>B6*2</f>
        <v>0</v>
      </c>
      <c r="E6" s="94">
        <f t="shared" si="0"/>
        <v>0</v>
      </c>
      <c r="F6" s="95">
        <f t="shared" si="1"/>
        <v>0</v>
      </c>
      <c r="G6" s="95">
        <f t="shared" si="2"/>
        <v>0</v>
      </c>
      <c r="H6" s="96">
        <f t="shared" si="3"/>
        <v>0</v>
      </c>
      <c r="I6" s="119">
        <f>IF(B6=0,0,2)</f>
        <v>0</v>
      </c>
      <c r="J6" s="96">
        <f t="shared" si="4"/>
        <v>0</v>
      </c>
      <c r="K6" s="16">
        <f t="shared" si="5"/>
        <v>0</v>
      </c>
      <c r="L6" s="16">
        <f t="shared" si="6"/>
        <v>0</v>
      </c>
      <c r="M6" s="16">
        <f t="shared" si="7"/>
        <v>0</v>
      </c>
    </row>
    <row r="7" spans="2:17" ht="36" customHeight="1" thickTop="1">
      <c r="B7" s="69"/>
      <c r="C7" s="99"/>
      <c r="D7" s="100"/>
      <c r="E7" s="101">
        <f t="shared" si="0"/>
        <v>0</v>
      </c>
      <c r="F7" s="102">
        <f t="shared" si="1"/>
        <v>0</v>
      </c>
      <c r="G7" s="102">
        <f t="shared" si="2"/>
        <v>0</v>
      </c>
      <c r="H7" s="103">
        <f t="shared" si="3"/>
        <v>0</v>
      </c>
      <c r="I7" s="120">
        <f t="shared" ref="I7:I55" si="8">ROUNDUP((D7/$K$2), 0)</f>
        <v>0</v>
      </c>
      <c r="J7" s="103">
        <f t="shared" si="4"/>
        <v>0</v>
      </c>
      <c r="K7" s="3">
        <f t="shared" si="5"/>
        <v>0</v>
      </c>
      <c r="L7" s="3">
        <f t="shared" si="6"/>
        <v>0</v>
      </c>
      <c r="M7" s="3">
        <f t="shared" si="7"/>
        <v>0</v>
      </c>
    </row>
    <row r="8" spans="2:17" ht="36" customHeight="1">
      <c r="B8" s="69"/>
      <c r="C8" s="99"/>
      <c r="D8" s="106"/>
      <c r="E8" s="101">
        <f t="shared" si="0"/>
        <v>0</v>
      </c>
      <c r="F8" s="102">
        <f t="shared" si="1"/>
        <v>0</v>
      </c>
      <c r="G8" s="102">
        <f t="shared" si="2"/>
        <v>0</v>
      </c>
      <c r="H8" s="103">
        <f t="shared" si="3"/>
        <v>0</v>
      </c>
      <c r="I8" s="120">
        <f t="shared" si="8"/>
        <v>0</v>
      </c>
      <c r="J8" s="118">
        <f t="shared" si="4"/>
        <v>0</v>
      </c>
      <c r="K8" s="26">
        <f t="shared" si="5"/>
        <v>0</v>
      </c>
      <c r="L8" s="26">
        <f t="shared" si="6"/>
        <v>0</v>
      </c>
      <c r="M8" s="26">
        <f t="shared" si="7"/>
        <v>0</v>
      </c>
    </row>
    <row r="9" spans="2:17" ht="36" customHeight="1">
      <c r="B9" s="69"/>
      <c r="C9" s="99"/>
      <c r="D9" s="106"/>
      <c r="E9" s="101">
        <f t="shared" si="0"/>
        <v>0</v>
      </c>
      <c r="F9" s="102">
        <f t="shared" si="1"/>
        <v>0</v>
      </c>
      <c r="G9" s="102">
        <f t="shared" si="2"/>
        <v>0</v>
      </c>
      <c r="H9" s="103">
        <f t="shared" si="3"/>
        <v>0</v>
      </c>
      <c r="I9" s="120">
        <f t="shared" si="8"/>
        <v>0</v>
      </c>
      <c r="J9" s="118">
        <f t="shared" si="4"/>
        <v>0</v>
      </c>
      <c r="K9" s="26">
        <f t="shared" si="5"/>
        <v>0</v>
      </c>
      <c r="L9" s="26">
        <f t="shared" si="6"/>
        <v>0</v>
      </c>
      <c r="M9" s="26">
        <f t="shared" si="7"/>
        <v>0</v>
      </c>
    </row>
    <row r="10" spans="2:17" ht="36" customHeight="1">
      <c r="B10" s="69"/>
      <c r="C10" s="99"/>
      <c r="D10" s="106"/>
      <c r="E10" s="101">
        <f t="shared" si="0"/>
        <v>0</v>
      </c>
      <c r="F10" s="102">
        <f t="shared" si="1"/>
        <v>0</v>
      </c>
      <c r="G10" s="102">
        <f t="shared" si="2"/>
        <v>0</v>
      </c>
      <c r="H10" s="103">
        <f t="shared" si="3"/>
        <v>0</v>
      </c>
      <c r="I10" s="120">
        <f t="shared" si="8"/>
        <v>0</v>
      </c>
      <c r="J10" s="118">
        <f t="shared" si="4"/>
        <v>0</v>
      </c>
      <c r="K10" s="26">
        <f t="shared" si="5"/>
        <v>0</v>
      </c>
      <c r="L10" s="26">
        <f t="shared" si="6"/>
        <v>0</v>
      </c>
      <c r="M10" s="26">
        <f t="shared" si="7"/>
        <v>0</v>
      </c>
    </row>
    <row r="11" spans="2:17" ht="36" customHeight="1">
      <c r="B11" s="69"/>
      <c r="C11" s="99"/>
      <c r="D11" s="106"/>
      <c r="E11" s="101">
        <f t="shared" si="0"/>
        <v>0</v>
      </c>
      <c r="F11" s="102">
        <f t="shared" si="1"/>
        <v>0</v>
      </c>
      <c r="G11" s="102">
        <f t="shared" si="2"/>
        <v>0</v>
      </c>
      <c r="H11" s="103">
        <f t="shared" si="3"/>
        <v>0</v>
      </c>
      <c r="I11" s="120">
        <f t="shared" si="8"/>
        <v>0</v>
      </c>
      <c r="J11" s="118">
        <f t="shared" si="4"/>
        <v>0</v>
      </c>
      <c r="K11" s="26">
        <f t="shared" si="5"/>
        <v>0</v>
      </c>
      <c r="L11" s="26">
        <f t="shared" si="6"/>
        <v>0</v>
      </c>
      <c r="M11" s="26">
        <f t="shared" si="7"/>
        <v>0</v>
      </c>
    </row>
    <row r="12" spans="2:17" ht="36" customHeight="1">
      <c r="B12" s="69"/>
      <c r="C12" s="99"/>
      <c r="D12" s="106"/>
      <c r="E12" s="101">
        <f t="shared" si="0"/>
        <v>0</v>
      </c>
      <c r="F12" s="102">
        <f t="shared" si="1"/>
        <v>0</v>
      </c>
      <c r="G12" s="102">
        <f t="shared" si="2"/>
        <v>0</v>
      </c>
      <c r="H12" s="103">
        <f t="shared" si="3"/>
        <v>0</v>
      </c>
      <c r="I12" s="120">
        <f t="shared" si="8"/>
        <v>0</v>
      </c>
      <c r="J12" s="118">
        <f t="shared" si="4"/>
        <v>0</v>
      </c>
      <c r="K12" s="26">
        <f t="shared" si="5"/>
        <v>0</v>
      </c>
      <c r="L12" s="26">
        <f t="shared" si="6"/>
        <v>0</v>
      </c>
      <c r="M12" s="26">
        <f t="shared" si="7"/>
        <v>0</v>
      </c>
    </row>
    <row r="13" spans="2:17" ht="36" customHeight="1">
      <c r="B13" s="69"/>
      <c r="C13" s="99"/>
      <c r="D13" s="106"/>
      <c r="E13" s="101">
        <f t="shared" si="0"/>
        <v>0</v>
      </c>
      <c r="F13" s="102">
        <f t="shared" si="1"/>
        <v>0</v>
      </c>
      <c r="G13" s="102">
        <f t="shared" si="2"/>
        <v>0</v>
      </c>
      <c r="H13" s="103">
        <f t="shared" si="3"/>
        <v>0</v>
      </c>
      <c r="I13" s="120">
        <f t="shared" si="8"/>
        <v>0</v>
      </c>
      <c r="J13" s="118">
        <f t="shared" si="4"/>
        <v>0</v>
      </c>
      <c r="K13" s="26">
        <f t="shared" si="5"/>
        <v>0</v>
      </c>
      <c r="L13" s="26">
        <f t="shared" si="6"/>
        <v>0</v>
      </c>
      <c r="M13" s="26">
        <f t="shared" si="7"/>
        <v>0</v>
      </c>
    </row>
    <row r="14" spans="2:17" ht="36" customHeight="1">
      <c r="B14" s="69"/>
      <c r="C14" s="99"/>
      <c r="D14" s="106"/>
      <c r="E14" s="101">
        <f t="shared" si="0"/>
        <v>0</v>
      </c>
      <c r="F14" s="102">
        <f t="shared" si="1"/>
        <v>0</v>
      </c>
      <c r="G14" s="102">
        <f t="shared" si="2"/>
        <v>0</v>
      </c>
      <c r="H14" s="103">
        <f t="shared" si="3"/>
        <v>0</v>
      </c>
      <c r="I14" s="120">
        <f t="shared" si="8"/>
        <v>0</v>
      </c>
      <c r="J14" s="118">
        <f t="shared" si="4"/>
        <v>0</v>
      </c>
      <c r="K14" s="26">
        <f t="shared" si="5"/>
        <v>0</v>
      </c>
      <c r="L14" s="26">
        <f t="shared" si="6"/>
        <v>0</v>
      </c>
      <c r="M14" s="26">
        <f t="shared" si="7"/>
        <v>0</v>
      </c>
    </row>
    <row r="15" spans="2:17" ht="36" customHeight="1">
      <c r="B15" s="69"/>
      <c r="C15" s="99"/>
      <c r="D15" s="106"/>
      <c r="E15" s="101">
        <f t="shared" si="0"/>
        <v>0</v>
      </c>
      <c r="F15" s="102">
        <f t="shared" si="1"/>
        <v>0</v>
      </c>
      <c r="G15" s="102">
        <f t="shared" si="2"/>
        <v>0</v>
      </c>
      <c r="H15" s="103">
        <f t="shared" si="3"/>
        <v>0</v>
      </c>
      <c r="I15" s="120">
        <f t="shared" si="8"/>
        <v>0</v>
      </c>
      <c r="J15" s="118">
        <f t="shared" si="4"/>
        <v>0</v>
      </c>
      <c r="K15" s="26">
        <f t="shared" si="5"/>
        <v>0</v>
      </c>
      <c r="L15" s="26">
        <f t="shared" si="6"/>
        <v>0</v>
      </c>
      <c r="M15" s="26">
        <f t="shared" si="7"/>
        <v>0</v>
      </c>
    </row>
    <row r="16" spans="2:17" ht="36" customHeight="1">
      <c r="B16" s="69"/>
      <c r="C16" s="99"/>
      <c r="D16" s="106"/>
      <c r="E16" s="101">
        <f t="shared" si="0"/>
        <v>0</v>
      </c>
      <c r="F16" s="102">
        <f t="shared" si="1"/>
        <v>0</v>
      </c>
      <c r="G16" s="102">
        <f t="shared" si="2"/>
        <v>0</v>
      </c>
      <c r="H16" s="103">
        <f t="shared" si="3"/>
        <v>0</v>
      </c>
      <c r="I16" s="120">
        <f t="shared" si="8"/>
        <v>0</v>
      </c>
      <c r="J16" s="118">
        <f t="shared" si="4"/>
        <v>0</v>
      </c>
      <c r="K16" s="26">
        <f t="shared" si="5"/>
        <v>0</v>
      </c>
      <c r="L16" s="26">
        <f t="shared" si="6"/>
        <v>0</v>
      </c>
      <c r="M16" s="26">
        <f t="shared" si="7"/>
        <v>0</v>
      </c>
    </row>
    <row r="17" spans="2:13" ht="36" customHeight="1">
      <c r="B17" s="69"/>
      <c r="C17" s="99"/>
      <c r="D17" s="106"/>
      <c r="E17" s="101">
        <f t="shared" si="0"/>
        <v>0</v>
      </c>
      <c r="F17" s="102">
        <f t="shared" si="1"/>
        <v>0</v>
      </c>
      <c r="G17" s="102">
        <f t="shared" si="2"/>
        <v>0</v>
      </c>
      <c r="H17" s="103">
        <f t="shared" si="3"/>
        <v>0</v>
      </c>
      <c r="I17" s="120">
        <f t="shared" si="8"/>
        <v>0</v>
      </c>
      <c r="J17" s="118">
        <f t="shared" si="4"/>
        <v>0</v>
      </c>
      <c r="K17" s="26">
        <f t="shared" si="5"/>
        <v>0</v>
      </c>
      <c r="L17" s="26">
        <f t="shared" si="6"/>
        <v>0</v>
      </c>
      <c r="M17" s="26">
        <f t="shared" si="7"/>
        <v>0</v>
      </c>
    </row>
    <row r="18" spans="2:13" ht="36" customHeight="1">
      <c r="B18" s="69"/>
      <c r="C18" s="99"/>
      <c r="D18" s="106"/>
      <c r="E18" s="101">
        <f t="shared" si="0"/>
        <v>0</v>
      </c>
      <c r="F18" s="102">
        <f t="shared" si="1"/>
        <v>0</v>
      </c>
      <c r="G18" s="102">
        <f t="shared" si="2"/>
        <v>0</v>
      </c>
      <c r="H18" s="103">
        <f t="shared" si="3"/>
        <v>0</v>
      </c>
      <c r="I18" s="120">
        <f t="shared" si="8"/>
        <v>0</v>
      </c>
      <c r="J18" s="118">
        <f t="shared" si="4"/>
        <v>0</v>
      </c>
      <c r="K18" s="26">
        <f t="shared" si="5"/>
        <v>0</v>
      </c>
      <c r="L18" s="26">
        <f t="shared" si="6"/>
        <v>0</v>
      </c>
      <c r="M18" s="26">
        <f t="shared" si="7"/>
        <v>0</v>
      </c>
    </row>
    <row r="19" spans="2:13" ht="36" customHeight="1">
      <c r="B19" s="69"/>
      <c r="C19" s="99"/>
      <c r="D19" s="106"/>
      <c r="E19" s="101">
        <f t="shared" si="0"/>
        <v>0</v>
      </c>
      <c r="F19" s="102">
        <f t="shared" si="1"/>
        <v>0</v>
      </c>
      <c r="G19" s="102">
        <f t="shared" si="2"/>
        <v>0</v>
      </c>
      <c r="H19" s="103">
        <f t="shared" si="3"/>
        <v>0</v>
      </c>
      <c r="I19" s="120">
        <f t="shared" si="8"/>
        <v>0</v>
      </c>
      <c r="J19" s="118">
        <f t="shared" si="4"/>
        <v>0</v>
      </c>
      <c r="K19" s="26">
        <f t="shared" si="5"/>
        <v>0</v>
      </c>
      <c r="L19" s="26">
        <f t="shared" si="6"/>
        <v>0</v>
      </c>
      <c r="M19" s="26">
        <f t="shared" si="7"/>
        <v>0</v>
      </c>
    </row>
    <row r="20" spans="2:13" ht="36" customHeight="1">
      <c r="B20" s="69"/>
      <c r="C20" s="99"/>
      <c r="D20" s="106"/>
      <c r="E20" s="101">
        <f t="shared" si="0"/>
        <v>0</v>
      </c>
      <c r="F20" s="102">
        <f t="shared" si="1"/>
        <v>0</v>
      </c>
      <c r="G20" s="102">
        <f t="shared" si="2"/>
        <v>0</v>
      </c>
      <c r="H20" s="103">
        <f t="shared" si="3"/>
        <v>0</v>
      </c>
      <c r="I20" s="120">
        <f t="shared" si="8"/>
        <v>0</v>
      </c>
      <c r="J20" s="118">
        <f t="shared" si="4"/>
        <v>0</v>
      </c>
      <c r="K20" s="26">
        <f t="shared" si="5"/>
        <v>0</v>
      </c>
      <c r="L20" s="26">
        <f t="shared" si="6"/>
        <v>0</v>
      </c>
      <c r="M20" s="26">
        <f t="shared" si="7"/>
        <v>0</v>
      </c>
    </row>
    <row r="21" spans="2:13" ht="36" customHeight="1">
      <c r="B21" s="69"/>
      <c r="C21" s="99"/>
      <c r="D21" s="106"/>
      <c r="E21" s="101">
        <f t="shared" si="0"/>
        <v>0</v>
      </c>
      <c r="F21" s="102">
        <f t="shared" si="1"/>
        <v>0</v>
      </c>
      <c r="G21" s="102">
        <f t="shared" si="2"/>
        <v>0</v>
      </c>
      <c r="H21" s="103">
        <f t="shared" si="3"/>
        <v>0</v>
      </c>
      <c r="I21" s="120">
        <f t="shared" si="8"/>
        <v>0</v>
      </c>
      <c r="J21" s="118">
        <f t="shared" si="4"/>
        <v>0</v>
      </c>
      <c r="K21" s="26">
        <f t="shared" ref="K21:M55" si="9">IF(E21=0,0,E21/$I21)</f>
        <v>0</v>
      </c>
      <c r="L21" s="26">
        <f t="shared" si="9"/>
        <v>0</v>
      </c>
      <c r="M21" s="26">
        <f t="shared" si="9"/>
        <v>0</v>
      </c>
    </row>
    <row r="22" spans="2:13" ht="36" customHeight="1">
      <c r="B22" s="69"/>
      <c r="C22" s="99"/>
      <c r="D22" s="106"/>
      <c r="E22" s="101">
        <f t="shared" si="0"/>
        <v>0</v>
      </c>
      <c r="F22" s="102">
        <f t="shared" si="1"/>
        <v>0</v>
      </c>
      <c r="G22" s="102">
        <f t="shared" si="2"/>
        <v>0</v>
      </c>
      <c r="H22" s="103">
        <f t="shared" si="3"/>
        <v>0</v>
      </c>
      <c r="I22" s="120">
        <f t="shared" si="8"/>
        <v>0</v>
      </c>
      <c r="J22" s="118">
        <f t="shared" si="4"/>
        <v>0</v>
      </c>
      <c r="K22" s="26">
        <f t="shared" si="9"/>
        <v>0</v>
      </c>
      <c r="L22" s="26">
        <f t="shared" si="9"/>
        <v>0</v>
      </c>
      <c r="M22" s="26">
        <f t="shared" si="9"/>
        <v>0</v>
      </c>
    </row>
    <row r="23" spans="2:13" ht="36" customHeight="1">
      <c r="B23" s="69"/>
      <c r="C23" s="99"/>
      <c r="D23" s="106"/>
      <c r="E23" s="101">
        <f t="shared" si="0"/>
        <v>0</v>
      </c>
      <c r="F23" s="102">
        <f t="shared" si="1"/>
        <v>0</v>
      </c>
      <c r="G23" s="102">
        <f t="shared" si="2"/>
        <v>0</v>
      </c>
      <c r="H23" s="103">
        <f t="shared" si="3"/>
        <v>0</v>
      </c>
      <c r="I23" s="120">
        <f t="shared" si="8"/>
        <v>0</v>
      </c>
      <c r="J23" s="118">
        <f t="shared" si="4"/>
        <v>0</v>
      </c>
      <c r="K23" s="26">
        <f t="shared" si="9"/>
        <v>0</v>
      </c>
      <c r="L23" s="26">
        <f t="shared" si="9"/>
        <v>0</v>
      </c>
      <c r="M23" s="26">
        <f t="shared" si="9"/>
        <v>0</v>
      </c>
    </row>
    <row r="24" spans="2:13" ht="36" hidden="1" customHeight="1">
      <c r="B24" s="69"/>
      <c r="C24" s="99"/>
      <c r="D24" s="106"/>
      <c r="E24" s="101">
        <f t="shared" si="0"/>
        <v>0</v>
      </c>
      <c r="F24" s="102">
        <f t="shared" si="1"/>
        <v>0</v>
      </c>
      <c r="G24" s="102">
        <f t="shared" si="2"/>
        <v>0</v>
      </c>
      <c r="H24" s="103">
        <f t="shared" si="3"/>
        <v>0</v>
      </c>
      <c r="I24" s="120">
        <f t="shared" si="8"/>
        <v>0</v>
      </c>
      <c r="J24" s="118">
        <f t="shared" si="4"/>
        <v>0</v>
      </c>
      <c r="K24" s="26">
        <f t="shared" si="9"/>
        <v>0</v>
      </c>
      <c r="L24" s="26">
        <f t="shared" si="9"/>
        <v>0</v>
      </c>
      <c r="M24" s="26">
        <f t="shared" si="9"/>
        <v>0</v>
      </c>
    </row>
    <row r="25" spans="2:13" ht="36" hidden="1" customHeight="1">
      <c r="B25" s="69"/>
      <c r="C25" s="99"/>
      <c r="D25" s="106"/>
      <c r="E25" s="101">
        <f t="shared" si="0"/>
        <v>0</v>
      </c>
      <c r="F25" s="102">
        <f t="shared" si="1"/>
        <v>0</v>
      </c>
      <c r="G25" s="102">
        <f t="shared" si="2"/>
        <v>0</v>
      </c>
      <c r="H25" s="103">
        <f t="shared" si="3"/>
        <v>0</v>
      </c>
      <c r="I25" s="120">
        <f t="shared" si="8"/>
        <v>0</v>
      </c>
      <c r="J25" s="118">
        <f t="shared" si="4"/>
        <v>0</v>
      </c>
      <c r="K25" s="26">
        <f t="shared" si="9"/>
        <v>0</v>
      </c>
      <c r="L25" s="26">
        <f t="shared" si="9"/>
        <v>0</v>
      </c>
      <c r="M25" s="26">
        <f t="shared" si="9"/>
        <v>0</v>
      </c>
    </row>
    <row r="26" spans="2:13" ht="36" hidden="1" customHeight="1">
      <c r="B26" s="69"/>
      <c r="C26" s="99"/>
      <c r="D26" s="106"/>
      <c r="E26" s="101">
        <f t="shared" si="0"/>
        <v>0</v>
      </c>
      <c r="F26" s="102">
        <f t="shared" si="1"/>
        <v>0</v>
      </c>
      <c r="G26" s="102">
        <f t="shared" si="2"/>
        <v>0</v>
      </c>
      <c r="H26" s="103">
        <f t="shared" si="3"/>
        <v>0</v>
      </c>
      <c r="I26" s="120">
        <f t="shared" si="8"/>
        <v>0</v>
      </c>
      <c r="J26" s="118">
        <f t="shared" si="4"/>
        <v>0</v>
      </c>
      <c r="K26" s="26">
        <f t="shared" si="9"/>
        <v>0</v>
      </c>
      <c r="L26" s="26">
        <f t="shared" si="9"/>
        <v>0</v>
      </c>
      <c r="M26" s="26">
        <f t="shared" si="9"/>
        <v>0</v>
      </c>
    </row>
    <row r="27" spans="2:13" ht="36" hidden="1" customHeight="1">
      <c r="B27" s="69"/>
      <c r="C27" s="99"/>
      <c r="D27" s="106"/>
      <c r="E27" s="101">
        <f t="shared" si="0"/>
        <v>0</v>
      </c>
      <c r="F27" s="102">
        <f t="shared" si="1"/>
        <v>0</v>
      </c>
      <c r="G27" s="102">
        <f t="shared" si="2"/>
        <v>0</v>
      </c>
      <c r="H27" s="103">
        <f t="shared" si="3"/>
        <v>0</v>
      </c>
      <c r="I27" s="120">
        <f t="shared" si="8"/>
        <v>0</v>
      </c>
      <c r="J27" s="118">
        <f t="shared" si="4"/>
        <v>0</v>
      </c>
      <c r="K27" s="26">
        <f t="shared" si="9"/>
        <v>0</v>
      </c>
      <c r="L27" s="26">
        <f t="shared" si="9"/>
        <v>0</v>
      </c>
      <c r="M27" s="26">
        <f t="shared" si="9"/>
        <v>0</v>
      </c>
    </row>
    <row r="28" spans="2:13" ht="36" hidden="1" customHeight="1">
      <c r="B28" s="69"/>
      <c r="C28" s="99"/>
      <c r="D28" s="106"/>
      <c r="E28" s="101">
        <f t="shared" si="0"/>
        <v>0</v>
      </c>
      <c r="F28" s="102">
        <f t="shared" si="1"/>
        <v>0</v>
      </c>
      <c r="G28" s="102">
        <f t="shared" si="2"/>
        <v>0</v>
      </c>
      <c r="H28" s="103">
        <f t="shared" ref="H28:H54" si="10">SUM(E28:G28)</f>
        <v>0</v>
      </c>
      <c r="I28" s="104">
        <f t="shared" si="8"/>
        <v>0</v>
      </c>
      <c r="J28" s="91">
        <f t="shared" si="4"/>
        <v>0</v>
      </c>
      <c r="K28" s="15">
        <f t="shared" si="9"/>
        <v>0</v>
      </c>
      <c r="L28" s="15">
        <f t="shared" si="9"/>
        <v>0</v>
      </c>
      <c r="M28" s="15">
        <f t="shared" si="9"/>
        <v>0</v>
      </c>
    </row>
    <row r="29" spans="2:13" ht="36" hidden="1" customHeight="1">
      <c r="B29" s="69"/>
      <c r="C29" s="99"/>
      <c r="D29" s="106"/>
      <c r="E29" s="101">
        <f t="shared" si="0"/>
        <v>0</v>
      </c>
      <c r="F29" s="102">
        <f t="shared" si="1"/>
        <v>0</v>
      </c>
      <c r="G29" s="102">
        <f t="shared" si="2"/>
        <v>0</v>
      </c>
      <c r="H29" s="103">
        <f t="shared" si="10"/>
        <v>0</v>
      </c>
      <c r="I29" s="104">
        <f t="shared" si="8"/>
        <v>0</v>
      </c>
      <c r="J29" s="91">
        <f t="shared" si="4"/>
        <v>0</v>
      </c>
      <c r="K29" s="15">
        <f t="shared" si="9"/>
        <v>0</v>
      </c>
      <c r="L29" s="15">
        <f t="shared" si="9"/>
        <v>0</v>
      </c>
      <c r="M29" s="15">
        <f t="shared" si="9"/>
        <v>0</v>
      </c>
    </row>
    <row r="30" spans="2:13" ht="36" hidden="1" customHeight="1">
      <c r="B30" s="69"/>
      <c r="C30" s="99"/>
      <c r="D30" s="106"/>
      <c r="E30" s="101">
        <f t="shared" si="0"/>
        <v>0</v>
      </c>
      <c r="F30" s="102">
        <f t="shared" si="1"/>
        <v>0</v>
      </c>
      <c r="G30" s="102">
        <f t="shared" si="2"/>
        <v>0</v>
      </c>
      <c r="H30" s="103">
        <f t="shared" si="10"/>
        <v>0</v>
      </c>
      <c r="I30" s="104">
        <f t="shared" si="8"/>
        <v>0</v>
      </c>
      <c r="J30" s="91">
        <f t="shared" si="4"/>
        <v>0</v>
      </c>
      <c r="K30" s="15">
        <f t="shared" si="9"/>
        <v>0</v>
      </c>
      <c r="L30" s="15">
        <f t="shared" si="9"/>
        <v>0</v>
      </c>
      <c r="M30" s="15">
        <f t="shared" si="9"/>
        <v>0</v>
      </c>
    </row>
    <row r="31" spans="2:13" ht="36" hidden="1" customHeight="1">
      <c r="B31" s="69"/>
      <c r="C31" s="99"/>
      <c r="D31" s="106"/>
      <c r="E31" s="101">
        <f t="shared" si="0"/>
        <v>0</v>
      </c>
      <c r="F31" s="102">
        <f t="shared" si="1"/>
        <v>0</v>
      </c>
      <c r="G31" s="102">
        <f t="shared" si="2"/>
        <v>0</v>
      </c>
      <c r="H31" s="103">
        <f t="shared" si="10"/>
        <v>0</v>
      </c>
      <c r="I31" s="104">
        <f t="shared" si="8"/>
        <v>0</v>
      </c>
      <c r="J31" s="91">
        <f t="shared" si="4"/>
        <v>0</v>
      </c>
      <c r="K31" s="15">
        <f t="shared" si="9"/>
        <v>0</v>
      </c>
      <c r="L31" s="15">
        <f t="shared" si="9"/>
        <v>0</v>
      </c>
      <c r="M31" s="15">
        <f t="shared" si="9"/>
        <v>0</v>
      </c>
    </row>
    <row r="32" spans="2:13" ht="36" hidden="1" customHeight="1">
      <c r="B32" s="69"/>
      <c r="C32" s="99"/>
      <c r="D32" s="106"/>
      <c r="E32" s="101">
        <f t="shared" si="0"/>
        <v>0</v>
      </c>
      <c r="F32" s="102">
        <f t="shared" si="1"/>
        <v>0</v>
      </c>
      <c r="G32" s="102">
        <f t="shared" si="2"/>
        <v>0</v>
      </c>
      <c r="H32" s="103">
        <f t="shared" si="10"/>
        <v>0</v>
      </c>
      <c r="I32" s="104">
        <f t="shared" si="8"/>
        <v>0</v>
      </c>
      <c r="J32" s="91">
        <f t="shared" si="4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</row>
    <row r="33" spans="2:13" ht="36" hidden="1" customHeight="1">
      <c r="B33" s="69"/>
      <c r="C33" s="99"/>
      <c r="D33" s="106"/>
      <c r="E33" s="101">
        <f t="shared" si="0"/>
        <v>0</v>
      </c>
      <c r="F33" s="102">
        <f t="shared" si="1"/>
        <v>0</v>
      </c>
      <c r="G33" s="102">
        <f t="shared" si="2"/>
        <v>0</v>
      </c>
      <c r="H33" s="103">
        <f t="shared" si="10"/>
        <v>0</v>
      </c>
      <c r="I33" s="104">
        <f t="shared" si="8"/>
        <v>0</v>
      </c>
      <c r="J33" s="91">
        <f t="shared" si="4"/>
        <v>0</v>
      </c>
      <c r="K33" s="15">
        <f t="shared" si="9"/>
        <v>0</v>
      </c>
      <c r="L33" s="15">
        <f t="shared" si="9"/>
        <v>0</v>
      </c>
      <c r="M33" s="15">
        <f t="shared" si="9"/>
        <v>0</v>
      </c>
    </row>
    <row r="34" spans="2:13" ht="36" hidden="1" customHeight="1">
      <c r="B34" s="69"/>
      <c r="C34" s="99"/>
      <c r="D34" s="106"/>
      <c r="E34" s="101">
        <f t="shared" si="0"/>
        <v>0</v>
      </c>
      <c r="F34" s="102">
        <f t="shared" si="1"/>
        <v>0</v>
      </c>
      <c r="G34" s="102">
        <f t="shared" si="2"/>
        <v>0</v>
      </c>
      <c r="H34" s="103">
        <f t="shared" si="10"/>
        <v>0</v>
      </c>
      <c r="I34" s="104">
        <f t="shared" si="8"/>
        <v>0</v>
      </c>
      <c r="J34" s="91">
        <f t="shared" si="4"/>
        <v>0</v>
      </c>
      <c r="K34" s="15">
        <f t="shared" si="9"/>
        <v>0</v>
      </c>
      <c r="L34" s="15">
        <f t="shared" si="9"/>
        <v>0</v>
      </c>
      <c r="M34" s="15">
        <f t="shared" si="9"/>
        <v>0</v>
      </c>
    </row>
    <row r="35" spans="2:13" ht="36" hidden="1" customHeight="1">
      <c r="B35" s="69"/>
      <c r="C35" s="99"/>
      <c r="D35" s="106"/>
      <c r="E35" s="101">
        <f t="shared" si="0"/>
        <v>0</v>
      </c>
      <c r="F35" s="102">
        <f t="shared" si="1"/>
        <v>0</v>
      </c>
      <c r="G35" s="102">
        <f t="shared" si="2"/>
        <v>0</v>
      </c>
      <c r="H35" s="103">
        <f t="shared" si="10"/>
        <v>0</v>
      </c>
      <c r="I35" s="104">
        <f t="shared" si="8"/>
        <v>0</v>
      </c>
      <c r="J35" s="91">
        <f t="shared" si="4"/>
        <v>0</v>
      </c>
      <c r="K35" s="15">
        <f t="shared" si="9"/>
        <v>0</v>
      </c>
      <c r="L35" s="15">
        <f t="shared" si="9"/>
        <v>0</v>
      </c>
      <c r="M35" s="15">
        <f t="shared" si="9"/>
        <v>0</v>
      </c>
    </row>
    <row r="36" spans="2:13" ht="36" hidden="1" customHeight="1">
      <c r="B36" s="69"/>
      <c r="C36" s="99"/>
      <c r="D36" s="106"/>
      <c r="E36" s="101">
        <f t="shared" si="0"/>
        <v>0</v>
      </c>
      <c r="F36" s="102">
        <f t="shared" si="1"/>
        <v>0</v>
      </c>
      <c r="G36" s="102">
        <f t="shared" si="2"/>
        <v>0</v>
      </c>
      <c r="H36" s="103">
        <f t="shared" si="10"/>
        <v>0</v>
      </c>
      <c r="I36" s="104">
        <f t="shared" si="8"/>
        <v>0</v>
      </c>
      <c r="J36" s="91">
        <f t="shared" si="4"/>
        <v>0</v>
      </c>
      <c r="K36" s="15">
        <f t="shared" si="9"/>
        <v>0</v>
      </c>
      <c r="L36" s="15">
        <f t="shared" si="9"/>
        <v>0</v>
      </c>
      <c r="M36" s="15">
        <f t="shared" si="9"/>
        <v>0</v>
      </c>
    </row>
    <row r="37" spans="2:13" ht="36" hidden="1" customHeight="1">
      <c r="B37" s="69"/>
      <c r="C37" s="99"/>
      <c r="D37" s="106"/>
      <c r="E37" s="101">
        <f t="shared" si="0"/>
        <v>0</v>
      </c>
      <c r="F37" s="102">
        <f t="shared" si="1"/>
        <v>0</v>
      </c>
      <c r="G37" s="102">
        <f t="shared" si="2"/>
        <v>0</v>
      </c>
      <c r="H37" s="103">
        <f t="shared" si="10"/>
        <v>0</v>
      </c>
      <c r="I37" s="104">
        <f t="shared" si="8"/>
        <v>0</v>
      </c>
      <c r="J37" s="91">
        <f t="shared" ref="J37:J55" si="11">SUM(K37:M37)</f>
        <v>0</v>
      </c>
      <c r="K37" s="15">
        <f t="shared" si="9"/>
        <v>0</v>
      </c>
      <c r="L37" s="15">
        <f t="shared" si="9"/>
        <v>0</v>
      </c>
      <c r="M37" s="15">
        <f t="shared" si="9"/>
        <v>0</v>
      </c>
    </row>
    <row r="38" spans="2:13" ht="36" hidden="1" customHeight="1">
      <c r="B38" s="69"/>
      <c r="C38" s="99"/>
      <c r="D38" s="106"/>
      <c r="E38" s="101">
        <f t="shared" si="0"/>
        <v>0</v>
      </c>
      <c r="F38" s="102">
        <f t="shared" si="1"/>
        <v>0</v>
      </c>
      <c r="G38" s="102">
        <f t="shared" si="2"/>
        <v>0</v>
      </c>
      <c r="H38" s="103">
        <f t="shared" si="10"/>
        <v>0</v>
      </c>
      <c r="I38" s="104">
        <f t="shared" si="8"/>
        <v>0</v>
      </c>
      <c r="J38" s="91">
        <f t="shared" si="11"/>
        <v>0</v>
      </c>
      <c r="K38" s="15">
        <f t="shared" si="9"/>
        <v>0</v>
      </c>
      <c r="L38" s="15">
        <f t="shared" si="9"/>
        <v>0</v>
      </c>
      <c r="M38" s="15">
        <f t="shared" si="9"/>
        <v>0</v>
      </c>
    </row>
    <row r="39" spans="2:13" ht="36" hidden="1" customHeight="1">
      <c r="B39" s="69"/>
      <c r="C39" s="99"/>
      <c r="D39" s="106"/>
      <c r="E39" s="101">
        <f t="shared" si="0"/>
        <v>0</v>
      </c>
      <c r="F39" s="102">
        <f t="shared" si="1"/>
        <v>0</v>
      </c>
      <c r="G39" s="102">
        <f t="shared" si="2"/>
        <v>0</v>
      </c>
      <c r="H39" s="103">
        <f t="shared" si="10"/>
        <v>0</v>
      </c>
      <c r="I39" s="104">
        <f t="shared" si="8"/>
        <v>0</v>
      </c>
      <c r="J39" s="91">
        <f t="shared" si="11"/>
        <v>0</v>
      </c>
      <c r="K39" s="15">
        <f t="shared" si="9"/>
        <v>0</v>
      </c>
      <c r="L39" s="15">
        <f t="shared" si="9"/>
        <v>0</v>
      </c>
      <c r="M39" s="15">
        <f t="shared" si="9"/>
        <v>0</v>
      </c>
    </row>
    <row r="40" spans="2:13" ht="36" hidden="1" customHeight="1">
      <c r="B40" s="69"/>
      <c r="C40" s="99"/>
      <c r="D40" s="106"/>
      <c r="E40" s="101">
        <f t="shared" si="0"/>
        <v>0</v>
      </c>
      <c r="F40" s="102">
        <f t="shared" si="1"/>
        <v>0</v>
      </c>
      <c r="G40" s="102">
        <f t="shared" si="2"/>
        <v>0</v>
      </c>
      <c r="H40" s="103">
        <f t="shared" si="10"/>
        <v>0</v>
      </c>
      <c r="I40" s="104">
        <f t="shared" si="8"/>
        <v>0</v>
      </c>
      <c r="J40" s="91">
        <f t="shared" si="11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</row>
    <row r="41" spans="2:13" ht="36" hidden="1" customHeight="1">
      <c r="B41" s="69"/>
      <c r="C41" s="99"/>
      <c r="D41" s="106"/>
      <c r="E41" s="101">
        <f t="shared" si="0"/>
        <v>0</v>
      </c>
      <c r="F41" s="102">
        <f t="shared" si="1"/>
        <v>0</v>
      </c>
      <c r="G41" s="102">
        <f t="shared" si="2"/>
        <v>0</v>
      </c>
      <c r="H41" s="103">
        <f t="shared" si="10"/>
        <v>0</v>
      </c>
      <c r="I41" s="104">
        <f t="shared" si="8"/>
        <v>0</v>
      </c>
      <c r="J41" s="91">
        <f t="shared" si="11"/>
        <v>0</v>
      </c>
      <c r="K41" s="15">
        <f t="shared" si="9"/>
        <v>0</v>
      </c>
      <c r="L41" s="15">
        <f t="shared" si="9"/>
        <v>0</v>
      </c>
      <c r="M41" s="15">
        <f t="shared" si="9"/>
        <v>0</v>
      </c>
    </row>
    <row r="42" spans="2:13" ht="36" hidden="1" customHeight="1">
      <c r="B42" s="69"/>
      <c r="C42" s="99"/>
      <c r="D42" s="106"/>
      <c r="E42" s="101">
        <f t="shared" si="0"/>
        <v>0</v>
      </c>
      <c r="F42" s="102">
        <f t="shared" si="1"/>
        <v>0</v>
      </c>
      <c r="G42" s="102">
        <f t="shared" si="2"/>
        <v>0</v>
      </c>
      <c r="H42" s="103">
        <f t="shared" si="10"/>
        <v>0</v>
      </c>
      <c r="I42" s="104">
        <f t="shared" si="8"/>
        <v>0</v>
      </c>
      <c r="J42" s="91">
        <f t="shared" si="11"/>
        <v>0</v>
      </c>
      <c r="K42" s="15">
        <f t="shared" si="9"/>
        <v>0</v>
      </c>
      <c r="L42" s="15">
        <f t="shared" si="9"/>
        <v>0</v>
      </c>
      <c r="M42" s="15">
        <f t="shared" si="9"/>
        <v>0</v>
      </c>
    </row>
    <row r="43" spans="2:13" ht="36" hidden="1" customHeight="1">
      <c r="B43" s="69"/>
      <c r="C43" s="99"/>
      <c r="D43" s="106"/>
      <c r="E43" s="101">
        <f t="shared" si="0"/>
        <v>0</v>
      </c>
      <c r="F43" s="102">
        <f t="shared" si="1"/>
        <v>0</v>
      </c>
      <c r="G43" s="102">
        <f t="shared" si="2"/>
        <v>0</v>
      </c>
      <c r="H43" s="103">
        <f t="shared" si="10"/>
        <v>0</v>
      </c>
      <c r="I43" s="104">
        <f t="shared" si="8"/>
        <v>0</v>
      </c>
      <c r="J43" s="91">
        <f t="shared" si="11"/>
        <v>0</v>
      </c>
      <c r="K43" s="15">
        <f t="shared" si="9"/>
        <v>0</v>
      </c>
      <c r="L43" s="15">
        <f t="shared" si="9"/>
        <v>0</v>
      </c>
      <c r="M43" s="15">
        <f t="shared" si="9"/>
        <v>0</v>
      </c>
    </row>
    <row r="44" spans="2:13" ht="36" hidden="1" customHeight="1">
      <c r="B44" s="69"/>
      <c r="C44" s="99"/>
      <c r="D44" s="106"/>
      <c r="E44" s="101">
        <f t="shared" si="0"/>
        <v>0</v>
      </c>
      <c r="F44" s="102">
        <f t="shared" si="1"/>
        <v>0</v>
      </c>
      <c r="G44" s="102">
        <f t="shared" si="2"/>
        <v>0</v>
      </c>
      <c r="H44" s="103">
        <f t="shared" si="10"/>
        <v>0</v>
      </c>
      <c r="I44" s="104">
        <f t="shared" si="8"/>
        <v>0</v>
      </c>
      <c r="J44" s="91">
        <f t="shared" si="11"/>
        <v>0</v>
      </c>
      <c r="K44" s="15">
        <f t="shared" si="9"/>
        <v>0</v>
      </c>
      <c r="L44" s="15">
        <f t="shared" si="9"/>
        <v>0</v>
      </c>
      <c r="M44" s="15">
        <f t="shared" si="9"/>
        <v>0</v>
      </c>
    </row>
    <row r="45" spans="2:13" ht="36" hidden="1" customHeight="1">
      <c r="B45" s="69"/>
      <c r="C45" s="99"/>
      <c r="D45" s="106"/>
      <c r="E45" s="101">
        <f t="shared" si="0"/>
        <v>0</v>
      </c>
      <c r="F45" s="102">
        <f t="shared" si="1"/>
        <v>0</v>
      </c>
      <c r="G45" s="102">
        <f t="shared" si="2"/>
        <v>0</v>
      </c>
      <c r="H45" s="103">
        <f t="shared" si="10"/>
        <v>0</v>
      </c>
      <c r="I45" s="104">
        <f t="shared" si="8"/>
        <v>0</v>
      </c>
      <c r="J45" s="91">
        <f t="shared" si="11"/>
        <v>0</v>
      </c>
      <c r="K45" s="15">
        <f t="shared" si="9"/>
        <v>0</v>
      </c>
      <c r="L45" s="15">
        <f t="shared" si="9"/>
        <v>0</v>
      </c>
      <c r="M45" s="15">
        <f t="shared" si="9"/>
        <v>0</v>
      </c>
    </row>
    <row r="46" spans="2:13" ht="36" hidden="1" customHeight="1">
      <c r="B46" s="69"/>
      <c r="C46" s="99"/>
      <c r="D46" s="106"/>
      <c r="E46" s="101">
        <f t="shared" si="0"/>
        <v>0</v>
      </c>
      <c r="F46" s="102">
        <f t="shared" si="1"/>
        <v>0</v>
      </c>
      <c r="G46" s="102">
        <f t="shared" si="2"/>
        <v>0</v>
      </c>
      <c r="H46" s="103">
        <f t="shared" si="10"/>
        <v>0</v>
      </c>
      <c r="I46" s="104">
        <f t="shared" si="8"/>
        <v>0</v>
      </c>
      <c r="J46" s="91">
        <f t="shared" si="11"/>
        <v>0</v>
      </c>
      <c r="K46" s="15">
        <f t="shared" si="9"/>
        <v>0</v>
      </c>
      <c r="L46" s="15">
        <f t="shared" si="9"/>
        <v>0</v>
      </c>
      <c r="M46" s="15">
        <f t="shared" si="9"/>
        <v>0</v>
      </c>
    </row>
    <row r="47" spans="2:13" ht="36" hidden="1" customHeight="1">
      <c r="B47" s="69"/>
      <c r="C47" s="99"/>
      <c r="D47" s="106"/>
      <c r="E47" s="101">
        <f t="shared" si="0"/>
        <v>0</v>
      </c>
      <c r="F47" s="102">
        <f t="shared" si="1"/>
        <v>0</v>
      </c>
      <c r="G47" s="102">
        <f t="shared" si="2"/>
        <v>0</v>
      </c>
      <c r="H47" s="103">
        <f t="shared" si="10"/>
        <v>0</v>
      </c>
      <c r="I47" s="104">
        <f t="shared" si="8"/>
        <v>0</v>
      </c>
      <c r="J47" s="91">
        <f t="shared" si="11"/>
        <v>0</v>
      </c>
      <c r="K47" s="15">
        <f t="shared" si="9"/>
        <v>0</v>
      </c>
      <c r="L47" s="15">
        <f t="shared" si="9"/>
        <v>0</v>
      </c>
      <c r="M47" s="15">
        <f t="shared" si="9"/>
        <v>0</v>
      </c>
    </row>
    <row r="48" spans="2:13" ht="36" hidden="1" customHeight="1">
      <c r="B48" s="69"/>
      <c r="C48" s="99"/>
      <c r="D48" s="106"/>
      <c r="E48" s="101">
        <f t="shared" si="0"/>
        <v>0</v>
      </c>
      <c r="F48" s="102">
        <f t="shared" si="1"/>
        <v>0</v>
      </c>
      <c r="G48" s="102">
        <f t="shared" si="2"/>
        <v>0</v>
      </c>
      <c r="H48" s="103">
        <f t="shared" si="10"/>
        <v>0</v>
      </c>
      <c r="I48" s="104">
        <f t="shared" si="8"/>
        <v>0</v>
      </c>
      <c r="J48" s="91">
        <f t="shared" si="11"/>
        <v>0</v>
      </c>
      <c r="K48" s="15">
        <f t="shared" si="9"/>
        <v>0</v>
      </c>
      <c r="L48" s="15">
        <f t="shared" si="9"/>
        <v>0</v>
      </c>
      <c r="M48" s="15">
        <f t="shared" si="9"/>
        <v>0</v>
      </c>
    </row>
    <row r="49" spans="2:17" ht="36" hidden="1" customHeight="1">
      <c r="B49" s="69"/>
      <c r="C49" s="99"/>
      <c r="D49" s="106"/>
      <c r="E49" s="101">
        <f t="shared" si="0"/>
        <v>0</v>
      </c>
      <c r="F49" s="102">
        <f t="shared" si="1"/>
        <v>0</v>
      </c>
      <c r="G49" s="102">
        <f t="shared" si="2"/>
        <v>0</v>
      </c>
      <c r="H49" s="103">
        <f t="shared" si="10"/>
        <v>0</v>
      </c>
      <c r="I49" s="104">
        <f t="shared" si="8"/>
        <v>0</v>
      </c>
      <c r="J49" s="91">
        <f t="shared" si="11"/>
        <v>0</v>
      </c>
      <c r="K49" s="15">
        <f t="shared" si="9"/>
        <v>0</v>
      </c>
      <c r="L49" s="15">
        <f t="shared" si="9"/>
        <v>0</v>
      </c>
      <c r="M49" s="15">
        <f t="shared" si="9"/>
        <v>0</v>
      </c>
    </row>
    <row r="50" spans="2:17" ht="36" hidden="1" customHeight="1">
      <c r="B50" s="69"/>
      <c r="C50" s="99"/>
      <c r="D50" s="106"/>
      <c r="E50" s="101">
        <f t="shared" si="0"/>
        <v>0</v>
      </c>
      <c r="F50" s="102">
        <f t="shared" si="1"/>
        <v>0</v>
      </c>
      <c r="G50" s="102">
        <f t="shared" si="2"/>
        <v>0</v>
      </c>
      <c r="H50" s="103">
        <f t="shared" si="10"/>
        <v>0</v>
      </c>
      <c r="I50" s="104">
        <f t="shared" si="8"/>
        <v>0</v>
      </c>
      <c r="J50" s="91">
        <f t="shared" si="11"/>
        <v>0</v>
      </c>
      <c r="K50" s="15">
        <f t="shared" si="9"/>
        <v>0</v>
      </c>
      <c r="L50" s="15">
        <f t="shared" si="9"/>
        <v>0</v>
      </c>
      <c r="M50" s="15">
        <f t="shared" si="9"/>
        <v>0</v>
      </c>
    </row>
    <row r="51" spans="2:17" ht="36" hidden="1" customHeight="1">
      <c r="B51" s="69"/>
      <c r="C51" s="99"/>
      <c r="D51" s="106"/>
      <c r="E51" s="101">
        <f t="shared" si="0"/>
        <v>0</v>
      </c>
      <c r="F51" s="102">
        <f t="shared" si="1"/>
        <v>0</v>
      </c>
      <c r="G51" s="102">
        <f t="shared" si="2"/>
        <v>0</v>
      </c>
      <c r="H51" s="103">
        <f t="shared" si="10"/>
        <v>0</v>
      </c>
      <c r="I51" s="104">
        <f t="shared" si="8"/>
        <v>0</v>
      </c>
      <c r="J51" s="91">
        <f t="shared" si="11"/>
        <v>0</v>
      </c>
      <c r="K51" s="15">
        <f t="shared" si="9"/>
        <v>0</v>
      </c>
      <c r="L51" s="15">
        <f t="shared" si="9"/>
        <v>0</v>
      </c>
      <c r="M51" s="15">
        <f t="shared" si="9"/>
        <v>0</v>
      </c>
    </row>
    <row r="52" spans="2:17" ht="36" hidden="1" customHeight="1">
      <c r="B52" s="69"/>
      <c r="C52" s="99"/>
      <c r="D52" s="106"/>
      <c r="E52" s="101">
        <f t="shared" si="0"/>
        <v>0</v>
      </c>
      <c r="F52" s="102">
        <f t="shared" si="1"/>
        <v>0</v>
      </c>
      <c r="G52" s="102">
        <f t="shared" si="2"/>
        <v>0</v>
      </c>
      <c r="H52" s="103">
        <f t="shared" si="10"/>
        <v>0</v>
      </c>
      <c r="I52" s="104">
        <f t="shared" si="8"/>
        <v>0</v>
      </c>
      <c r="J52" s="91">
        <f t="shared" si="11"/>
        <v>0</v>
      </c>
      <c r="K52" s="15">
        <f t="shared" si="9"/>
        <v>0</v>
      </c>
      <c r="L52" s="15">
        <f t="shared" si="9"/>
        <v>0</v>
      </c>
      <c r="M52" s="15">
        <f t="shared" si="9"/>
        <v>0</v>
      </c>
    </row>
    <row r="53" spans="2:17" ht="36" hidden="1" customHeight="1">
      <c r="B53" s="69"/>
      <c r="C53" s="99"/>
      <c r="D53" s="106"/>
      <c r="E53" s="101">
        <f t="shared" si="0"/>
        <v>0</v>
      </c>
      <c r="F53" s="102">
        <f t="shared" si="1"/>
        <v>0</v>
      </c>
      <c r="G53" s="102">
        <f t="shared" si="2"/>
        <v>0</v>
      </c>
      <c r="H53" s="103">
        <f t="shared" si="10"/>
        <v>0</v>
      </c>
      <c r="I53" s="104">
        <f t="shared" si="8"/>
        <v>0</v>
      </c>
      <c r="J53" s="91">
        <f t="shared" si="11"/>
        <v>0</v>
      </c>
      <c r="K53" s="15">
        <f t="shared" si="9"/>
        <v>0</v>
      </c>
      <c r="L53" s="15">
        <f t="shared" si="9"/>
        <v>0</v>
      </c>
      <c r="M53" s="15">
        <f t="shared" si="9"/>
        <v>0</v>
      </c>
    </row>
    <row r="54" spans="2:17" ht="36" hidden="1" customHeight="1">
      <c r="B54" s="69"/>
      <c r="C54" s="99"/>
      <c r="D54" s="106"/>
      <c r="E54" s="101">
        <f t="shared" si="0"/>
        <v>0</v>
      </c>
      <c r="F54" s="102">
        <f t="shared" si="1"/>
        <v>0</v>
      </c>
      <c r="G54" s="102">
        <f t="shared" si="2"/>
        <v>0</v>
      </c>
      <c r="H54" s="103">
        <f t="shared" si="10"/>
        <v>0</v>
      </c>
      <c r="I54" s="104">
        <f t="shared" si="8"/>
        <v>0</v>
      </c>
      <c r="J54" s="91">
        <f t="shared" si="11"/>
        <v>0</v>
      </c>
      <c r="K54" s="15">
        <f t="shared" si="9"/>
        <v>0</v>
      </c>
      <c r="L54" s="15">
        <f t="shared" si="9"/>
        <v>0</v>
      </c>
      <c r="M54" s="15">
        <f t="shared" si="9"/>
        <v>0</v>
      </c>
    </row>
    <row r="55" spans="2:17" ht="36" customHeight="1" thickBot="1">
      <c r="B55" s="72"/>
      <c r="C55" s="107"/>
      <c r="D55" s="108"/>
      <c r="E55" s="109">
        <f t="shared" si="0"/>
        <v>0</v>
      </c>
      <c r="F55" s="110">
        <f t="shared" si="1"/>
        <v>0</v>
      </c>
      <c r="G55" s="110">
        <f t="shared" si="2"/>
        <v>0</v>
      </c>
      <c r="H55" s="111">
        <f t="shared" si="3"/>
        <v>0</v>
      </c>
      <c r="I55" s="121">
        <f t="shared" si="8"/>
        <v>0</v>
      </c>
      <c r="J55" s="122">
        <f t="shared" si="11"/>
        <v>0</v>
      </c>
      <c r="K55" s="27">
        <f t="shared" si="9"/>
        <v>0</v>
      </c>
      <c r="L55" s="27">
        <f t="shared" si="9"/>
        <v>0</v>
      </c>
      <c r="M55" s="27">
        <f t="shared" si="9"/>
        <v>0</v>
      </c>
    </row>
    <row r="56" spans="2:17" s="13" customFormat="1" ht="36" customHeight="1">
      <c r="B56" s="123"/>
      <c r="C56" s="123"/>
      <c r="D56" s="123">
        <f>SUM(D5:D55)</f>
        <v>0</v>
      </c>
      <c r="E56" s="124"/>
      <c r="F56" s="123"/>
      <c r="G56" s="123"/>
      <c r="H56" s="123"/>
      <c r="I56" s="125"/>
      <c r="J56" s="125"/>
      <c r="K56" s="9"/>
      <c r="L56" s="9"/>
      <c r="M56" s="9"/>
      <c r="N56" s="9"/>
      <c r="O56" s="9"/>
      <c r="P56" s="9"/>
      <c r="Q56" s="9"/>
    </row>
    <row r="57" spans="2:17" s="13" customFormat="1" ht="32.1" customHeight="1">
      <c r="B57" s="12"/>
      <c r="C57" s="12"/>
      <c r="D57" s="12"/>
      <c r="E57" s="20"/>
      <c r="F57" s="12"/>
      <c r="G57" s="12"/>
      <c r="H57" s="12"/>
      <c r="I57" s="9"/>
      <c r="J57" s="9"/>
      <c r="K57" s="9"/>
      <c r="L57" s="9"/>
      <c r="M57" s="9"/>
      <c r="N57" s="9"/>
      <c r="O57" s="9"/>
      <c r="P57" s="9"/>
      <c r="Q57" s="9"/>
    </row>
    <row r="58" spans="2:17" s="13" customFormat="1" ht="32.1" customHeight="1">
      <c r="B58" s="12"/>
      <c r="C58" s="12"/>
      <c r="D58" s="12"/>
      <c r="E58" s="20"/>
      <c r="F58" s="12"/>
      <c r="G58" s="12"/>
      <c r="H58" s="12"/>
      <c r="I58" s="9"/>
      <c r="J58" s="9"/>
      <c r="K58" s="9"/>
      <c r="L58" s="9"/>
      <c r="M58" s="9"/>
      <c r="N58" s="9"/>
      <c r="O58" s="9"/>
      <c r="P58" s="9"/>
      <c r="Q58" s="9"/>
    </row>
    <row r="59" spans="2:17" s="13" customFormat="1" ht="32.1" customHeight="1">
      <c r="B59" s="12"/>
      <c r="C59" s="12"/>
      <c r="D59" s="12"/>
      <c r="E59" s="20"/>
      <c r="F59" s="12"/>
      <c r="G59" s="12"/>
      <c r="H59" s="12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0"/>
      <c r="F60" s="12"/>
      <c r="G60" s="12"/>
      <c r="H60" s="12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0"/>
      <c r="F61" s="12"/>
      <c r="G61" s="12"/>
      <c r="H61" s="12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0"/>
      <c r="F62" s="12"/>
      <c r="G62" s="12"/>
      <c r="H62" s="12"/>
      <c r="I62" s="9"/>
      <c r="J62" s="9"/>
      <c r="K62" s="9"/>
      <c r="L62" s="9"/>
      <c r="M62" s="9"/>
      <c r="N62" s="9"/>
      <c r="O62" s="9"/>
      <c r="P62" s="9"/>
      <c r="Q62" s="9"/>
    </row>
    <row r="63" spans="2:17" s="21" customFormat="1" ht="32.1" customHeight="1">
      <c r="B63" s="12"/>
      <c r="C63" s="12"/>
      <c r="D63" s="12"/>
      <c r="E63" s="20"/>
      <c r="F63" s="12"/>
      <c r="G63" s="12"/>
      <c r="H63" s="12"/>
      <c r="I63" s="9"/>
      <c r="J63" s="9"/>
      <c r="K63" s="9"/>
      <c r="L63" s="9"/>
      <c r="M63" s="9"/>
      <c r="N63" s="9"/>
      <c r="O63" s="9"/>
      <c r="P63" s="9"/>
      <c r="Q63" s="9"/>
    </row>
    <row r="64" spans="2:17" s="21" customFormat="1" ht="32.1" customHeight="1">
      <c r="B64" s="12"/>
      <c r="C64" s="12"/>
      <c r="D64" s="12"/>
      <c r="E64" s="20"/>
      <c r="F64" s="12"/>
      <c r="G64" s="12"/>
      <c r="H64" s="12"/>
      <c r="I64" s="9"/>
      <c r="J64" s="9"/>
      <c r="K64" s="9"/>
      <c r="L64" s="9"/>
      <c r="M64" s="9"/>
      <c r="N64" s="9"/>
      <c r="O64" s="9"/>
      <c r="P64" s="9"/>
      <c r="Q64" s="9"/>
    </row>
    <row r="65" spans="2:17" s="21" customFormat="1" ht="32.1" customHeight="1">
      <c r="B65" s="12"/>
      <c r="C65" s="12"/>
      <c r="D65" s="12"/>
      <c r="E65" s="20"/>
      <c r="F65" s="12"/>
      <c r="G65" s="12"/>
      <c r="H65" s="12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E66" s="20"/>
      <c r="F66" s="12"/>
      <c r="G66" s="12"/>
      <c r="H66" s="12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E67" s="20"/>
      <c r="F67" s="12"/>
      <c r="G67" s="12"/>
      <c r="H67" s="12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E68" s="20"/>
      <c r="F68" s="12"/>
      <c r="G68" s="12"/>
      <c r="H68" s="12"/>
      <c r="I68" s="9"/>
      <c r="J68" s="9"/>
      <c r="K68" s="9"/>
      <c r="L68" s="9"/>
      <c r="M68" s="9"/>
      <c r="N68" s="9"/>
      <c r="O68" s="9"/>
      <c r="P68" s="9"/>
      <c r="Q68" s="9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具_ソフト</vt:lpstr>
      <vt:lpstr>具_ミキサー</vt:lpstr>
      <vt:lpstr>具_ゼリー</vt:lpstr>
      <vt:lpstr>汁_常食</vt:lpstr>
      <vt:lpstr>汁_薄味</vt:lpstr>
      <vt:lpstr>具_ゼリー!Print_Area</vt:lpstr>
      <vt:lpstr>具_ソフト!Print_Area</vt:lpstr>
      <vt:lpstr>具_ミキサー!Print_Area</vt:lpstr>
      <vt:lpstr>汁_常食!Print_Area</vt:lpstr>
      <vt:lpstr>汁_薄味!Print_Area</vt:lpstr>
      <vt:lpstr>具_ゼリー!Print_Titles</vt:lpstr>
      <vt:lpstr>具_ソフト!Print_Titles</vt:lpstr>
      <vt:lpstr>具_ミキサー!Print_Titles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2022-10-06T06:03:28Z</cp:lastPrinted>
  <dcterms:created xsi:type="dcterms:W3CDTF">2022-04-09T08:43:38Z</dcterms:created>
  <dcterms:modified xsi:type="dcterms:W3CDTF">2022-12-15T09:13:33Z</dcterms:modified>
</cp:coreProperties>
</file>