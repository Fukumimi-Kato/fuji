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44108A81-5300-4509-ABF9-636EE76D8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合数一覧" sheetId="1" r:id="rId1"/>
    <sheet name="材料配分" sheetId="3" r:id="rId2"/>
    <sheet name="計量表" sheetId="2" r:id="rId3"/>
  </sheets>
  <definedNames>
    <definedName name="_xlnm.Print_Area" localSheetId="2">計量表!$A$1:$AR$91</definedName>
    <definedName name="_xlnm.Print_Area" localSheetId="0">合数一覧!$A$2:$V$99</definedName>
    <definedName name="_xlnm.Print_Area" localSheetId="1">材料配分!$A$2:$AH$36</definedName>
    <definedName name="_xlnm.Print_Titles" localSheetId="2">計量表!$1:$3</definedName>
    <definedName name="_xlnm.Print_Titles" localSheetId="0">合数一覧!$1:$3</definedName>
    <definedName name="_xlnm.Print_Titles" localSheetId="1">材料配分!$1:$3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2" l="1"/>
  <c r="Z6" i="2"/>
  <c r="S6" i="2"/>
  <c r="L6" i="2"/>
  <c r="C6" i="2"/>
  <c r="S92" i="1"/>
  <c r="P92" i="1"/>
  <c r="M92" i="1"/>
  <c r="J92" i="1"/>
  <c r="G92" i="1"/>
  <c r="D92" i="1"/>
  <c r="Y4" i="3"/>
  <c r="Y3" i="3"/>
  <c r="Y1" i="3"/>
  <c r="AF35" i="3"/>
  <c r="AE35" i="3"/>
  <c r="AD35" i="3"/>
  <c r="AC35" i="3"/>
  <c r="AB35" i="3"/>
  <c r="Z35" i="3"/>
  <c r="AA35" i="3" s="1"/>
  <c r="AF34" i="3"/>
  <c r="AE34" i="3"/>
  <c r="AD34" i="3"/>
  <c r="AC34" i="3"/>
  <c r="AB34" i="3"/>
  <c r="Z34" i="3"/>
  <c r="AA34" i="3" s="1"/>
  <c r="AF33" i="3"/>
  <c r="AE33" i="3"/>
  <c r="AD33" i="3"/>
  <c r="AC33" i="3"/>
  <c r="AB33" i="3"/>
  <c r="Z33" i="3"/>
  <c r="AA33" i="3" s="1"/>
  <c r="AF32" i="3"/>
  <c r="AE32" i="3"/>
  <c r="AD32" i="3"/>
  <c r="AC32" i="3"/>
  <c r="AB32" i="3"/>
  <c r="Z32" i="3"/>
  <c r="AA32" i="3" s="1"/>
  <c r="AF31" i="3"/>
  <c r="AE31" i="3"/>
  <c r="AD31" i="3"/>
  <c r="AC31" i="3"/>
  <c r="AB31" i="3"/>
  <c r="Z31" i="3"/>
  <c r="AA31" i="3" s="1"/>
  <c r="AF30" i="3"/>
  <c r="AG30" i="3" s="1"/>
  <c r="AE30" i="3"/>
  <c r="AD30" i="3"/>
  <c r="AC30" i="3"/>
  <c r="AB30" i="3"/>
  <c r="Z30" i="3"/>
  <c r="AA30" i="3" s="1"/>
  <c r="AF29" i="3"/>
  <c r="AG29" i="3" s="1"/>
  <c r="AE29" i="3"/>
  <c r="AD29" i="3"/>
  <c r="AC29" i="3"/>
  <c r="AB29" i="3"/>
  <c r="Z29" i="3"/>
  <c r="AA29" i="3" s="1"/>
  <c r="AF28" i="3"/>
  <c r="AE28" i="3"/>
  <c r="AD28" i="3"/>
  <c r="AC28" i="3"/>
  <c r="AB28" i="3"/>
  <c r="Z28" i="3"/>
  <c r="AA28" i="3" s="1"/>
  <c r="AF27" i="3"/>
  <c r="AG27" i="3" s="1"/>
  <c r="AE27" i="3"/>
  <c r="AD27" i="3"/>
  <c r="AC27" i="3"/>
  <c r="AB27" i="3"/>
  <c r="Z27" i="3"/>
  <c r="AA27" i="3" s="1"/>
  <c r="AF26" i="3"/>
  <c r="AG26" i="3" s="1"/>
  <c r="AE26" i="3"/>
  <c r="AD26" i="3"/>
  <c r="AC26" i="3"/>
  <c r="AB26" i="3"/>
  <c r="Z26" i="3"/>
  <c r="AA26" i="3" s="1"/>
  <c r="AF25" i="3"/>
  <c r="AE25" i="3"/>
  <c r="AD25" i="3"/>
  <c r="AC25" i="3"/>
  <c r="AB25" i="3"/>
  <c r="Z25" i="3"/>
  <c r="AA25" i="3" s="1"/>
  <c r="S30" i="3"/>
  <c r="T30" i="3" s="1"/>
  <c r="U30" i="3" s="1"/>
  <c r="P30" i="3"/>
  <c r="Q30" i="3" s="1"/>
  <c r="R30" i="3" s="1"/>
  <c r="M30" i="3"/>
  <c r="N30" i="3" s="1"/>
  <c r="O30" i="3" s="1"/>
  <c r="J30" i="3"/>
  <c r="K30" i="3" s="1"/>
  <c r="L30" i="3" s="1"/>
  <c r="G30" i="3"/>
  <c r="H30" i="3" s="1"/>
  <c r="I30" i="3" s="1"/>
  <c r="D30" i="3"/>
  <c r="E30" i="3" s="1"/>
  <c r="F30" i="3" s="1"/>
  <c r="S29" i="3"/>
  <c r="T29" i="3" s="1"/>
  <c r="U29" i="3" s="1"/>
  <c r="P29" i="3"/>
  <c r="Q29" i="3" s="1"/>
  <c r="R29" i="3" s="1"/>
  <c r="M29" i="3"/>
  <c r="N29" i="3" s="1"/>
  <c r="O29" i="3" s="1"/>
  <c r="J29" i="3"/>
  <c r="K29" i="3" s="1"/>
  <c r="L29" i="3" s="1"/>
  <c r="G29" i="3"/>
  <c r="H29" i="3" s="1"/>
  <c r="I29" i="3" s="1"/>
  <c r="D29" i="3"/>
  <c r="E29" i="3" s="1"/>
  <c r="F29" i="3" s="1"/>
  <c r="AG28" i="3"/>
  <c r="S28" i="3"/>
  <c r="T28" i="3" s="1"/>
  <c r="U28" i="3" s="1"/>
  <c r="P28" i="3"/>
  <c r="Q28" i="3" s="1"/>
  <c r="R28" i="3" s="1"/>
  <c r="M28" i="3"/>
  <c r="N28" i="3" s="1"/>
  <c r="O28" i="3" s="1"/>
  <c r="J28" i="3"/>
  <c r="K28" i="3" s="1"/>
  <c r="L28" i="3" s="1"/>
  <c r="G28" i="3"/>
  <c r="H28" i="3" s="1"/>
  <c r="I28" i="3" s="1"/>
  <c r="D28" i="3"/>
  <c r="E28" i="3" s="1"/>
  <c r="F28" i="3" s="1"/>
  <c r="S27" i="3"/>
  <c r="T27" i="3" s="1"/>
  <c r="U27" i="3" s="1"/>
  <c r="P27" i="3"/>
  <c r="Q27" i="3" s="1"/>
  <c r="R27" i="3" s="1"/>
  <c r="M27" i="3"/>
  <c r="N27" i="3" s="1"/>
  <c r="O27" i="3" s="1"/>
  <c r="J27" i="3"/>
  <c r="K27" i="3" s="1"/>
  <c r="L27" i="3" s="1"/>
  <c r="G27" i="3"/>
  <c r="H27" i="3" s="1"/>
  <c r="I27" i="3" s="1"/>
  <c r="D27" i="3"/>
  <c r="E27" i="3" s="1"/>
  <c r="F27" i="3" s="1"/>
  <c r="T26" i="3"/>
  <c r="U26" i="3" s="1"/>
  <c r="S26" i="3"/>
  <c r="P26" i="3"/>
  <c r="Q26" i="3" s="1"/>
  <c r="R26" i="3" s="1"/>
  <c r="N26" i="3"/>
  <c r="O26" i="3" s="1"/>
  <c r="M26" i="3"/>
  <c r="J26" i="3"/>
  <c r="K26" i="3" s="1"/>
  <c r="L26" i="3" s="1"/>
  <c r="G26" i="3"/>
  <c r="H26" i="3" s="1"/>
  <c r="I26" i="3" s="1"/>
  <c r="D26" i="3"/>
  <c r="E26" i="3" s="1"/>
  <c r="F26" i="3" s="1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E7" i="3"/>
  <c r="AD7" i="3"/>
  <c r="AC7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A21" i="3"/>
  <c r="AA20" i="3"/>
  <c r="AA19" i="3"/>
  <c r="AA16" i="3"/>
  <c r="AA15" i="3"/>
  <c r="AA13" i="3"/>
  <c r="AA12" i="3"/>
  <c r="AA11" i="3"/>
  <c r="AA8" i="3"/>
  <c r="Z21" i="3"/>
  <c r="Z20" i="3"/>
  <c r="Z19" i="3"/>
  <c r="Z18" i="3"/>
  <c r="AA18" i="3" s="1"/>
  <c r="Z17" i="3"/>
  <c r="AA17" i="3" s="1"/>
  <c r="Z16" i="3"/>
  <c r="Z15" i="3"/>
  <c r="Z14" i="3"/>
  <c r="AA14" i="3" s="1"/>
  <c r="Z13" i="3"/>
  <c r="Z12" i="3"/>
  <c r="Z11" i="3"/>
  <c r="Z10" i="3"/>
  <c r="AA10" i="3" s="1"/>
  <c r="Z9" i="3"/>
  <c r="AA9" i="3" s="1"/>
  <c r="Z8" i="3"/>
  <c r="Z7" i="3"/>
  <c r="AA7" i="3" s="1"/>
  <c r="C91" i="1"/>
  <c r="AR91" i="2"/>
  <c r="AQ91" i="2"/>
  <c r="AO91" i="2"/>
  <c r="AM91" i="2"/>
  <c r="AN91" i="2" s="1"/>
  <c r="AL91" i="2"/>
  <c r="AK91" i="2"/>
  <c r="AJ91" i="2"/>
  <c r="AH91" i="2"/>
  <c r="AG91" i="2"/>
  <c r="AE91" i="2"/>
  <c r="AD91" i="2"/>
  <c r="AC91" i="2"/>
  <c r="AA91" i="2"/>
  <c r="Y91" i="2"/>
  <c r="Z91" i="2" s="1"/>
  <c r="X91" i="2"/>
  <c r="W91" i="2"/>
  <c r="V91" i="2"/>
  <c r="T91" i="2"/>
  <c r="R91" i="2"/>
  <c r="S91" i="2" s="1"/>
  <c r="Q91" i="2"/>
  <c r="P91" i="2"/>
  <c r="L91" i="2" s="1"/>
  <c r="O91" i="2"/>
  <c r="M91" i="2"/>
  <c r="K91" i="2"/>
  <c r="J91" i="2"/>
  <c r="I91" i="2"/>
  <c r="H91" i="2"/>
  <c r="F91" i="2"/>
  <c r="D91" i="2"/>
  <c r="B91" i="2"/>
  <c r="C91" i="2" s="1"/>
  <c r="AR90" i="2"/>
  <c r="AQ90" i="2"/>
  <c r="AO90" i="2"/>
  <c r="AM90" i="2"/>
  <c r="AN90" i="2" s="1"/>
  <c r="AL90" i="2"/>
  <c r="AK90" i="2"/>
  <c r="AJ90" i="2"/>
  <c r="AH90" i="2"/>
  <c r="AG90" i="2"/>
  <c r="AE90" i="2"/>
  <c r="AD90" i="2"/>
  <c r="AC90" i="2"/>
  <c r="AA90" i="2"/>
  <c r="Y90" i="2"/>
  <c r="Z90" i="2" s="1"/>
  <c r="X90" i="2"/>
  <c r="W90" i="2"/>
  <c r="V90" i="2"/>
  <c r="T90" i="2"/>
  <c r="R90" i="2"/>
  <c r="S90" i="2" s="1"/>
  <c r="Q90" i="2"/>
  <c r="P90" i="2"/>
  <c r="O90" i="2"/>
  <c r="M90" i="2"/>
  <c r="L90" i="2"/>
  <c r="K90" i="2"/>
  <c r="J90" i="2"/>
  <c r="I90" i="2"/>
  <c r="H90" i="2"/>
  <c r="F90" i="2"/>
  <c r="D90" i="2"/>
  <c r="B90" i="2"/>
  <c r="C90" i="2" s="1"/>
  <c r="AR89" i="2"/>
  <c r="AN89" i="2" s="1"/>
  <c r="AQ89" i="2"/>
  <c r="AO89" i="2"/>
  <c r="AM89" i="2"/>
  <c r="AL89" i="2"/>
  <c r="AK89" i="2"/>
  <c r="AG89" i="2" s="1"/>
  <c r="AJ89" i="2"/>
  <c r="AH89" i="2"/>
  <c r="AE89" i="2"/>
  <c r="AD89" i="2"/>
  <c r="AC89" i="2"/>
  <c r="AA89" i="2"/>
  <c r="Y89" i="2"/>
  <c r="Z89" i="2" s="1"/>
  <c r="X89" i="2"/>
  <c r="W89" i="2"/>
  <c r="V89" i="2"/>
  <c r="T89" i="2"/>
  <c r="R89" i="2"/>
  <c r="S89" i="2" s="1"/>
  <c r="Q89" i="2"/>
  <c r="P89" i="2"/>
  <c r="O89" i="2"/>
  <c r="M89" i="2"/>
  <c r="K89" i="2"/>
  <c r="L89" i="2" s="1"/>
  <c r="J89" i="2"/>
  <c r="I89" i="2"/>
  <c r="C89" i="2" s="1"/>
  <c r="H89" i="2"/>
  <c r="F89" i="2"/>
  <c r="D89" i="2"/>
  <c r="B89" i="2"/>
  <c r="AR88" i="2"/>
  <c r="AN88" i="2" s="1"/>
  <c r="AQ88" i="2"/>
  <c r="AO88" i="2"/>
  <c r="AM88" i="2"/>
  <c r="AL88" i="2"/>
  <c r="AK88" i="2"/>
  <c r="AJ88" i="2"/>
  <c r="AH88" i="2"/>
  <c r="AG88" i="2"/>
  <c r="AE88" i="2"/>
  <c r="AD88" i="2"/>
  <c r="Z88" i="2" s="1"/>
  <c r="AC88" i="2"/>
  <c r="AA88" i="2"/>
  <c r="Y88" i="2"/>
  <c r="X88" i="2"/>
  <c r="W88" i="2"/>
  <c r="V88" i="2"/>
  <c r="T88" i="2"/>
  <c r="R88" i="2"/>
  <c r="S88" i="2" s="1"/>
  <c r="Q88" i="2"/>
  <c r="P88" i="2"/>
  <c r="O88" i="2"/>
  <c r="M88" i="2"/>
  <c r="K88" i="2"/>
  <c r="L88" i="2" s="1"/>
  <c r="J88" i="2"/>
  <c r="I88" i="2"/>
  <c r="H88" i="2"/>
  <c r="F88" i="2"/>
  <c r="D88" i="2"/>
  <c r="C88" i="2"/>
  <c r="E88" i="2" s="1"/>
  <c r="B88" i="2"/>
  <c r="AR87" i="2"/>
  <c r="AQ87" i="2"/>
  <c r="AO87" i="2"/>
  <c r="AN87" i="2"/>
  <c r="AM87" i="2"/>
  <c r="AL87" i="2"/>
  <c r="AK87" i="2"/>
  <c r="AG87" i="2" s="1"/>
  <c r="AJ87" i="2"/>
  <c r="AH87" i="2"/>
  <c r="AE87" i="2"/>
  <c r="AD87" i="2"/>
  <c r="Z87" i="2" s="1"/>
  <c r="AC87" i="2"/>
  <c r="AA87" i="2"/>
  <c r="Y87" i="2"/>
  <c r="X87" i="2"/>
  <c r="W87" i="2"/>
  <c r="V87" i="2"/>
  <c r="T87" i="2"/>
  <c r="R87" i="2"/>
  <c r="S87" i="2" s="1"/>
  <c r="Q87" i="2"/>
  <c r="P87" i="2"/>
  <c r="O87" i="2"/>
  <c r="M87" i="2"/>
  <c r="K87" i="2"/>
  <c r="L87" i="2" s="1"/>
  <c r="J87" i="2"/>
  <c r="I87" i="2"/>
  <c r="H87" i="2"/>
  <c r="F87" i="2"/>
  <c r="D87" i="2"/>
  <c r="C87" i="2"/>
  <c r="B87" i="2"/>
  <c r="AR86" i="2"/>
  <c r="AQ86" i="2"/>
  <c r="AO86" i="2"/>
  <c r="AM86" i="2"/>
  <c r="AN86" i="2" s="1"/>
  <c r="AL86" i="2"/>
  <c r="AK86" i="2"/>
  <c r="AG86" i="2" s="1"/>
  <c r="AJ86" i="2"/>
  <c r="AH86" i="2"/>
  <c r="AE86" i="2"/>
  <c r="AD86" i="2"/>
  <c r="AC86" i="2"/>
  <c r="AA86" i="2"/>
  <c r="Z86" i="2"/>
  <c r="Y86" i="2"/>
  <c r="X86" i="2"/>
  <c r="W86" i="2"/>
  <c r="S86" i="2" s="1"/>
  <c r="V86" i="2"/>
  <c r="T86" i="2"/>
  <c r="R86" i="2"/>
  <c r="Q86" i="2"/>
  <c r="P86" i="2"/>
  <c r="O86" i="2"/>
  <c r="M86" i="2"/>
  <c r="K86" i="2"/>
  <c r="L86" i="2" s="1"/>
  <c r="J86" i="2"/>
  <c r="I86" i="2"/>
  <c r="H86" i="2"/>
  <c r="F86" i="2"/>
  <c r="D86" i="2"/>
  <c r="B86" i="2"/>
  <c r="C86" i="2" s="1"/>
  <c r="AR85" i="2"/>
  <c r="AQ85" i="2"/>
  <c r="AO85" i="2"/>
  <c r="AN85" i="2"/>
  <c r="AM85" i="2"/>
  <c r="AL85" i="2"/>
  <c r="AK85" i="2"/>
  <c r="AJ85" i="2"/>
  <c r="AH85" i="2"/>
  <c r="AG85" i="2"/>
  <c r="AE85" i="2"/>
  <c r="AD85" i="2"/>
  <c r="AC85" i="2"/>
  <c r="AA85" i="2"/>
  <c r="Y85" i="2"/>
  <c r="Z85" i="2" s="1"/>
  <c r="X85" i="2"/>
  <c r="W85" i="2"/>
  <c r="S85" i="2" s="1"/>
  <c r="V85" i="2"/>
  <c r="T85" i="2"/>
  <c r="R85" i="2"/>
  <c r="Q85" i="2"/>
  <c r="P85" i="2"/>
  <c r="O85" i="2"/>
  <c r="M85" i="2"/>
  <c r="K85" i="2"/>
  <c r="L85" i="2" s="1"/>
  <c r="J85" i="2"/>
  <c r="I85" i="2"/>
  <c r="H85" i="2"/>
  <c r="F85" i="2"/>
  <c r="D85" i="2"/>
  <c r="C85" i="2"/>
  <c r="B85" i="2"/>
  <c r="AR84" i="2"/>
  <c r="AQ84" i="2"/>
  <c r="AO84" i="2"/>
  <c r="AM84" i="2"/>
  <c r="AN84" i="2" s="1"/>
  <c r="AL84" i="2"/>
  <c r="AK84" i="2"/>
  <c r="AG84" i="2" s="1"/>
  <c r="AJ84" i="2"/>
  <c r="AH84" i="2"/>
  <c r="AE84" i="2"/>
  <c r="AD84" i="2"/>
  <c r="AC84" i="2"/>
  <c r="AA84" i="2"/>
  <c r="Z84" i="2"/>
  <c r="Y84" i="2"/>
  <c r="X84" i="2"/>
  <c r="W84" i="2"/>
  <c r="V84" i="2"/>
  <c r="T84" i="2"/>
  <c r="S84" i="2"/>
  <c r="R84" i="2"/>
  <c r="Q84" i="2"/>
  <c r="P84" i="2"/>
  <c r="L84" i="2" s="1"/>
  <c r="O84" i="2"/>
  <c r="M84" i="2"/>
  <c r="K84" i="2"/>
  <c r="J84" i="2"/>
  <c r="I84" i="2"/>
  <c r="H84" i="2"/>
  <c r="F84" i="2"/>
  <c r="D84" i="2"/>
  <c r="B84" i="2"/>
  <c r="C84" i="2" s="1"/>
  <c r="AR83" i="2"/>
  <c r="AQ83" i="2"/>
  <c r="AO83" i="2"/>
  <c r="AM83" i="2"/>
  <c r="AN83" i="2" s="1"/>
  <c r="AL83" i="2"/>
  <c r="AK83" i="2"/>
  <c r="AJ83" i="2"/>
  <c r="AH83" i="2"/>
  <c r="AG83" i="2"/>
  <c r="AE83" i="2"/>
  <c r="AD83" i="2"/>
  <c r="AC83" i="2"/>
  <c r="AA83" i="2"/>
  <c r="Y83" i="2"/>
  <c r="Z83" i="2" s="1"/>
  <c r="X83" i="2"/>
  <c r="W83" i="2"/>
  <c r="V83" i="2"/>
  <c r="T83" i="2"/>
  <c r="R83" i="2"/>
  <c r="S83" i="2" s="1"/>
  <c r="Q83" i="2"/>
  <c r="P83" i="2"/>
  <c r="L83" i="2" s="1"/>
  <c r="O83" i="2"/>
  <c r="M83" i="2"/>
  <c r="K83" i="2"/>
  <c r="J83" i="2"/>
  <c r="I83" i="2"/>
  <c r="H83" i="2"/>
  <c r="F83" i="2"/>
  <c r="D83" i="2"/>
  <c r="B83" i="2"/>
  <c r="C83" i="2" s="1"/>
  <c r="AR82" i="2"/>
  <c r="AQ82" i="2"/>
  <c r="AO82" i="2"/>
  <c r="AM82" i="2"/>
  <c r="AN82" i="2" s="1"/>
  <c r="AL82" i="2"/>
  <c r="AK82" i="2"/>
  <c r="AJ82" i="2"/>
  <c r="AH82" i="2"/>
  <c r="AG82" i="2"/>
  <c r="AE82" i="2"/>
  <c r="AD82" i="2"/>
  <c r="AC82" i="2"/>
  <c r="AA82" i="2"/>
  <c r="Y82" i="2"/>
  <c r="Z82" i="2" s="1"/>
  <c r="X82" i="2"/>
  <c r="W82" i="2"/>
  <c r="V82" i="2"/>
  <c r="T82" i="2"/>
  <c r="S82" i="2"/>
  <c r="R82" i="2"/>
  <c r="Q82" i="2"/>
  <c r="P82" i="2"/>
  <c r="O82" i="2"/>
  <c r="M82" i="2"/>
  <c r="L82" i="2"/>
  <c r="K82" i="2"/>
  <c r="J82" i="2"/>
  <c r="I82" i="2"/>
  <c r="H82" i="2"/>
  <c r="F82" i="2"/>
  <c r="D82" i="2"/>
  <c r="B82" i="2"/>
  <c r="C82" i="2" s="1"/>
  <c r="AR81" i="2"/>
  <c r="AN81" i="2" s="1"/>
  <c r="AQ81" i="2"/>
  <c r="AO81" i="2"/>
  <c r="AM81" i="2"/>
  <c r="AL81" i="2"/>
  <c r="AK81" i="2"/>
  <c r="AG81" i="2" s="1"/>
  <c r="AJ81" i="2"/>
  <c r="AH81" i="2"/>
  <c r="AE81" i="2"/>
  <c r="AD81" i="2"/>
  <c r="AC81" i="2"/>
  <c r="AA81" i="2"/>
  <c r="Y81" i="2"/>
  <c r="Z81" i="2" s="1"/>
  <c r="X81" i="2"/>
  <c r="W81" i="2"/>
  <c r="V81" i="2"/>
  <c r="T81" i="2"/>
  <c r="R81" i="2"/>
  <c r="S81" i="2" s="1"/>
  <c r="Q81" i="2"/>
  <c r="P81" i="2"/>
  <c r="O81" i="2"/>
  <c r="M81" i="2"/>
  <c r="K81" i="2"/>
  <c r="L81" i="2" s="1"/>
  <c r="J81" i="2"/>
  <c r="I81" i="2"/>
  <c r="C81" i="2" s="1"/>
  <c r="H81" i="2"/>
  <c r="F81" i="2"/>
  <c r="D81" i="2"/>
  <c r="B81" i="2"/>
  <c r="AR80" i="2"/>
  <c r="AN80" i="2" s="1"/>
  <c r="AQ80" i="2"/>
  <c r="AO80" i="2"/>
  <c r="AM80" i="2"/>
  <c r="AL80" i="2"/>
  <c r="AK80" i="2"/>
  <c r="AJ80" i="2"/>
  <c r="AH80" i="2"/>
  <c r="AG80" i="2"/>
  <c r="AE80" i="2"/>
  <c r="AD80" i="2"/>
  <c r="Z80" i="2" s="1"/>
  <c r="AC80" i="2"/>
  <c r="AA80" i="2"/>
  <c r="Y80" i="2"/>
  <c r="X80" i="2"/>
  <c r="W80" i="2"/>
  <c r="V80" i="2"/>
  <c r="T80" i="2"/>
  <c r="R80" i="2"/>
  <c r="S80" i="2" s="1"/>
  <c r="Q80" i="2"/>
  <c r="P80" i="2"/>
  <c r="O80" i="2"/>
  <c r="M80" i="2"/>
  <c r="L80" i="2"/>
  <c r="K80" i="2"/>
  <c r="J80" i="2"/>
  <c r="I80" i="2"/>
  <c r="H80" i="2"/>
  <c r="F80" i="2"/>
  <c r="D80" i="2"/>
  <c r="B80" i="2"/>
  <c r="C80" i="2" s="1"/>
  <c r="AR79" i="2"/>
  <c r="AQ79" i="2"/>
  <c r="AO79" i="2"/>
  <c r="AN79" i="2"/>
  <c r="AM79" i="2"/>
  <c r="AL79" i="2"/>
  <c r="AK79" i="2"/>
  <c r="AG79" i="2" s="1"/>
  <c r="AJ79" i="2"/>
  <c r="AH79" i="2"/>
  <c r="AE79" i="2"/>
  <c r="AD79" i="2"/>
  <c r="AC79" i="2"/>
  <c r="AA79" i="2"/>
  <c r="Y79" i="2"/>
  <c r="Z79" i="2" s="1"/>
  <c r="X79" i="2"/>
  <c r="W79" i="2"/>
  <c r="V79" i="2"/>
  <c r="T79" i="2"/>
  <c r="R79" i="2"/>
  <c r="S79" i="2" s="1"/>
  <c r="Q79" i="2"/>
  <c r="P79" i="2"/>
  <c r="O79" i="2"/>
  <c r="M79" i="2"/>
  <c r="K79" i="2"/>
  <c r="L79" i="2" s="1"/>
  <c r="J79" i="2"/>
  <c r="I79" i="2"/>
  <c r="H79" i="2"/>
  <c r="F79" i="2"/>
  <c r="D79" i="2"/>
  <c r="C79" i="2"/>
  <c r="B79" i="2"/>
  <c r="AR78" i="2"/>
  <c r="AN78" i="2" s="1"/>
  <c r="AQ78" i="2"/>
  <c r="AO78" i="2"/>
  <c r="AM78" i="2"/>
  <c r="AL78" i="2"/>
  <c r="AK78" i="2"/>
  <c r="AG78" i="2" s="1"/>
  <c r="AJ78" i="2"/>
  <c r="AH78" i="2"/>
  <c r="AE78" i="2"/>
  <c r="AD78" i="2"/>
  <c r="AC78" i="2"/>
  <c r="AA78" i="2"/>
  <c r="Z78" i="2"/>
  <c r="Y78" i="2"/>
  <c r="X78" i="2"/>
  <c r="W78" i="2"/>
  <c r="S78" i="2" s="1"/>
  <c r="V78" i="2"/>
  <c r="T78" i="2"/>
  <c r="R78" i="2"/>
  <c r="Q78" i="2"/>
  <c r="P78" i="2"/>
  <c r="O78" i="2"/>
  <c r="M78" i="2"/>
  <c r="L78" i="2"/>
  <c r="K78" i="2"/>
  <c r="J78" i="2"/>
  <c r="I78" i="2"/>
  <c r="H78" i="2"/>
  <c r="F78" i="2"/>
  <c r="E78" i="2"/>
  <c r="D78" i="2"/>
  <c r="C78" i="2"/>
  <c r="B78" i="2"/>
  <c r="AR77" i="2"/>
  <c r="AQ77" i="2"/>
  <c r="AO77" i="2"/>
  <c r="AN77" i="2"/>
  <c r="AM77" i="2"/>
  <c r="AL77" i="2"/>
  <c r="AK77" i="2"/>
  <c r="AJ77" i="2"/>
  <c r="AH77" i="2"/>
  <c r="AG77" i="2"/>
  <c r="AE77" i="2"/>
  <c r="AD77" i="2"/>
  <c r="Z77" i="2" s="1"/>
  <c r="AC77" i="2"/>
  <c r="AA77" i="2"/>
  <c r="Y77" i="2"/>
  <c r="X77" i="2"/>
  <c r="W77" i="2"/>
  <c r="V77" i="2"/>
  <c r="T77" i="2"/>
  <c r="R77" i="2"/>
  <c r="S77" i="2" s="1"/>
  <c r="Q77" i="2"/>
  <c r="P77" i="2"/>
  <c r="O77" i="2"/>
  <c r="M77" i="2"/>
  <c r="K77" i="2"/>
  <c r="L77" i="2" s="1"/>
  <c r="J77" i="2"/>
  <c r="I77" i="2"/>
  <c r="C77" i="2" s="1"/>
  <c r="H77" i="2"/>
  <c r="F77" i="2"/>
  <c r="D77" i="2"/>
  <c r="B77" i="2"/>
  <c r="AR76" i="2"/>
  <c r="AQ76" i="2"/>
  <c r="AO76" i="2"/>
  <c r="AM76" i="2"/>
  <c r="AN76" i="2" s="1"/>
  <c r="AL76" i="2"/>
  <c r="AK76" i="2"/>
  <c r="AG76" i="2" s="1"/>
  <c r="AJ76" i="2"/>
  <c r="AH76" i="2"/>
  <c r="AE76" i="2"/>
  <c r="AD76" i="2"/>
  <c r="AC76" i="2"/>
  <c r="AA76" i="2"/>
  <c r="Z76" i="2"/>
  <c r="Y76" i="2"/>
  <c r="X76" i="2"/>
  <c r="W76" i="2"/>
  <c r="V76" i="2"/>
  <c r="T76" i="2"/>
  <c r="S76" i="2"/>
  <c r="R76" i="2"/>
  <c r="Q76" i="2"/>
  <c r="P76" i="2"/>
  <c r="L76" i="2" s="1"/>
  <c r="O76" i="2"/>
  <c r="M76" i="2"/>
  <c r="K76" i="2"/>
  <c r="J76" i="2"/>
  <c r="I76" i="2"/>
  <c r="H76" i="2"/>
  <c r="F76" i="2"/>
  <c r="D76" i="2"/>
  <c r="B76" i="2"/>
  <c r="C76" i="2" s="1"/>
  <c r="AR75" i="2"/>
  <c r="AQ75" i="2"/>
  <c r="AO75" i="2"/>
  <c r="AN75" i="2"/>
  <c r="AM75" i="2"/>
  <c r="AL75" i="2"/>
  <c r="AK75" i="2"/>
  <c r="AJ75" i="2"/>
  <c r="AH75" i="2"/>
  <c r="AG75" i="2"/>
  <c r="AE75" i="2"/>
  <c r="AD75" i="2"/>
  <c r="AC75" i="2"/>
  <c r="AA75" i="2"/>
  <c r="Y75" i="2"/>
  <c r="Z75" i="2" s="1"/>
  <c r="X75" i="2"/>
  <c r="W75" i="2"/>
  <c r="S75" i="2" s="1"/>
  <c r="V75" i="2"/>
  <c r="T75" i="2"/>
  <c r="R75" i="2"/>
  <c r="Q75" i="2"/>
  <c r="P75" i="2"/>
  <c r="O75" i="2"/>
  <c r="M75" i="2"/>
  <c r="K75" i="2"/>
  <c r="L75" i="2" s="1"/>
  <c r="J75" i="2"/>
  <c r="I75" i="2"/>
  <c r="H75" i="2"/>
  <c r="F75" i="2"/>
  <c r="D75" i="2"/>
  <c r="C75" i="2"/>
  <c r="E75" i="2" s="1"/>
  <c r="G75" i="2" s="1"/>
  <c r="B75" i="2"/>
  <c r="AR74" i="2"/>
  <c r="AQ74" i="2"/>
  <c r="AO74" i="2"/>
  <c r="AM74" i="2"/>
  <c r="AN74" i="2" s="1"/>
  <c r="AL74" i="2"/>
  <c r="AK74" i="2"/>
  <c r="AG74" i="2" s="1"/>
  <c r="AJ74" i="2"/>
  <c r="AH74" i="2"/>
  <c r="AE74" i="2"/>
  <c r="AD74" i="2"/>
  <c r="AC74" i="2"/>
  <c r="AA74" i="2"/>
  <c r="Z74" i="2"/>
  <c r="Y74" i="2"/>
  <c r="X74" i="2"/>
  <c r="W74" i="2"/>
  <c r="V74" i="2"/>
  <c r="T74" i="2"/>
  <c r="S74" i="2"/>
  <c r="R74" i="2"/>
  <c r="Q74" i="2"/>
  <c r="P74" i="2"/>
  <c r="O74" i="2"/>
  <c r="M74" i="2"/>
  <c r="L74" i="2"/>
  <c r="K74" i="2"/>
  <c r="J74" i="2"/>
  <c r="I74" i="2"/>
  <c r="H74" i="2"/>
  <c r="F74" i="2"/>
  <c r="D74" i="2"/>
  <c r="B74" i="2"/>
  <c r="C74" i="2" s="1"/>
  <c r="AR73" i="2"/>
  <c r="AN73" i="2" s="1"/>
  <c r="AQ73" i="2"/>
  <c r="AO73" i="2"/>
  <c r="AM73" i="2"/>
  <c r="AL73" i="2"/>
  <c r="AK73" i="2"/>
  <c r="AJ73" i="2"/>
  <c r="AH73" i="2"/>
  <c r="AG73" i="2"/>
  <c r="AE73" i="2"/>
  <c r="AD73" i="2"/>
  <c r="AC73" i="2"/>
  <c r="AA73" i="2"/>
  <c r="Y73" i="2"/>
  <c r="Z73" i="2" s="1"/>
  <c r="X73" i="2"/>
  <c r="W73" i="2"/>
  <c r="V73" i="2"/>
  <c r="T73" i="2"/>
  <c r="R73" i="2"/>
  <c r="S73" i="2" s="1"/>
  <c r="Q73" i="2"/>
  <c r="P73" i="2"/>
  <c r="L73" i="2" s="1"/>
  <c r="O73" i="2"/>
  <c r="M73" i="2"/>
  <c r="K73" i="2"/>
  <c r="J73" i="2"/>
  <c r="I73" i="2"/>
  <c r="C73" i="2" s="1"/>
  <c r="H73" i="2"/>
  <c r="F73" i="2"/>
  <c r="D73" i="2"/>
  <c r="B73" i="2"/>
  <c r="AR72" i="2"/>
  <c r="AQ72" i="2"/>
  <c r="AO72" i="2"/>
  <c r="AM72" i="2"/>
  <c r="AN72" i="2" s="1"/>
  <c r="AL72" i="2"/>
  <c r="AK72" i="2"/>
  <c r="AJ72" i="2"/>
  <c r="AH72" i="2"/>
  <c r="AG72" i="2"/>
  <c r="AE72" i="2"/>
  <c r="AD72" i="2"/>
  <c r="AC72" i="2"/>
  <c r="AA72" i="2"/>
  <c r="Y72" i="2"/>
  <c r="Z72" i="2" s="1"/>
  <c r="X72" i="2"/>
  <c r="W72" i="2"/>
  <c r="V72" i="2"/>
  <c r="T72" i="2"/>
  <c r="S72" i="2"/>
  <c r="R72" i="2"/>
  <c r="Q72" i="2"/>
  <c r="P72" i="2"/>
  <c r="O72" i="2"/>
  <c r="M72" i="2"/>
  <c r="L72" i="2"/>
  <c r="K72" i="2"/>
  <c r="J72" i="2"/>
  <c r="I72" i="2"/>
  <c r="H72" i="2"/>
  <c r="F72" i="2"/>
  <c r="D72" i="2"/>
  <c r="B72" i="2"/>
  <c r="C72" i="2" s="1"/>
  <c r="AR71" i="2"/>
  <c r="AQ71" i="2"/>
  <c r="AO71" i="2"/>
  <c r="AN71" i="2"/>
  <c r="AM71" i="2"/>
  <c r="AL71" i="2"/>
  <c r="AK71" i="2"/>
  <c r="AG71" i="2" s="1"/>
  <c r="AJ71" i="2"/>
  <c r="AH71" i="2"/>
  <c r="AE71" i="2"/>
  <c r="AD71" i="2"/>
  <c r="AC71" i="2"/>
  <c r="AA71" i="2"/>
  <c r="Y71" i="2"/>
  <c r="Z71" i="2" s="1"/>
  <c r="X71" i="2"/>
  <c r="W71" i="2"/>
  <c r="V71" i="2"/>
  <c r="T71" i="2"/>
  <c r="R71" i="2"/>
  <c r="S71" i="2" s="1"/>
  <c r="Q71" i="2"/>
  <c r="P71" i="2"/>
  <c r="O71" i="2"/>
  <c r="M71" i="2"/>
  <c r="K71" i="2"/>
  <c r="L71" i="2" s="1"/>
  <c r="J71" i="2"/>
  <c r="I71" i="2"/>
  <c r="H71" i="2"/>
  <c r="F71" i="2"/>
  <c r="D71" i="2"/>
  <c r="C71" i="2"/>
  <c r="B71" i="2"/>
  <c r="AN9" i="2"/>
  <c r="AN8" i="2"/>
  <c r="AN7" i="2"/>
  <c r="AG9" i="2"/>
  <c r="AG8" i="2"/>
  <c r="AG7" i="2"/>
  <c r="Z9" i="2"/>
  <c r="Z8" i="2"/>
  <c r="Z7" i="2"/>
  <c r="S9" i="2"/>
  <c r="S8" i="2"/>
  <c r="S7" i="2"/>
  <c r="L9" i="2"/>
  <c r="L8" i="2"/>
  <c r="L7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F10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C7" i="2"/>
  <c r="AM9" i="2"/>
  <c r="AM8" i="2"/>
  <c r="AM7" i="2"/>
  <c r="AF9" i="2"/>
  <c r="AF8" i="2"/>
  <c r="AF7" i="2"/>
  <c r="Y9" i="2"/>
  <c r="Y8" i="2"/>
  <c r="Y7" i="2"/>
  <c r="R9" i="2"/>
  <c r="R8" i="2"/>
  <c r="R7" i="2"/>
  <c r="K9" i="2"/>
  <c r="K8" i="2"/>
  <c r="K7" i="2"/>
  <c r="B9" i="2"/>
  <c r="C9" i="2" s="1"/>
  <c r="B8" i="2"/>
  <c r="C8" i="2" s="1"/>
  <c r="B7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AF22" i="3" l="1"/>
  <c r="Y5" i="3"/>
  <c r="G78" i="2"/>
  <c r="E85" i="2"/>
  <c r="G85" i="2" s="1"/>
  <c r="E74" i="2"/>
  <c r="G74" i="2" s="1"/>
  <c r="E76" i="2"/>
  <c r="G76" i="2" s="1"/>
  <c r="G79" i="2"/>
  <c r="E84" i="2"/>
  <c r="G84" i="2" s="1"/>
  <c r="E86" i="2"/>
  <c r="G86" i="2" s="1"/>
  <c r="G89" i="2"/>
  <c r="E89" i="2"/>
  <c r="E91" i="2"/>
  <c r="G91" i="2"/>
  <c r="E81" i="2"/>
  <c r="G81" i="2" s="1"/>
  <c r="E90" i="2"/>
  <c r="G90" i="2" s="1"/>
  <c r="E72" i="2"/>
  <c r="G72" i="2" s="1"/>
  <c r="E82" i="2"/>
  <c r="G82" i="2" s="1"/>
  <c r="E83" i="2"/>
  <c r="G83" i="2" s="1"/>
  <c r="E77" i="2"/>
  <c r="G77" i="2" s="1"/>
  <c r="E73" i="2"/>
  <c r="G73" i="2" s="1"/>
  <c r="G71" i="2"/>
  <c r="E80" i="2"/>
  <c r="G80" i="2" s="1"/>
  <c r="G88" i="2"/>
  <c r="E71" i="2"/>
  <c r="E79" i="2"/>
  <c r="E87" i="2"/>
  <c r="G87" i="2" s="1"/>
  <c r="G5" i="2"/>
  <c r="G4" i="2"/>
  <c r="U102" i="3"/>
  <c r="T102" i="3"/>
  <c r="R102" i="3"/>
  <c r="Q102" i="3"/>
  <c r="O102" i="3"/>
  <c r="N102" i="3"/>
  <c r="L102" i="3"/>
  <c r="K102" i="3"/>
  <c r="I102" i="3"/>
  <c r="H102" i="3"/>
  <c r="F102" i="3"/>
  <c r="E102" i="3"/>
  <c r="S95" i="3"/>
  <c r="T95" i="3" s="1"/>
  <c r="U95" i="3" s="1"/>
  <c r="P95" i="3"/>
  <c r="Q95" i="3" s="1"/>
  <c r="R95" i="3" s="1"/>
  <c r="M95" i="3"/>
  <c r="N95" i="3" s="1"/>
  <c r="O95" i="3" s="1"/>
  <c r="J95" i="3"/>
  <c r="K95" i="3" s="1"/>
  <c r="L95" i="3" s="1"/>
  <c r="G95" i="3"/>
  <c r="H95" i="3" s="1"/>
  <c r="I95" i="3" s="1"/>
  <c r="D95" i="3"/>
  <c r="E95" i="3" s="1"/>
  <c r="F95" i="3" s="1"/>
  <c r="S94" i="3"/>
  <c r="T94" i="3" s="1"/>
  <c r="U94" i="3" s="1"/>
  <c r="P94" i="3"/>
  <c r="Q94" i="3" s="1"/>
  <c r="R94" i="3" s="1"/>
  <c r="M94" i="3"/>
  <c r="N94" i="3" s="1"/>
  <c r="O94" i="3" s="1"/>
  <c r="J94" i="3"/>
  <c r="K94" i="3" s="1"/>
  <c r="L94" i="3" s="1"/>
  <c r="G94" i="3"/>
  <c r="H94" i="3" s="1"/>
  <c r="I94" i="3" s="1"/>
  <c r="D94" i="3"/>
  <c r="E94" i="3" s="1"/>
  <c r="F94" i="3" s="1"/>
  <c r="S93" i="3"/>
  <c r="T93" i="3" s="1"/>
  <c r="U93" i="3" s="1"/>
  <c r="P93" i="3"/>
  <c r="Q93" i="3" s="1"/>
  <c r="R93" i="3" s="1"/>
  <c r="M93" i="3"/>
  <c r="N93" i="3" s="1"/>
  <c r="O93" i="3" s="1"/>
  <c r="J93" i="3"/>
  <c r="K93" i="3" s="1"/>
  <c r="L93" i="3" s="1"/>
  <c r="G93" i="3"/>
  <c r="H93" i="3" s="1"/>
  <c r="I93" i="3" s="1"/>
  <c r="D93" i="3"/>
  <c r="E93" i="3" s="1"/>
  <c r="F93" i="3" s="1"/>
  <c r="S92" i="3"/>
  <c r="T92" i="3" s="1"/>
  <c r="U92" i="3" s="1"/>
  <c r="P92" i="3"/>
  <c r="Q92" i="3" s="1"/>
  <c r="R92" i="3" s="1"/>
  <c r="M92" i="3"/>
  <c r="N92" i="3" s="1"/>
  <c r="O92" i="3" s="1"/>
  <c r="J92" i="3"/>
  <c r="K92" i="3" s="1"/>
  <c r="L92" i="3" s="1"/>
  <c r="G92" i="3"/>
  <c r="H92" i="3" s="1"/>
  <c r="I92" i="3" s="1"/>
  <c r="D92" i="3"/>
  <c r="E92" i="3" s="1"/>
  <c r="F92" i="3" s="1"/>
  <c r="S91" i="3"/>
  <c r="T91" i="3" s="1"/>
  <c r="U91" i="3" s="1"/>
  <c r="P91" i="3"/>
  <c r="Q91" i="3" s="1"/>
  <c r="R91" i="3" s="1"/>
  <c r="M91" i="3"/>
  <c r="N91" i="3" s="1"/>
  <c r="O91" i="3" s="1"/>
  <c r="J91" i="3"/>
  <c r="K91" i="3" s="1"/>
  <c r="L91" i="3" s="1"/>
  <c r="G91" i="3"/>
  <c r="H91" i="3" s="1"/>
  <c r="I91" i="3" s="1"/>
  <c r="D91" i="3"/>
  <c r="E91" i="3" s="1"/>
  <c r="F91" i="3" s="1"/>
  <c r="S90" i="3"/>
  <c r="T90" i="3" s="1"/>
  <c r="U90" i="3" s="1"/>
  <c r="P90" i="3"/>
  <c r="Q90" i="3" s="1"/>
  <c r="R90" i="3" s="1"/>
  <c r="M90" i="3"/>
  <c r="N90" i="3" s="1"/>
  <c r="O90" i="3" s="1"/>
  <c r="J90" i="3"/>
  <c r="K90" i="3" s="1"/>
  <c r="L90" i="3" s="1"/>
  <c r="G90" i="3"/>
  <c r="H90" i="3" s="1"/>
  <c r="I90" i="3" s="1"/>
  <c r="D90" i="3"/>
  <c r="E90" i="3" s="1"/>
  <c r="F90" i="3" s="1"/>
  <c r="S89" i="3"/>
  <c r="T89" i="3" s="1"/>
  <c r="U89" i="3" s="1"/>
  <c r="P89" i="3"/>
  <c r="Q89" i="3" s="1"/>
  <c r="R89" i="3" s="1"/>
  <c r="M89" i="3"/>
  <c r="N89" i="3" s="1"/>
  <c r="O89" i="3" s="1"/>
  <c r="J89" i="3"/>
  <c r="K89" i="3" s="1"/>
  <c r="L89" i="3" s="1"/>
  <c r="G89" i="3"/>
  <c r="H89" i="3" s="1"/>
  <c r="I89" i="3" s="1"/>
  <c r="D89" i="3"/>
  <c r="E89" i="3" s="1"/>
  <c r="F89" i="3" s="1"/>
  <c r="S88" i="3"/>
  <c r="T88" i="3" s="1"/>
  <c r="U88" i="3" s="1"/>
  <c r="P88" i="3"/>
  <c r="Q88" i="3" s="1"/>
  <c r="R88" i="3" s="1"/>
  <c r="M88" i="3"/>
  <c r="N88" i="3" s="1"/>
  <c r="O88" i="3" s="1"/>
  <c r="J88" i="3"/>
  <c r="K88" i="3" s="1"/>
  <c r="L88" i="3" s="1"/>
  <c r="G88" i="3"/>
  <c r="H88" i="3" s="1"/>
  <c r="I88" i="3" s="1"/>
  <c r="D88" i="3"/>
  <c r="E88" i="3" s="1"/>
  <c r="F88" i="3" s="1"/>
  <c r="S87" i="3"/>
  <c r="T87" i="3" s="1"/>
  <c r="U87" i="3" s="1"/>
  <c r="P87" i="3"/>
  <c r="Q87" i="3" s="1"/>
  <c r="R87" i="3" s="1"/>
  <c r="M87" i="3"/>
  <c r="N87" i="3" s="1"/>
  <c r="O87" i="3" s="1"/>
  <c r="J87" i="3"/>
  <c r="K87" i="3" s="1"/>
  <c r="L87" i="3" s="1"/>
  <c r="G87" i="3"/>
  <c r="H87" i="3" s="1"/>
  <c r="I87" i="3" s="1"/>
  <c r="D87" i="3"/>
  <c r="E87" i="3" s="1"/>
  <c r="F87" i="3" s="1"/>
  <c r="S86" i="3"/>
  <c r="T86" i="3" s="1"/>
  <c r="U86" i="3" s="1"/>
  <c r="P86" i="3"/>
  <c r="Q86" i="3" s="1"/>
  <c r="R86" i="3" s="1"/>
  <c r="M86" i="3"/>
  <c r="N86" i="3" s="1"/>
  <c r="O86" i="3" s="1"/>
  <c r="J86" i="3"/>
  <c r="K86" i="3" s="1"/>
  <c r="L86" i="3" s="1"/>
  <c r="G86" i="3"/>
  <c r="H86" i="3" s="1"/>
  <c r="I86" i="3" s="1"/>
  <c r="D86" i="3"/>
  <c r="E86" i="3" s="1"/>
  <c r="F86" i="3" s="1"/>
  <c r="S85" i="3"/>
  <c r="T85" i="3" s="1"/>
  <c r="U85" i="3" s="1"/>
  <c r="P85" i="3"/>
  <c r="Q85" i="3" s="1"/>
  <c r="R85" i="3" s="1"/>
  <c r="M85" i="3"/>
  <c r="N85" i="3" s="1"/>
  <c r="O85" i="3" s="1"/>
  <c r="J85" i="3"/>
  <c r="K85" i="3" s="1"/>
  <c r="L85" i="3" s="1"/>
  <c r="G85" i="3"/>
  <c r="H85" i="3" s="1"/>
  <c r="I85" i="3" s="1"/>
  <c r="D85" i="3"/>
  <c r="E85" i="3" s="1"/>
  <c r="F85" i="3" s="1"/>
  <c r="S84" i="3"/>
  <c r="T84" i="3" s="1"/>
  <c r="U84" i="3" s="1"/>
  <c r="P84" i="3"/>
  <c r="Q84" i="3" s="1"/>
  <c r="R84" i="3" s="1"/>
  <c r="M84" i="3"/>
  <c r="N84" i="3" s="1"/>
  <c r="O84" i="3" s="1"/>
  <c r="J84" i="3"/>
  <c r="K84" i="3" s="1"/>
  <c r="L84" i="3" s="1"/>
  <c r="G84" i="3"/>
  <c r="H84" i="3" s="1"/>
  <c r="I84" i="3" s="1"/>
  <c r="D84" i="3"/>
  <c r="E84" i="3" s="1"/>
  <c r="F84" i="3" s="1"/>
  <c r="S83" i="3"/>
  <c r="T83" i="3" s="1"/>
  <c r="U83" i="3" s="1"/>
  <c r="P83" i="3"/>
  <c r="Q83" i="3" s="1"/>
  <c r="R83" i="3" s="1"/>
  <c r="M83" i="3"/>
  <c r="N83" i="3" s="1"/>
  <c r="O83" i="3" s="1"/>
  <c r="J83" i="3"/>
  <c r="K83" i="3" s="1"/>
  <c r="L83" i="3" s="1"/>
  <c r="G83" i="3"/>
  <c r="H83" i="3" s="1"/>
  <c r="I83" i="3" s="1"/>
  <c r="D83" i="3"/>
  <c r="E83" i="3" s="1"/>
  <c r="F83" i="3" s="1"/>
  <c r="S82" i="3"/>
  <c r="T82" i="3" s="1"/>
  <c r="U82" i="3" s="1"/>
  <c r="P82" i="3"/>
  <c r="Q82" i="3" s="1"/>
  <c r="R82" i="3" s="1"/>
  <c r="M82" i="3"/>
  <c r="N82" i="3" s="1"/>
  <c r="O82" i="3" s="1"/>
  <c r="J82" i="3"/>
  <c r="K82" i="3" s="1"/>
  <c r="L82" i="3" s="1"/>
  <c r="G82" i="3"/>
  <c r="H82" i="3" s="1"/>
  <c r="I82" i="3" s="1"/>
  <c r="D82" i="3"/>
  <c r="E82" i="3" s="1"/>
  <c r="F82" i="3" s="1"/>
  <c r="S81" i="3"/>
  <c r="T81" i="3" s="1"/>
  <c r="U81" i="3" s="1"/>
  <c r="P81" i="3"/>
  <c r="Q81" i="3" s="1"/>
  <c r="R81" i="3" s="1"/>
  <c r="M81" i="3"/>
  <c r="N81" i="3" s="1"/>
  <c r="O81" i="3" s="1"/>
  <c r="J81" i="3"/>
  <c r="K81" i="3" s="1"/>
  <c r="L81" i="3" s="1"/>
  <c r="G81" i="3"/>
  <c r="H81" i="3" s="1"/>
  <c r="I81" i="3" s="1"/>
  <c r="D81" i="3"/>
  <c r="E81" i="3" s="1"/>
  <c r="F81" i="3" s="1"/>
  <c r="S80" i="3"/>
  <c r="T80" i="3" s="1"/>
  <c r="U80" i="3" s="1"/>
  <c r="P80" i="3"/>
  <c r="Q80" i="3" s="1"/>
  <c r="R80" i="3" s="1"/>
  <c r="M80" i="3"/>
  <c r="N80" i="3" s="1"/>
  <c r="O80" i="3" s="1"/>
  <c r="J80" i="3"/>
  <c r="K80" i="3" s="1"/>
  <c r="L80" i="3" s="1"/>
  <c r="G80" i="3"/>
  <c r="H80" i="3" s="1"/>
  <c r="I80" i="3" s="1"/>
  <c r="D80" i="3"/>
  <c r="E80" i="3" s="1"/>
  <c r="F80" i="3" s="1"/>
  <c r="S79" i="3"/>
  <c r="T79" i="3" s="1"/>
  <c r="U79" i="3" s="1"/>
  <c r="P79" i="3"/>
  <c r="Q79" i="3" s="1"/>
  <c r="R79" i="3" s="1"/>
  <c r="M79" i="3"/>
  <c r="N79" i="3" s="1"/>
  <c r="O79" i="3" s="1"/>
  <c r="J79" i="3"/>
  <c r="K79" i="3" s="1"/>
  <c r="L79" i="3" s="1"/>
  <c r="G79" i="3"/>
  <c r="H79" i="3" s="1"/>
  <c r="I79" i="3" s="1"/>
  <c r="D79" i="3"/>
  <c r="E79" i="3" s="1"/>
  <c r="F79" i="3" s="1"/>
  <c r="S78" i="3"/>
  <c r="T78" i="3" s="1"/>
  <c r="U78" i="3" s="1"/>
  <c r="P78" i="3"/>
  <c r="Q78" i="3" s="1"/>
  <c r="R78" i="3" s="1"/>
  <c r="M78" i="3"/>
  <c r="N78" i="3" s="1"/>
  <c r="O78" i="3" s="1"/>
  <c r="J78" i="3"/>
  <c r="K78" i="3" s="1"/>
  <c r="L78" i="3" s="1"/>
  <c r="G78" i="3"/>
  <c r="H78" i="3" s="1"/>
  <c r="I78" i="3" s="1"/>
  <c r="D78" i="3"/>
  <c r="E78" i="3" s="1"/>
  <c r="F78" i="3" s="1"/>
  <c r="S77" i="3"/>
  <c r="T77" i="3" s="1"/>
  <c r="U77" i="3" s="1"/>
  <c r="P77" i="3"/>
  <c r="Q77" i="3" s="1"/>
  <c r="R77" i="3" s="1"/>
  <c r="M77" i="3"/>
  <c r="N77" i="3" s="1"/>
  <c r="O77" i="3" s="1"/>
  <c r="J77" i="3"/>
  <c r="K77" i="3" s="1"/>
  <c r="L77" i="3" s="1"/>
  <c r="G77" i="3"/>
  <c r="H77" i="3" s="1"/>
  <c r="I77" i="3" s="1"/>
  <c r="D77" i="3"/>
  <c r="E77" i="3" s="1"/>
  <c r="F77" i="3" s="1"/>
  <c r="S76" i="3"/>
  <c r="T76" i="3" s="1"/>
  <c r="U76" i="3" s="1"/>
  <c r="P76" i="3"/>
  <c r="Q76" i="3" s="1"/>
  <c r="R76" i="3" s="1"/>
  <c r="M76" i="3"/>
  <c r="N76" i="3" s="1"/>
  <c r="O76" i="3" s="1"/>
  <c r="J76" i="3"/>
  <c r="K76" i="3" s="1"/>
  <c r="L76" i="3" s="1"/>
  <c r="G76" i="3"/>
  <c r="H76" i="3" s="1"/>
  <c r="I76" i="3" s="1"/>
  <c r="D76" i="3"/>
  <c r="E76" i="3" s="1"/>
  <c r="F76" i="3" s="1"/>
  <c r="S75" i="3"/>
  <c r="T75" i="3" s="1"/>
  <c r="U75" i="3" s="1"/>
  <c r="P75" i="3"/>
  <c r="Q75" i="3" s="1"/>
  <c r="R75" i="3" s="1"/>
  <c r="M75" i="3"/>
  <c r="N75" i="3" s="1"/>
  <c r="O75" i="3" s="1"/>
  <c r="J75" i="3"/>
  <c r="K75" i="3" s="1"/>
  <c r="L75" i="3" s="1"/>
  <c r="G75" i="3"/>
  <c r="H75" i="3" s="1"/>
  <c r="I75" i="3" s="1"/>
  <c r="D75" i="3"/>
  <c r="E75" i="3" s="1"/>
  <c r="F75" i="3" s="1"/>
  <c r="S74" i="3"/>
  <c r="T74" i="3" s="1"/>
  <c r="U74" i="3" s="1"/>
  <c r="P74" i="3"/>
  <c r="Q74" i="3" s="1"/>
  <c r="R74" i="3" s="1"/>
  <c r="M74" i="3"/>
  <c r="N74" i="3" s="1"/>
  <c r="O74" i="3" s="1"/>
  <c r="J74" i="3"/>
  <c r="K74" i="3" s="1"/>
  <c r="L74" i="3" s="1"/>
  <c r="G74" i="3"/>
  <c r="H74" i="3" s="1"/>
  <c r="I74" i="3" s="1"/>
  <c r="D74" i="3"/>
  <c r="E74" i="3" s="1"/>
  <c r="F74" i="3" s="1"/>
  <c r="S73" i="3"/>
  <c r="T73" i="3" s="1"/>
  <c r="U73" i="3" s="1"/>
  <c r="P73" i="3"/>
  <c r="Q73" i="3" s="1"/>
  <c r="R73" i="3" s="1"/>
  <c r="M73" i="3"/>
  <c r="N73" i="3" s="1"/>
  <c r="O73" i="3" s="1"/>
  <c r="J73" i="3"/>
  <c r="K73" i="3" s="1"/>
  <c r="L73" i="3" s="1"/>
  <c r="G73" i="3"/>
  <c r="H73" i="3" s="1"/>
  <c r="I73" i="3" s="1"/>
  <c r="D73" i="3"/>
  <c r="E73" i="3" s="1"/>
  <c r="F73" i="3" s="1"/>
  <c r="S72" i="3"/>
  <c r="T72" i="3" s="1"/>
  <c r="U72" i="3" s="1"/>
  <c r="P72" i="3"/>
  <c r="Q72" i="3" s="1"/>
  <c r="R72" i="3" s="1"/>
  <c r="M72" i="3"/>
  <c r="N72" i="3" s="1"/>
  <c r="O72" i="3" s="1"/>
  <c r="J72" i="3"/>
  <c r="K72" i="3" s="1"/>
  <c r="L72" i="3" s="1"/>
  <c r="G72" i="3"/>
  <c r="H72" i="3" s="1"/>
  <c r="I72" i="3" s="1"/>
  <c r="D72" i="3"/>
  <c r="E72" i="3" s="1"/>
  <c r="F72" i="3" s="1"/>
  <c r="S71" i="3"/>
  <c r="T71" i="3" s="1"/>
  <c r="U71" i="3" s="1"/>
  <c r="P71" i="3"/>
  <c r="Q71" i="3" s="1"/>
  <c r="R71" i="3" s="1"/>
  <c r="M71" i="3"/>
  <c r="N71" i="3" s="1"/>
  <c r="O71" i="3" s="1"/>
  <c r="J71" i="3"/>
  <c r="K71" i="3" s="1"/>
  <c r="L71" i="3" s="1"/>
  <c r="G71" i="3"/>
  <c r="H71" i="3" s="1"/>
  <c r="I71" i="3" s="1"/>
  <c r="D71" i="3"/>
  <c r="E71" i="3" s="1"/>
  <c r="F71" i="3" s="1"/>
  <c r="S70" i="3"/>
  <c r="T70" i="3" s="1"/>
  <c r="U70" i="3" s="1"/>
  <c r="P70" i="3"/>
  <c r="Q70" i="3" s="1"/>
  <c r="R70" i="3" s="1"/>
  <c r="M70" i="3"/>
  <c r="N70" i="3" s="1"/>
  <c r="O70" i="3" s="1"/>
  <c r="J70" i="3"/>
  <c r="K70" i="3" s="1"/>
  <c r="L70" i="3" s="1"/>
  <c r="G70" i="3"/>
  <c r="H70" i="3" s="1"/>
  <c r="I70" i="3" s="1"/>
  <c r="D70" i="3"/>
  <c r="E70" i="3" s="1"/>
  <c r="F70" i="3" s="1"/>
  <c r="S69" i="3"/>
  <c r="T69" i="3" s="1"/>
  <c r="U69" i="3" s="1"/>
  <c r="P69" i="3"/>
  <c r="Q69" i="3" s="1"/>
  <c r="R69" i="3" s="1"/>
  <c r="M69" i="3"/>
  <c r="N69" i="3" s="1"/>
  <c r="O69" i="3" s="1"/>
  <c r="J69" i="3"/>
  <c r="K69" i="3" s="1"/>
  <c r="L69" i="3" s="1"/>
  <c r="G69" i="3"/>
  <c r="H69" i="3" s="1"/>
  <c r="I69" i="3" s="1"/>
  <c r="D69" i="3"/>
  <c r="E69" i="3" s="1"/>
  <c r="F69" i="3" s="1"/>
  <c r="S68" i="3"/>
  <c r="T68" i="3" s="1"/>
  <c r="U68" i="3" s="1"/>
  <c r="P68" i="3"/>
  <c r="Q68" i="3" s="1"/>
  <c r="R68" i="3" s="1"/>
  <c r="M68" i="3"/>
  <c r="N68" i="3" s="1"/>
  <c r="O68" i="3" s="1"/>
  <c r="J68" i="3"/>
  <c r="K68" i="3" s="1"/>
  <c r="L68" i="3" s="1"/>
  <c r="G68" i="3"/>
  <c r="H68" i="3" s="1"/>
  <c r="I68" i="3" s="1"/>
  <c r="D68" i="3"/>
  <c r="E68" i="3" s="1"/>
  <c r="F68" i="3" s="1"/>
  <c r="S67" i="3"/>
  <c r="T67" i="3" s="1"/>
  <c r="U67" i="3" s="1"/>
  <c r="P67" i="3"/>
  <c r="Q67" i="3" s="1"/>
  <c r="R67" i="3" s="1"/>
  <c r="M67" i="3"/>
  <c r="N67" i="3" s="1"/>
  <c r="O67" i="3" s="1"/>
  <c r="J67" i="3"/>
  <c r="K67" i="3" s="1"/>
  <c r="L67" i="3" s="1"/>
  <c r="G67" i="3"/>
  <c r="H67" i="3" s="1"/>
  <c r="I67" i="3" s="1"/>
  <c r="D67" i="3"/>
  <c r="E67" i="3" s="1"/>
  <c r="F67" i="3" s="1"/>
  <c r="S66" i="3"/>
  <c r="T66" i="3" s="1"/>
  <c r="U66" i="3" s="1"/>
  <c r="P66" i="3"/>
  <c r="Q66" i="3" s="1"/>
  <c r="R66" i="3" s="1"/>
  <c r="M66" i="3"/>
  <c r="N66" i="3" s="1"/>
  <c r="O66" i="3" s="1"/>
  <c r="J66" i="3"/>
  <c r="K66" i="3" s="1"/>
  <c r="L66" i="3" s="1"/>
  <c r="G66" i="3"/>
  <c r="H66" i="3" s="1"/>
  <c r="I66" i="3" s="1"/>
  <c r="D66" i="3"/>
  <c r="E66" i="3" s="1"/>
  <c r="F66" i="3" s="1"/>
  <c r="S65" i="3"/>
  <c r="T65" i="3" s="1"/>
  <c r="U65" i="3" s="1"/>
  <c r="P65" i="3"/>
  <c r="Q65" i="3" s="1"/>
  <c r="R65" i="3" s="1"/>
  <c r="M65" i="3"/>
  <c r="N65" i="3" s="1"/>
  <c r="O65" i="3" s="1"/>
  <c r="J65" i="3"/>
  <c r="K65" i="3" s="1"/>
  <c r="L65" i="3" s="1"/>
  <c r="G65" i="3"/>
  <c r="H65" i="3" s="1"/>
  <c r="I65" i="3" s="1"/>
  <c r="D65" i="3"/>
  <c r="E65" i="3" s="1"/>
  <c r="F65" i="3" s="1"/>
  <c r="S64" i="3"/>
  <c r="T64" i="3" s="1"/>
  <c r="U64" i="3" s="1"/>
  <c r="P64" i="3"/>
  <c r="Q64" i="3" s="1"/>
  <c r="R64" i="3" s="1"/>
  <c r="M64" i="3"/>
  <c r="N64" i="3" s="1"/>
  <c r="O64" i="3" s="1"/>
  <c r="J64" i="3"/>
  <c r="K64" i="3" s="1"/>
  <c r="L64" i="3" s="1"/>
  <c r="G64" i="3"/>
  <c r="H64" i="3" s="1"/>
  <c r="I64" i="3" s="1"/>
  <c r="D64" i="3"/>
  <c r="E64" i="3" s="1"/>
  <c r="F64" i="3" s="1"/>
  <c r="S63" i="3"/>
  <c r="T63" i="3" s="1"/>
  <c r="U63" i="3" s="1"/>
  <c r="P63" i="3"/>
  <c r="Q63" i="3" s="1"/>
  <c r="R63" i="3" s="1"/>
  <c r="M63" i="3"/>
  <c r="N63" i="3" s="1"/>
  <c r="O63" i="3" s="1"/>
  <c r="J63" i="3"/>
  <c r="K63" i="3" s="1"/>
  <c r="L63" i="3" s="1"/>
  <c r="G63" i="3"/>
  <c r="H63" i="3" s="1"/>
  <c r="I63" i="3" s="1"/>
  <c r="D63" i="3"/>
  <c r="E63" i="3" s="1"/>
  <c r="F63" i="3" s="1"/>
  <c r="S62" i="3"/>
  <c r="T62" i="3" s="1"/>
  <c r="U62" i="3" s="1"/>
  <c r="P62" i="3"/>
  <c r="Q62" i="3" s="1"/>
  <c r="R62" i="3" s="1"/>
  <c r="M62" i="3"/>
  <c r="N62" i="3" s="1"/>
  <c r="O62" i="3" s="1"/>
  <c r="J62" i="3"/>
  <c r="K62" i="3" s="1"/>
  <c r="L62" i="3" s="1"/>
  <c r="G62" i="3"/>
  <c r="H62" i="3" s="1"/>
  <c r="I62" i="3" s="1"/>
  <c r="D62" i="3"/>
  <c r="E62" i="3" s="1"/>
  <c r="F62" i="3" s="1"/>
  <c r="S61" i="3"/>
  <c r="T61" i="3" s="1"/>
  <c r="U61" i="3" s="1"/>
  <c r="P61" i="3"/>
  <c r="Q61" i="3" s="1"/>
  <c r="R61" i="3" s="1"/>
  <c r="M61" i="3"/>
  <c r="N61" i="3" s="1"/>
  <c r="O61" i="3" s="1"/>
  <c r="J61" i="3"/>
  <c r="K61" i="3" s="1"/>
  <c r="L61" i="3" s="1"/>
  <c r="G61" i="3"/>
  <c r="H61" i="3" s="1"/>
  <c r="I61" i="3" s="1"/>
  <c r="D61" i="3"/>
  <c r="E61" i="3" s="1"/>
  <c r="F61" i="3" s="1"/>
  <c r="S60" i="3"/>
  <c r="T60" i="3" s="1"/>
  <c r="U60" i="3" s="1"/>
  <c r="P60" i="3"/>
  <c r="Q60" i="3" s="1"/>
  <c r="R60" i="3" s="1"/>
  <c r="M60" i="3"/>
  <c r="N60" i="3" s="1"/>
  <c r="O60" i="3" s="1"/>
  <c r="J60" i="3"/>
  <c r="K60" i="3" s="1"/>
  <c r="L60" i="3" s="1"/>
  <c r="G60" i="3"/>
  <c r="H60" i="3" s="1"/>
  <c r="I60" i="3" s="1"/>
  <c r="D60" i="3"/>
  <c r="E60" i="3" s="1"/>
  <c r="F60" i="3" s="1"/>
  <c r="S59" i="3"/>
  <c r="T59" i="3" s="1"/>
  <c r="U59" i="3" s="1"/>
  <c r="P59" i="3"/>
  <c r="Q59" i="3" s="1"/>
  <c r="R59" i="3" s="1"/>
  <c r="M59" i="3"/>
  <c r="N59" i="3" s="1"/>
  <c r="O59" i="3" s="1"/>
  <c r="J59" i="3"/>
  <c r="K59" i="3" s="1"/>
  <c r="L59" i="3" s="1"/>
  <c r="G59" i="3"/>
  <c r="H59" i="3" s="1"/>
  <c r="I59" i="3" s="1"/>
  <c r="D59" i="3"/>
  <c r="E59" i="3" s="1"/>
  <c r="F59" i="3" s="1"/>
  <c r="S58" i="3"/>
  <c r="T58" i="3" s="1"/>
  <c r="U58" i="3" s="1"/>
  <c r="P58" i="3"/>
  <c r="Q58" i="3" s="1"/>
  <c r="R58" i="3" s="1"/>
  <c r="M58" i="3"/>
  <c r="N58" i="3" s="1"/>
  <c r="O58" i="3" s="1"/>
  <c r="J58" i="3"/>
  <c r="K58" i="3" s="1"/>
  <c r="L58" i="3" s="1"/>
  <c r="G58" i="3"/>
  <c r="H58" i="3" s="1"/>
  <c r="I58" i="3" s="1"/>
  <c r="D58" i="3"/>
  <c r="E58" i="3" s="1"/>
  <c r="F58" i="3" s="1"/>
  <c r="S57" i="3"/>
  <c r="T57" i="3" s="1"/>
  <c r="U57" i="3" s="1"/>
  <c r="P57" i="3"/>
  <c r="Q57" i="3" s="1"/>
  <c r="R57" i="3" s="1"/>
  <c r="M57" i="3"/>
  <c r="N57" i="3" s="1"/>
  <c r="O57" i="3" s="1"/>
  <c r="J57" i="3"/>
  <c r="K57" i="3" s="1"/>
  <c r="L57" i="3" s="1"/>
  <c r="G57" i="3"/>
  <c r="H57" i="3" s="1"/>
  <c r="I57" i="3" s="1"/>
  <c r="D57" i="3"/>
  <c r="E57" i="3" s="1"/>
  <c r="F57" i="3" s="1"/>
  <c r="S56" i="3"/>
  <c r="T56" i="3" s="1"/>
  <c r="U56" i="3" s="1"/>
  <c r="P56" i="3"/>
  <c r="Q56" i="3" s="1"/>
  <c r="R56" i="3" s="1"/>
  <c r="M56" i="3"/>
  <c r="N56" i="3" s="1"/>
  <c r="O56" i="3" s="1"/>
  <c r="J56" i="3"/>
  <c r="K56" i="3" s="1"/>
  <c r="L56" i="3" s="1"/>
  <c r="G56" i="3"/>
  <c r="H56" i="3" s="1"/>
  <c r="I56" i="3" s="1"/>
  <c r="D56" i="3"/>
  <c r="E56" i="3" s="1"/>
  <c r="F56" i="3" s="1"/>
  <c r="S55" i="3"/>
  <c r="T55" i="3" s="1"/>
  <c r="U55" i="3" s="1"/>
  <c r="P55" i="3"/>
  <c r="Q55" i="3" s="1"/>
  <c r="R55" i="3" s="1"/>
  <c r="M55" i="3"/>
  <c r="N55" i="3" s="1"/>
  <c r="O55" i="3" s="1"/>
  <c r="J55" i="3"/>
  <c r="K55" i="3" s="1"/>
  <c r="L55" i="3" s="1"/>
  <c r="G55" i="3"/>
  <c r="H55" i="3" s="1"/>
  <c r="I55" i="3" s="1"/>
  <c r="D55" i="3"/>
  <c r="E55" i="3" s="1"/>
  <c r="F55" i="3" s="1"/>
  <c r="S54" i="3"/>
  <c r="T54" i="3" s="1"/>
  <c r="U54" i="3" s="1"/>
  <c r="P54" i="3"/>
  <c r="Q54" i="3" s="1"/>
  <c r="R54" i="3" s="1"/>
  <c r="M54" i="3"/>
  <c r="N54" i="3" s="1"/>
  <c r="O54" i="3" s="1"/>
  <c r="J54" i="3"/>
  <c r="K54" i="3" s="1"/>
  <c r="L54" i="3" s="1"/>
  <c r="G54" i="3"/>
  <c r="H54" i="3" s="1"/>
  <c r="I54" i="3" s="1"/>
  <c r="D54" i="3"/>
  <c r="E54" i="3" s="1"/>
  <c r="F54" i="3" s="1"/>
  <c r="S53" i="3"/>
  <c r="T53" i="3" s="1"/>
  <c r="U53" i="3" s="1"/>
  <c r="P53" i="3"/>
  <c r="Q53" i="3" s="1"/>
  <c r="R53" i="3" s="1"/>
  <c r="M53" i="3"/>
  <c r="N53" i="3" s="1"/>
  <c r="O53" i="3" s="1"/>
  <c r="J53" i="3"/>
  <c r="K53" i="3" s="1"/>
  <c r="L53" i="3" s="1"/>
  <c r="G53" i="3"/>
  <c r="H53" i="3" s="1"/>
  <c r="I53" i="3" s="1"/>
  <c r="D53" i="3"/>
  <c r="E53" i="3" s="1"/>
  <c r="F53" i="3" s="1"/>
  <c r="S52" i="3"/>
  <c r="T52" i="3" s="1"/>
  <c r="U52" i="3" s="1"/>
  <c r="P52" i="3"/>
  <c r="Q52" i="3" s="1"/>
  <c r="R52" i="3" s="1"/>
  <c r="M52" i="3"/>
  <c r="N52" i="3" s="1"/>
  <c r="O52" i="3" s="1"/>
  <c r="J52" i="3"/>
  <c r="K52" i="3" s="1"/>
  <c r="L52" i="3" s="1"/>
  <c r="G52" i="3"/>
  <c r="H52" i="3" s="1"/>
  <c r="I52" i="3" s="1"/>
  <c r="D52" i="3"/>
  <c r="E52" i="3" s="1"/>
  <c r="F52" i="3" s="1"/>
  <c r="S51" i="3"/>
  <c r="T51" i="3" s="1"/>
  <c r="U51" i="3" s="1"/>
  <c r="P51" i="3"/>
  <c r="Q51" i="3" s="1"/>
  <c r="R51" i="3" s="1"/>
  <c r="M51" i="3"/>
  <c r="N51" i="3" s="1"/>
  <c r="O51" i="3" s="1"/>
  <c r="J51" i="3"/>
  <c r="K51" i="3" s="1"/>
  <c r="L51" i="3" s="1"/>
  <c r="G51" i="3"/>
  <c r="H51" i="3" s="1"/>
  <c r="I51" i="3" s="1"/>
  <c r="D51" i="3"/>
  <c r="E51" i="3" s="1"/>
  <c r="F51" i="3" s="1"/>
  <c r="S50" i="3"/>
  <c r="T50" i="3" s="1"/>
  <c r="U50" i="3" s="1"/>
  <c r="P50" i="3"/>
  <c r="Q50" i="3" s="1"/>
  <c r="R50" i="3" s="1"/>
  <c r="M50" i="3"/>
  <c r="N50" i="3" s="1"/>
  <c r="O50" i="3" s="1"/>
  <c r="J50" i="3"/>
  <c r="K50" i="3" s="1"/>
  <c r="L50" i="3" s="1"/>
  <c r="G50" i="3"/>
  <c r="H50" i="3" s="1"/>
  <c r="I50" i="3" s="1"/>
  <c r="D50" i="3"/>
  <c r="E50" i="3" s="1"/>
  <c r="F50" i="3" s="1"/>
  <c r="S49" i="3"/>
  <c r="T49" i="3" s="1"/>
  <c r="U49" i="3" s="1"/>
  <c r="P49" i="3"/>
  <c r="Q49" i="3" s="1"/>
  <c r="R49" i="3" s="1"/>
  <c r="M49" i="3"/>
  <c r="N49" i="3" s="1"/>
  <c r="O49" i="3" s="1"/>
  <c r="J49" i="3"/>
  <c r="K49" i="3" s="1"/>
  <c r="L49" i="3" s="1"/>
  <c r="G49" i="3"/>
  <c r="H49" i="3" s="1"/>
  <c r="I49" i="3" s="1"/>
  <c r="D49" i="3"/>
  <c r="E49" i="3" s="1"/>
  <c r="F49" i="3" s="1"/>
  <c r="S48" i="3"/>
  <c r="T48" i="3" s="1"/>
  <c r="U48" i="3" s="1"/>
  <c r="P48" i="3"/>
  <c r="Q48" i="3" s="1"/>
  <c r="R48" i="3" s="1"/>
  <c r="M48" i="3"/>
  <c r="N48" i="3" s="1"/>
  <c r="O48" i="3" s="1"/>
  <c r="J48" i="3"/>
  <c r="K48" i="3" s="1"/>
  <c r="L48" i="3" s="1"/>
  <c r="G48" i="3"/>
  <c r="H48" i="3" s="1"/>
  <c r="I48" i="3" s="1"/>
  <c r="D48" i="3"/>
  <c r="E48" i="3" s="1"/>
  <c r="F48" i="3" s="1"/>
  <c r="S47" i="3"/>
  <c r="T47" i="3" s="1"/>
  <c r="U47" i="3" s="1"/>
  <c r="P47" i="3"/>
  <c r="Q47" i="3" s="1"/>
  <c r="R47" i="3" s="1"/>
  <c r="M47" i="3"/>
  <c r="N47" i="3" s="1"/>
  <c r="O47" i="3" s="1"/>
  <c r="J47" i="3"/>
  <c r="K47" i="3" s="1"/>
  <c r="L47" i="3" s="1"/>
  <c r="G47" i="3"/>
  <c r="H47" i="3" s="1"/>
  <c r="I47" i="3" s="1"/>
  <c r="D47" i="3"/>
  <c r="E47" i="3" s="1"/>
  <c r="F47" i="3" s="1"/>
  <c r="S46" i="3"/>
  <c r="T46" i="3" s="1"/>
  <c r="U46" i="3" s="1"/>
  <c r="P46" i="3"/>
  <c r="Q46" i="3" s="1"/>
  <c r="R46" i="3" s="1"/>
  <c r="M46" i="3"/>
  <c r="N46" i="3" s="1"/>
  <c r="O46" i="3" s="1"/>
  <c r="J46" i="3"/>
  <c r="K46" i="3" s="1"/>
  <c r="L46" i="3" s="1"/>
  <c r="G46" i="3"/>
  <c r="H46" i="3" s="1"/>
  <c r="I46" i="3" s="1"/>
  <c r="D46" i="3"/>
  <c r="E46" i="3" s="1"/>
  <c r="F46" i="3" s="1"/>
  <c r="S45" i="3"/>
  <c r="T45" i="3" s="1"/>
  <c r="U45" i="3" s="1"/>
  <c r="P45" i="3"/>
  <c r="Q45" i="3" s="1"/>
  <c r="R45" i="3" s="1"/>
  <c r="M45" i="3"/>
  <c r="N45" i="3" s="1"/>
  <c r="O45" i="3" s="1"/>
  <c r="J45" i="3"/>
  <c r="K45" i="3" s="1"/>
  <c r="L45" i="3" s="1"/>
  <c r="G45" i="3"/>
  <c r="H45" i="3" s="1"/>
  <c r="I45" i="3" s="1"/>
  <c r="D45" i="3"/>
  <c r="E45" i="3" s="1"/>
  <c r="F45" i="3" s="1"/>
  <c r="S44" i="3"/>
  <c r="T44" i="3" s="1"/>
  <c r="U44" i="3" s="1"/>
  <c r="P44" i="3"/>
  <c r="Q44" i="3" s="1"/>
  <c r="R44" i="3" s="1"/>
  <c r="M44" i="3"/>
  <c r="N44" i="3" s="1"/>
  <c r="O44" i="3" s="1"/>
  <c r="J44" i="3"/>
  <c r="K44" i="3" s="1"/>
  <c r="L44" i="3" s="1"/>
  <c r="G44" i="3"/>
  <c r="H44" i="3" s="1"/>
  <c r="I44" i="3" s="1"/>
  <c r="D44" i="3"/>
  <c r="E44" i="3" s="1"/>
  <c r="F44" i="3" s="1"/>
  <c r="S43" i="3"/>
  <c r="T43" i="3" s="1"/>
  <c r="U43" i="3" s="1"/>
  <c r="P43" i="3"/>
  <c r="Q43" i="3" s="1"/>
  <c r="R43" i="3" s="1"/>
  <c r="M43" i="3"/>
  <c r="N43" i="3" s="1"/>
  <c r="O43" i="3" s="1"/>
  <c r="J43" i="3"/>
  <c r="K43" i="3" s="1"/>
  <c r="L43" i="3" s="1"/>
  <c r="G43" i="3"/>
  <c r="H43" i="3" s="1"/>
  <c r="I43" i="3" s="1"/>
  <c r="D43" i="3"/>
  <c r="E43" i="3" s="1"/>
  <c r="F43" i="3" s="1"/>
  <c r="S42" i="3"/>
  <c r="T42" i="3" s="1"/>
  <c r="U42" i="3" s="1"/>
  <c r="P42" i="3"/>
  <c r="Q42" i="3" s="1"/>
  <c r="R42" i="3" s="1"/>
  <c r="M42" i="3"/>
  <c r="N42" i="3" s="1"/>
  <c r="O42" i="3" s="1"/>
  <c r="J42" i="3"/>
  <c r="K42" i="3" s="1"/>
  <c r="L42" i="3" s="1"/>
  <c r="G42" i="3"/>
  <c r="H42" i="3" s="1"/>
  <c r="I42" i="3" s="1"/>
  <c r="D42" i="3"/>
  <c r="E42" i="3" s="1"/>
  <c r="F42" i="3" s="1"/>
  <c r="S41" i="3"/>
  <c r="T41" i="3" s="1"/>
  <c r="U41" i="3" s="1"/>
  <c r="P41" i="3"/>
  <c r="Q41" i="3" s="1"/>
  <c r="R41" i="3" s="1"/>
  <c r="M41" i="3"/>
  <c r="N41" i="3" s="1"/>
  <c r="O41" i="3" s="1"/>
  <c r="J41" i="3"/>
  <c r="K41" i="3" s="1"/>
  <c r="L41" i="3" s="1"/>
  <c r="G41" i="3"/>
  <c r="H41" i="3" s="1"/>
  <c r="I41" i="3" s="1"/>
  <c r="D41" i="3"/>
  <c r="E41" i="3" s="1"/>
  <c r="F41" i="3" s="1"/>
  <c r="S40" i="3"/>
  <c r="T40" i="3" s="1"/>
  <c r="U40" i="3" s="1"/>
  <c r="P40" i="3"/>
  <c r="Q40" i="3" s="1"/>
  <c r="R40" i="3" s="1"/>
  <c r="M40" i="3"/>
  <c r="N40" i="3" s="1"/>
  <c r="O40" i="3" s="1"/>
  <c r="J40" i="3"/>
  <c r="K40" i="3" s="1"/>
  <c r="L40" i="3" s="1"/>
  <c r="G40" i="3"/>
  <c r="H40" i="3" s="1"/>
  <c r="I40" i="3" s="1"/>
  <c r="D40" i="3"/>
  <c r="E40" i="3" s="1"/>
  <c r="F40" i="3" s="1"/>
  <c r="S39" i="3"/>
  <c r="T39" i="3" s="1"/>
  <c r="U39" i="3" s="1"/>
  <c r="P39" i="3"/>
  <c r="Q39" i="3" s="1"/>
  <c r="R39" i="3" s="1"/>
  <c r="M39" i="3"/>
  <c r="N39" i="3" s="1"/>
  <c r="O39" i="3" s="1"/>
  <c r="J39" i="3"/>
  <c r="K39" i="3" s="1"/>
  <c r="L39" i="3" s="1"/>
  <c r="G39" i="3"/>
  <c r="H39" i="3" s="1"/>
  <c r="I39" i="3" s="1"/>
  <c r="D39" i="3"/>
  <c r="E39" i="3" s="1"/>
  <c r="F39" i="3" s="1"/>
  <c r="S38" i="3"/>
  <c r="T38" i="3" s="1"/>
  <c r="U38" i="3" s="1"/>
  <c r="P38" i="3"/>
  <c r="Q38" i="3" s="1"/>
  <c r="R38" i="3" s="1"/>
  <c r="M38" i="3"/>
  <c r="N38" i="3" s="1"/>
  <c r="O38" i="3" s="1"/>
  <c r="J38" i="3"/>
  <c r="K38" i="3" s="1"/>
  <c r="L38" i="3" s="1"/>
  <c r="G38" i="3"/>
  <c r="H38" i="3" s="1"/>
  <c r="I38" i="3" s="1"/>
  <c r="D38" i="3"/>
  <c r="E38" i="3" s="1"/>
  <c r="F38" i="3" s="1"/>
  <c r="S37" i="3"/>
  <c r="T37" i="3" s="1"/>
  <c r="U37" i="3" s="1"/>
  <c r="P37" i="3"/>
  <c r="Q37" i="3" s="1"/>
  <c r="R37" i="3" s="1"/>
  <c r="M37" i="3"/>
  <c r="N37" i="3" s="1"/>
  <c r="O37" i="3" s="1"/>
  <c r="J37" i="3"/>
  <c r="K37" i="3" s="1"/>
  <c r="L37" i="3" s="1"/>
  <c r="G37" i="3"/>
  <c r="H37" i="3" s="1"/>
  <c r="I37" i="3" s="1"/>
  <c r="D37" i="3"/>
  <c r="E37" i="3" s="1"/>
  <c r="F37" i="3" s="1"/>
  <c r="S36" i="3"/>
  <c r="T36" i="3" s="1"/>
  <c r="U36" i="3" s="1"/>
  <c r="P36" i="3"/>
  <c r="Q36" i="3" s="1"/>
  <c r="R36" i="3" s="1"/>
  <c r="M36" i="3"/>
  <c r="N36" i="3" s="1"/>
  <c r="O36" i="3" s="1"/>
  <c r="J36" i="3"/>
  <c r="K36" i="3" s="1"/>
  <c r="L36" i="3" s="1"/>
  <c r="G36" i="3"/>
  <c r="H36" i="3" s="1"/>
  <c r="I36" i="3" s="1"/>
  <c r="D36" i="3"/>
  <c r="E36" i="3" s="1"/>
  <c r="F36" i="3" s="1"/>
  <c r="AG35" i="3"/>
  <c r="S35" i="3"/>
  <c r="T35" i="3" s="1"/>
  <c r="U35" i="3" s="1"/>
  <c r="P35" i="3"/>
  <c r="Q35" i="3" s="1"/>
  <c r="R35" i="3" s="1"/>
  <c r="M35" i="3"/>
  <c r="N35" i="3" s="1"/>
  <c r="O35" i="3" s="1"/>
  <c r="J35" i="3"/>
  <c r="K35" i="3" s="1"/>
  <c r="L35" i="3" s="1"/>
  <c r="G35" i="3"/>
  <c r="H35" i="3" s="1"/>
  <c r="I35" i="3" s="1"/>
  <c r="D35" i="3"/>
  <c r="E35" i="3" s="1"/>
  <c r="F35" i="3" s="1"/>
  <c r="AG34" i="3"/>
  <c r="S34" i="3"/>
  <c r="T34" i="3" s="1"/>
  <c r="U34" i="3" s="1"/>
  <c r="P34" i="3"/>
  <c r="Q34" i="3" s="1"/>
  <c r="R34" i="3" s="1"/>
  <c r="M34" i="3"/>
  <c r="N34" i="3" s="1"/>
  <c r="O34" i="3" s="1"/>
  <c r="J34" i="3"/>
  <c r="K34" i="3" s="1"/>
  <c r="L34" i="3" s="1"/>
  <c r="G34" i="3"/>
  <c r="H34" i="3" s="1"/>
  <c r="I34" i="3" s="1"/>
  <c r="D34" i="3"/>
  <c r="E34" i="3" s="1"/>
  <c r="F34" i="3" s="1"/>
  <c r="AG33" i="3"/>
  <c r="S33" i="3"/>
  <c r="T33" i="3" s="1"/>
  <c r="U33" i="3" s="1"/>
  <c r="P33" i="3"/>
  <c r="Q33" i="3" s="1"/>
  <c r="R33" i="3" s="1"/>
  <c r="M33" i="3"/>
  <c r="N33" i="3" s="1"/>
  <c r="O33" i="3" s="1"/>
  <c r="J33" i="3"/>
  <c r="K33" i="3" s="1"/>
  <c r="L33" i="3" s="1"/>
  <c r="G33" i="3"/>
  <c r="H33" i="3" s="1"/>
  <c r="I33" i="3" s="1"/>
  <c r="D33" i="3"/>
  <c r="E33" i="3" s="1"/>
  <c r="F33" i="3" s="1"/>
  <c r="AG32" i="3"/>
  <c r="S32" i="3"/>
  <c r="T32" i="3" s="1"/>
  <c r="U32" i="3" s="1"/>
  <c r="P32" i="3"/>
  <c r="Q32" i="3" s="1"/>
  <c r="R32" i="3" s="1"/>
  <c r="M32" i="3"/>
  <c r="N32" i="3" s="1"/>
  <c r="O32" i="3" s="1"/>
  <c r="J32" i="3"/>
  <c r="K32" i="3" s="1"/>
  <c r="L32" i="3" s="1"/>
  <c r="G32" i="3"/>
  <c r="H32" i="3" s="1"/>
  <c r="I32" i="3" s="1"/>
  <c r="D32" i="3"/>
  <c r="E32" i="3" s="1"/>
  <c r="F32" i="3" s="1"/>
  <c r="AG31" i="3"/>
  <c r="S31" i="3"/>
  <c r="T31" i="3" s="1"/>
  <c r="U31" i="3" s="1"/>
  <c r="P31" i="3"/>
  <c r="Q31" i="3" s="1"/>
  <c r="R31" i="3" s="1"/>
  <c r="M31" i="3"/>
  <c r="N31" i="3" s="1"/>
  <c r="O31" i="3" s="1"/>
  <c r="J31" i="3"/>
  <c r="K31" i="3" s="1"/>
  <c r="L31" i="3" s="1"/>
  <c r="G31" i="3"/>
  <c r="H31" i="3" s="1"/>
  <c r="I31" i="3" s="1"/>
  <c r="D31" i="3"/>
  <c r="E31" i="3" s="1"/>
  <c r="F31" i="3" s="1"/>
  <c r="AG25" i="3"/>
  <c r="S25" i="3"/>
  <c r="T25" i="3" s="1"/>
  <c r="U25" i="3" s="1"/>
  <c r="P25" i="3"/>
  <c r="Q25" i="3" s="1"/>
  <c r="R25" i="3" s="1"/>
  <c r="M25" i="3"/>
  <c r="N25" i="3" s="1"/>
  <c r="O25" i="3" s="1"/>
  <c r="J25" i="3"/>
  <c r="K25" i="3" s="1"/>
  <c r="L25" i="3" s="1"/>
  <c r="G25" i="3"/>
  <c r="H25" i="3" s="1"/>
  <c r="I25" i="3" s="1"/>
  <c r="D25" i="3"/>
  <c r="E25" i="3" s="1"/>
  <c r="F25" i="3" s="1"/>
  <c r="S24" i="3"/>
  <c r="T24" i="3" s="1"/>
  <c r="U24" i="3" s="1"/>
  <c r="P24" i="3"/>
  <c r="Q24" i="3" s="1"/>
  <c r="R24" i="3" s="1"/>
  <c r="M24" i="3"/>
  <c r="N24" i="3" s="1"/>
  <c r="O24" i="3" s="1"/>
  <c r="J24" i="3"/>
  <c r="K24" i="3" s="1"/>
  <c r="L24" i="3" s="1"/>
  <c r="G24" i="3"/>
  <c r="H24" i="3" s="1"/>
  <c r="I24" i="3" s="1"/>
  <c r="D24" i="3"/>
  <c r="E24" i="3" s="1"/>
  <c r="F24" i="3" s="1"/>
  <c r="S23" i="3"/>
  <c r="T23" i="3" s="1"/>
  <c r="U23" i="3" s="1"/>
  <c r="P23" i="3"/>
  <c r="Q23" i="3" s="1"/>
  <c r="R23" i="3" s="1"/>
  <c r="M23" i="3"/>
  <c r="N23" i="3" s="1"/>
  <c r="O23" i="3" s="1"/>
  <c r="J23" i="3"/>
  <c r="K23" i="3" s="1"/>
  <c r="L23" i="3" s="1"/>
  <c r="G23" i="3"/>
  <c r="H23" i="3" s="1"/>
  <c r="I23" i="3" s="1"/>
  <c r="D23" i="3"/>
  <c r="E23" i="3" s="1"/>
  <c r="F23" i="3" s="1"/>
  <c r="S22" i="3"/>
  <c r="T22" i="3" s="1"/>
  <c r="U22" i="3" s="1"/>
  <c r="P22" i="3"/>
  <c r="Q22" i="3" s="1"/>
  <c r="R22" i="3" s="1"/>
  <c r="M22" i="3"/>
  <c r="N22" i="3" s="1"/>
  <c r="O22" i="3" s="1"/>
  <c r="J22" i="3"/>
  <c r="K22" i="3" s="1"/>
  <c r="L22" i="3" s="1"/>
  <c r="G22" i="3"/>
  <c r="H22" i="3" s="1"/>
  <c r="I22" i="3" s="1"/>
  <c r="D22" i="3"/>
  <c r="E22" i="3" s="1"/>
  <c r="F22" i="3" s="1"/>
  <c r="AI21" i="3"/>
  <c r="S21" i="3"/>
  <c r="T21" i="3" s="1"/>
  <c r="U21" i="3" s="1"/>
  <c r="P21" i="3"/>
  <c r="Q21" i="3" s="1"/>
  <c r="R21" i="3" s="1"/>
  <c r="M21" i="3"/>
  <c r="N21" i="3" s="1"/>
  <c r="O21" i="3" s="1"/>
  <c r="J21" i="3"/>
  <c r="K21" i="3" s="1"/>
  <c r="L21" i="3" s="1"/>
  <c r="G21" i="3"/>
  <c r="H21" i="3" s="1"/>
  <c r="I21" i="3" s="1"/>
  <c r="D21" i="3"/>
  <c r="E21" i="3" s="1"/>
  <c r="F21" i="3" s="1"/>
  <c r="AI20" i="3"/>
  <c r="S20" i="3"/>
  <c r="T20" i="3" s="1"/>
  <c r="U20" i="3" s="1"/>
  <c r="P20" i="3"/>
  <c r="Q20" i="3" s="1"/>
  <c r="R20" i="3" s="1"/>
  <c r="M20" i="3"/>
  <c r="N20" i="3" s="1"/>
  <c r="O20" i="3" s="1"/>
  <c r="J20" i="3"/>
  <c r="K20" i="3" s="1"/>
  <c r="L20" i="3" s="1"/>
  <c r="G20" i="3"/>
  <c r="H20" i="3" s="1"/>
  <c r="I20" i="3" s="1"/>
  <c r="D20" i="3"/>
  <c r="E20" i="3" s="1"/>
  <c r="F20" i="3" s="1"/>
  <c r="AI19" i="3"/>
  <c r="S19" i="3"/>
  <c r="T19" i="3" s="1"/>
  <c r="U19" i="3" s="1"/>
  <c r="P19" i="3"/>
  <c r="Q19" i="3" s="1"/>
  <c r="R19" i="3" s="1"/>
  <c r="M19" i="3"/>
  <c r="N19" i="3" s="1"/>
  <c r="O19" i="3" s="1"/>
  <c r="J19" i="3"/>
  <c r="K19" i="3" s="1"/>
  <c r="L19" i="3" s="1"/>
  <c r="G19" i="3"/>
  <c r="H19" i="3" s="1"/>
  <c r="I19" i="3" s="1"/>
  <c r="D19" i="3"/>
  <c r="E19" i="3" s="1"/>
  <c r="F19" i="3" s="1"/>
  <c r="AI18" i="3"/>
  <c r="S18" i="3"/>
  <c r="T18" i="3" s="1"/>
  <c r="U18" i="3" s="1"/>
  <c r="P18" i="3"/>
  <c r="Q18" i="3" s="1"/>
  <c r="R18" i="3" s="1"/>
  <c r="M18" i="3"/>
  <c r="N18" i="3" s="1"/>
  <c r="O18" i="3" s="1"/>
  <c r="J18" i="3"/>
  <c r="K18" i="3" s="1"/>
  <c r="L18" i="3" s="1"/>
  <c r="G18" i="3"/>
  <c r="H18" i="3" s="1"/>
  <c r="I18" i="3" s="1"/>
  <c r="D18" i="3"/>
  <c r="E18" i="3" s="1"/>
  <c r="F18" i="3" s="1"/>
  <c r="AI17" i="3"/>
  <c r="S17" i="3"/>
  <c r="T17" i="3" s="1"/>
  <c r="U17" i="3" s="1"/>
  <c r="P17" i="3"/>
  <c r="Q17" i="3" s="1"/>
  <c r="R17" i="3" s="1"/>
  <c r="M17" i="3"/>
  <c r="N17" i="3" s="1"/>
  <c r="O17" i="3" s="1"/>
  <c r="J17" i="3"/>
  <c r="K17" i="3" s="1"/>
  <c r="L17" i="3" s="1"/>
  <c r="G17" i="3"/>
  <c r="H17" i="3" s="1"/>
  <c r="I17" i="3" s="1"/>
  <c r="D17" i="3"/>
  <c r="E17" i="3" s="1"/>
  <c r="F17" i="3" s="1"/>
  <c r="AI16" i="3"/>
  <c r="S16" i="3"/>
  <c r="T16" i="3" s="1"/>
  <c r="U16" i="3" s="1"/>
  <c r="P16" i="3"/>
  <c r="Q16" i="3" s="1"/>
  <c r="R16" i="3" s="1"/>
  <c r="M16" i="3"/>
  <c r="N16" i="3" s="1"/>
  <c r="O16" i="3" s="1"/>
  <c r="J16" i="3"/>
  <c r="K16" i="3" s="1"/>
  <c r="L16" i="3" s="1"/>
  <c r="G16" i="3"/>
  <c r="H16" i="3" s="1"/>
  <c r="I16" i="3" s="1"/>
  <c r="D16" i="3"/>
  <c r="E16" i="3" s="1"/>
  <c r="F16" i="3" s="1"/>
  <c r="AI15" i="3"/>
  <c r="S15" i="3"/>
  <c r="T15" i="3" s="1"/>
  <c r="U15" i="3" s="1"/>
  <c r="P15" i="3"/>
  <c r="Q15" i="3" s="1"/>
  <c r="R15" i="3" s="1"/>
  <c r="M15" i="3"/>
  <c r="N15" i="3" s="1"/>
  <c r="O15" i="3" s="1"/>
  <c r="J15" i="3"/>
  <c r="K15" i="3" s="1"/>
  <c r="L15" i="3" s="1"/>
  <c r="G15" i="3"/>
  <c r="H15" i="3" s="1"/>
  <c r="I15" i="3" s="1"/>
  <c r="D15" i="3"/>
  <c r="E15" i="3" s="1"/>
  <c r="F15" i="3" s="1"/>
  <c r="AI14" i="3"/>
  <c r="S14" i="3"/>
  <c r="T14" i="3" s="1"/>
  <c r="U14" i="3" s="1"/>
  <c r="P14" i="3"/>
  <c r="Q14" i="3" s="1"/>
  <c r="R14" i="3" s="1"/>
  <c r="M14" i="3"/>
  <c r="N14" i="3" s="1"/>
  <c r="O14" i="3" s="1"/>
  <c r="J14" i="3"/>
  <c r="K14" i="3" s="1"/>
  <c r="L14" i="3" s="1"/>
  <c r="G14" i="3"/>
  <c r="H14" i="3" s="1"/>
  <c r="I14" i="3" s="1"/>
  <c r="D14" i="3"/>
  <c r="E14" i="3" s="1"/>
  <c r="F14" i="3" s="1"/>
  <c r="AI13" i="3"/>
  <c r="S13" i="3"/>
  <c r="T13" i="3" s="1"/>
  <c r="U13" i="3" s="1"/>
  <c r="P13" i="3"/>
  <c r="Q13" i="3" s="1"/>
  <c r="R13" i="3" s="1"/>
  <c r="M13" i="3"/>
  <c r="N13" i="3" s="1"/>
  <c r="O13" i="3" s="1"/>
  <c r="J13" i="3"/>
  <c r="K13" i="3" s="1"/>
  <c r="L13" i="3" s="1"/>
  <c r="G13" i="3"/>
  <c r="H13" i="3" s="1"/>
  <c r="I13" i="3" s="1"/>
  <c r="D13" i="3"/>
  <c r="E13" i="3" s="1"/>
  <c r="F13" i="3" s="1"/>
  <c r="AI12" i="3"/>
  <c r="S12" i="3"/>
  <c r="T12" i="3" s="1"/>
  <c r="U12" i="3" s="1"/>
  <c r="P12" i="3"/>
  <c r="Q12" i="3" s="1"/>
  <c r="R12" i="3" s="1"/>
  <c r="M12" i="3"/>
  <c r="N12" i="3" s="1"/>
  <c r="O12" i="3" s="1"/>
  <c r="J12" i="3"/>
  <c r="K12" i="3" s="1"/>
  <c r="L12" i="3" s="1"/>
  <c r="G12" i="3"/>
  <c r="H12" i="3" s="1"/>
  <c r="I12" i="3" s="1"/>
  <c r="D12" i="3"/>
  <c r="E12" i="3" s="1"/>
  <c r="F12" i="3" s="1"/>
  <c r="AI11" i="3"/>
  <c r="S11" i="3"/>
  <c r="T11" i="3" s="1"/>
  <c r="U11" i="3" s="1"/>
  <c r="P11" i="3"/>
  <c r="Q11" i="3" s="1"/>
  <c r="R11" i="3" s="1"/>
  <c r="M11" i="3"/>
  <c r="N11" i="3" s="1"/>
  <c r="O11" i="3" s="1"/>
  <c r="J11" i="3"/>
  <c r="K11" i="3" s="1"/>
  <c r="L11" i="3" s="1"/>
  <c r="G11" i="3"/>
  <c r="H11" i="3" s="1"/>
  <c r="I11" i="3" s="1"/>
  <c r="D11" i="3"/>
  <c r="E11" i="3" s="1"/>
  <c r="F11" i="3" s="1"/>
  <c r="AI10" i="3"/>
  <c r="S10" i="3"/>
  <c r="T10" i="3" s="1"/>
  <c r="U10" i="3" s="1"/>
  <c r="P10" i="3"/>
  <c r="Q10" i="3" s="1"/>
  <c r="R10" i="3" s="1"/>
  <c r="M10" i="3"/>
  <c r="N10" i="3" s="1"/>
  <c r="O10" i="3" s="1"/>
  <c r="J10" i="3"/>
  <c r="K10" i="3" s="1"/>
  <c r="L10" i="3" s="1"/>
  <c r="G10" i="3"/>
  <c r="H10" i="3" s="1"/>
  <c r="I10" i="3" s="1"/>
  <c r="D10" i="3"/>
  <c r="E10" i="3" s="1"/>
  <c r="F10" i="3" s="1"/>
  <c r="AI9" i="3"/>
  <c r="S9" i="3"/>
  <c r="T9" i="3" s="1"/>
  <c r="U9" i="3" s="1"/>
  <c r="P9" i="3"/>
  <c r="Q9" i="3" s="1"/>
  <c r="R9" i="3" s="1"/>
  <c r="M9" i="3"/>
  <c r="N9" i="3" s="1"/>
  <c r="O9" i="3" s="1"/>
  <c r="J9" i="3"/>
  <c r="K9" i="3" s="1"/>
  <c r="L9" i="3" s="1"/>
  <c r="G9" i="3"/>
  <c r="H9" i="3" s="1"/>
  <c r="I9" i="3" s="1"/>
  <c r="D9" i="3"/>
  <c r="E9" i="3" s="1"/>
  <c r="F9" i="3" s="1"/>
  <c r="AI8" i="3"/>
  <c r="S8" i="3"/>
  <c r="T8" i="3" s="1"/>
  <c r="U8" i="3" s="1"/>
  <c r="P8" i="3"/>
  <c r="Q8" i="3" s="1"/>
  <c r="R8" i="3" s="1"/>
  <c r="M8" i="3"/>
  <c r="N8" i="3" s="1"/>
  <c r="O8" i="3" s="1"/>
  <c r="J8" i="3"/>
  <c r="K8" i="3" s="1"/>
  <c r="L8" i="3" s="1"/>
  <c r="G8" i="3"/>
  <c r="H8" i="3" s="1"/>
  <c r="I8" i="3" s="1"/>
  <c r="D8" i="3"/>
  <c r="E8" i="3" s="1"/>
  <c r="F8" i="3" s="1"/>
  <c r="AI7" i="3"/>
  <c r="S7" i="3"/>
  <c r="P7" i="3"/>
  <c r="Q7" i="3" s="1"/>
  <c r="R7" i="3" s="1"/>
  <c r="M7" i="3"/>
  <c r="N7" i="3" s="1"/>
  <c r="O7" i="3" s="1"/>
  <c r="J7" i="3"/>
  <c r="K7" i="3" s="1"/>
  <c r="L7" i="3" s="1"/>
  <c r="G7" i="3"/>
  <c r="H7" i="3" s="1"/>
  <c r="I7" i="3" s="1"/>
  <c r="D7" i="3"/>
  <c r="E7" i="3" s="1"/>
  <c r="F7" i="3" s="1"/>
  <c r="S6" i="3"/>
  <c r="P6" i="3"/>
  <c r="Q6" i="3" s="1"/>
  <c r="R6" i="3" s="1"/>
  <c r="M6" i="3"/>
  <c r="N6" i="3" s="1"/>
  <c r="O6" i="3" s="1"/>
  <c r="J6" i="3"/>
  <c r="K6" i="3" s="1"/>
  <c r="L6" i="3" s="1"/>
  <c r="G6" i="3"/>
  <c r="H6" i="3" s="1"/>
  <c r="I6" i="3" s="1"/>
  <c r="D6" i="3"/>
  <c r="E6" i="3" s="1"/>
  <c r="F6" i="3" s="1"/>
  <c r="S5" i="3"/>
  <c r="T5" i="3" s="1"/>
  <c r="U5" i="3" s="1"/>
  <c r="P5" i="3"/>
  <c r="Q5" i="3" s="1"/>
  <c r="R5" i="3" s="1"/>
  <c r="M5" i="3"/>
  <c r="N5" i="3" s="1"/>
  <c r="O5" i="3" s="1"/>
  <c r="J5" i="3"/>
  <c r="K5" i="3" s="1"/>
  <c r="L5" i="3" s="1"/>
  <c r="G5" i="3"/>
  <c r="H5" i="3" s="1"/>
  <c r="I5" i="3" s="1"/>
  <c r="D5" i="3"/>
  <c r="S4" i="3"/>
  <c r="T4" i="3" s="1"/>
  <c r="U4" i="3" s="1"/>
  <c r="P4" i="3"/>
  <c r="Q4" i="3" s="1"/>
  <c r="R4" i="3" s="1"/>
  <c r="M4" i="3"/>
  <c r="N4" i="3" s="1"/>
  <c r="O4" i="3" s="1"/>
  <c r="J4" i="3"/>
  <c r="K4" i="3" s="1"/>
  <c r="L4" i="3" s="1"/>
  <c r="G4" i="3"/>
  <c r="D4" i="3"/>
  <c r="E4" i="3" s="1"/>
  <c r="F4" i="3" s="1"/>
  <c r="L96" i="3" l="1"/>
  <c r="O96" i="3"/>
  <c r="R96" i="3"/>
  <c r="D96" i="3"/>
  <c r="D98" i="3" s="1"/>
  <c r="G96" i="3"/>
  <c r="E5" i="3"/>
  <c r="F5" i="3" s="1"/>
  <c r="F96" i="3" s="1"/>
  <c r="S96" i="3"/>
  <c r="S98" i="3" s="1"/>
  <c r="H4" i="3"/>
  <c r="I4" i="3" s="1"/>
  <c r="I96" i="3" s="1"/>
  <c r="P96" i="3"/>
  <c r="T6" i="3"/>
  <c r="U6" i="3" s="1"/>
  <c r="M96" i="3"/>
  <c r="M98" i="3" s="1"/>
  <c r="J96" i="3"/>
  <c r="J98" i="3" s="1"/>
  <c r="T7" i="3"/>
  <c r="U7" i="3" s="1"/>
  <c r="Z30" i="1"/>
  <c r="Z29" i="1"/>
  <c r="Z28" i="1"/>
  <c r="Z27" i="1"/>
  <c r="Z26" i="1"/>
  <c r="Z25" i="1"/>
  <c r="U96" i="3" l="1"/>
  <c r="P98" i="3"/>
  <c r="G98" i="3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AQ69" i="2" l="1"/>
  <c r="AO69" i="2"/>
  <c r="AL69" i="2"/>
  <c r="AJ69" i="2"/>
  <c r="AH69" i="2"/>
  <c r="AE69" i="2"/>
  <c r="AC69" i="2"/>
  <c r="AA69" i="2"/>
  <c r="X69" i="2"/>
  <c r="V69" i="2"/>
  <c r="T69" i="2"/>
  <c r="Q69" i="2"/>
  <c r="O69" i="2"/>
  <c r="M69" i="2"/>
  <c r="J69" i="2"/>
  <c r="H69" i="2"/>
  <c r="F69" i="2"/>
  <c r="D69" i="2"/>
  <c r="AQ68" i="2"/>
  <c r="AO68" i="2"/>
  <c r="AL68" i="2"/>
  <c r="AJ68" i="2"/>
  <c r="AH68" i="2"/>
  <c r="AE68" i="2"/>
  <c r="AC68" i="2"/>
  <c r="AA68" i="2"/>
  <c r="X68" i="2"/>
  <c r="V68" i="2"/>
  <c r="T68" i="2"/>
  <c r="Q68" i="2"/>
  <c r="O68" i="2"/>
  <c r="M68" i="2"/>
  <c r="J68" i="2"/>
  <c r="H68" i="2"/>
  <c r="F68" i="2"/>
  <c r="D68" i="2"/>
  <c r="AQ67" i="2"/>
  <c r="AO67" i="2"/>
  <c r="AL67" i="2"/>
  <c r="AJ67" i="2"/>
  <c r="AH67" i="2"/>
  <c r="AE67" i="2"/>
  <c r="AC67" i="2"/>
  <c r="AA67" i="2"/>
  <c r="X67" i="2"/>
  <c r="V67" i="2"/>
  <c r="T67" i="2"/>
  <c r="Q67" i="2"/>
  <c r="O67" i="2"/>
  <c r="M67" i="2"/>
  <c r="J67" i="2"/>
  <c r="H67" i="2"/>
  <c r="F67" i="2"/>
  <c r="D67" i="2"/>
  <c r="AQ66" i="2"/>
  <c r="AO66" i="2"/>
  <c r="AL66" i="2"/>
  <c r="AJ66" i="2"/>
  <c r="AH66" i="2"/>
  <c r="AE66" i="2"/>
  <c r="AC66" i="2"/>
  <c r="AA66" i="2"/>
  <c r="X66" i="2"/>
  <c r="V66" i="2"/>
  <c r="T66" i="2"/>
  <c r="Q66" i="2"/>
  <c r="O66" i="2"/>
  <c r="M66" i="2"/>
  <c r="J66" i="2"/>
  <c r="H66" i="2"/>
  <c r="F66" i="2"/>
  <c r="D66" i="2"/>
  <c r="AQ65" i="2"/>
  <c r="AO65" i="2"/>
  <c r="AL65" i="2"/>
  <c r="AJ65" i="2"/>
  <c r="AH65" i="2"/>
  <c r="AE65" i="2"/>
  <c r="AC65" i="2"/>
  <c r="AA65" i="2"/>
  <c r="X65" i="2"/>
  <c r="V65" i="2"/>
  <c r="T65" i="2"/>
  <c r="Q65" i="2"/>
  <c r="O65" i="2"/>
  <c r="M65" i="2"/>
  <c r="J65" i="2"/>
  <c r="H65" i="2"/>
  <c r="F65" i="2"/>
  <c r="D65" i="2"/>
  <c r="AQ64" i="2"/>
  <c r="AO64" i="2"/>
  <c r="AL64" i="2"/>
  <c r="AJ64" i="2"/>
  <c r="AH64" i="2"/>
  <c r="AE64" i="2"/>
  <c r="AC64" i="2"/>
  <c r="AA64" i="2"/>
  <c r="X64" i="2"/>
  <c r="V64" i="2"/>
  <c r="T64" i="2"/>
  <c r="Q64" i="2"/>
  <c r="O64" i="2"/>
  <c r="M64" i="2"/>
  <c r="J64" i="2"/>
  <c r="H64" i="2"/>
  <c r="F64" i="2"/>
  <c r="D64" i="2"/>
  <c r="AQ63" i="2"/>
  <c r="AO63" i="2"/>
  <c r="AL63" i="2"/>
  <c r="AJ63" i="2"/>
  <c r="AH63" i="2"/>
  <c r="AE63" i="2"/>
  <c r="AC63" i="2"/>
  <c r="AA63" i="2"/>
  <c r="X63" i="2"/>
  <c r="V63" i="2"/>
  <c r="T63" i="2"/>
  <c r="Q63" i="2"/>
  <c r="O63" i="2"/>
  <c r="M63" i="2"/>
  <c r="J63" i="2"/>
  <c r="H63" i="2"/>
  <c r="F63" i="2"/>
  <c r="D63" i="2"/>
  <c r="AQ62" i="2"/>
  <c r="AO62" i="2"/>
  <c r="AL62" i="2"/>
  <c r="AJ62" i="2"/>
  <c r="AH62" i="2"/>
  <c r="AE62" i="2"/>
  <c r="AC62" i="2"/>
  <c r="AA62" i="2"/>
  <c r="X62" i="2"/>
  <c r="V62" i="2"/>
  <c r="T62" i="2"/>
  <c r="Q62" i="2"/>
  <c r="O62" i="2"/>
  <c r="M62" i="2"/>
  <c r="J62" i="2"/>
  <c r="H62" i="2"/>
  <c r="F62" i="2"/>
  <c r="D62" i="2"/>
  <c r="AQ61" i="2"/>
  <c r="AO61" i="2"/>
  <c r="AL61" i="2"/>
  <c r="AJ61" i="2"/>
  <c r="AH61" i="2"/>
  <c r="AE61" i="2"/>
  <c r="AC61" i="2"/>
  <c r="AA61" i="2"/>
  <c r="X61" i="2"/>
  <c r="V61" i="2"/>
  <c r="T61" i="2"/>
  <c r="Q61" i="2"/>
  <c r="O61" i="2"/>
  <c r="M61" i="2"/>
  <c r="J61" i="2"/>
  <c r="H61" i="2"/>
  <c r="F61" i="2"/>
  <c r="D61" i="2"/>
  <c r="AQ60" i="2"/>
  <c r="AO60" i="2"/>
  <c r="AL60" i="2"/>
  <c r="AJ60" i="2"/>
  <c r="AH60" i="2"/>
  <c r="AE60" i="2"/>
  <c r="AC60" i="2"/>
  <c r="AA60" i="2"/>
  <c r="X60" i="2"/>
  <c r="V60" i="2"/>
  <c r="T60" i="2"/>
  <c r="Q60" i="2"/>
  <c r="O60" i="2"/>
  <c r="M60" i="2"/>
  <c r="J60" i="2"/>
  <c r="H60" i="2"/>
  <c r="F60" i="2"/>
  <c r="D60" i="2"/>
  <c r="AQ59" i="2"/>
  <c r="AO59" i="2"/>
  <c r="AL59" i="2"/>
  <c r="AJ59" i="2"/>
  <c r="AH59" i="2"/>
  <c r="AE59" i="2"/>
  <c r="AC59" i="2"/>
  <c r="AA59" i="2"/>
  <c r="X59" i="2"/>
  <c r="V59" i="2"/>
  <c r="T59" i="2"/>
  <c r="Q59" i="2"/>
  <c r="O59" i="2"/>
  <c r="M59" i="2"/>
  <c r="J59" i="2"/>
  <c r="H59" i="2"/>
  <c r="F59" i="2"/>
  <c r="D59" i="2"/>
  <c r="AQ58" i="2"/>
  <c r="AO58" i="2"/>
  <c r="AL58" i="2"/>
  <c r="AJ58" i="2"/>
  <c r="AH58" i="2"/>
  <c r="AE58" i="2"/>
  <c r="AC58" i="2"/>
  <c r="AA58" i="2"/>
  <c r="X58" i="2"/>
  <c r="V58" i="2"/>
  <c r="T58" i="2"/>
  <c r="Q58" i="2"/>
  <c r="O58" i="2"/>
  <c r="M58" i="2"/>
  <c r="J58" i="2"/>
  <c r="H58" i="2"/>
  <c r="F58" i="2"/>
  <c r="D58" i="2"/>
  <c r="AQ57" i="2"/>
  <c r="AO57" i="2"/>
  <c r="AL57" i="2"/>
  <c r="AJ57" i="2"/>
  <c r="AH57" i="2"/>
  <c r="AE57" i="2"/>
  <c r="AC57" i="2"/>
  <c r="AA57" i="2"/>
  <c r="X57" i="2"/>
  <c r="V57" i="2"/>
  <c r="T57" i="2"/>
  <c r="Q57" i="2"/>
  <c r="O57" i="2"/>
  <c r="M57" i="2"/>
  <c r="J57" i="2"/>
  <c r="H57" i="2"/>
  <c r="F57" i="2"/>
  <c r="D57" i="2"/>
  <c r="AQ56" i="2"/>
  <c r="AO56" i="2"/>
  <c r="AL56" i="2"/>
  <c r="AJ56" i="2"/>
  <c r="AH56" i="2"/>
  <c r="AE56" i="2"/>
  <c r="AC56" i="2"/>
  <c r="AA56" i="2"/>
  <c r="X56" i="2"/>
  <c r="V56" i="2"/>
  <c r="T56" i="2"/>
  <c r="Q56" i="2"/>
  <c r="O56" i="2"/>
  <c r="M56" i="2"/>
  <c r="J56" i="2"/>
  <c r="H56" i="2"/>
  <c r="F56" i="2"/>
  <c r="D56" i="2"/>
  <c r="AQ55" i="2"/>
  <c r="AO55" i="2"/>
  <c r="AL55" i="2"/>
  <c r="AJ55" i="2"/>
  <c r="AH55" i="2"/>
  <c r="AE55" i="2"/>
  <c r="AC55" i="2"/>
  <c r="AA55" i="2"/>
  <c r="X55" i="2"/>
  <c r="V55" i="2"/>
  <c r="T55" i="2"/>
  <c r="Q55" i="2"/>
  <c r="O55" i="2"/>
  <c r="M55" i="2"/>
  <c r="J55" i="2"/>
  <c r="H55" i="2"/>
  <c r="F55" i="2"/>
  <c r="D55" i="2"/>
  <c r="AQ54" i="2"/>
  <c r="AO54" i="2"/>
  <c r="AL54" i="2"/>
  <c r="AJ54" i="2"/>
  <c r="AH54" i="2"/>
  <c r="AE54" i="2"/>
  <c r="AC54" i="2"/>
  <c r="AA54" i="2"/>
  <c r="X54" i="2"/>
  <c r="V54" i="2"/>
  <c r="T54" i="2"/>
  <c r="Q54" i="2"/>
  <c r="O54" i="2"/>
  <c r="M54" i="2"/>
  <c r="J54" i="2"/>
  <c r="H54" i="2"/>
  <c r="F54" i="2"/>
  <c r="D54" i="2"/>
  <c r="AQ53" i="2"/>
  <c r="AO53" i="2"/>
  <c r="AL53" i="2"/>
  <c r="AJ53" i="2"/>
  <c r="AH53" i="2"/>
  <c r="AE53" i="2"/>
  <c r="AC53" i="2"/>
  <c r="AA53" i="2"/>
  <c r="X53" i="2"/>
  <c r="V53" i="2"/>
  <c r="T53" i="2"/>
  <c r="Q53" i="2"/>
  <c r="O53" i="2"/>
  <c r="M53" i="2"/>
  <c r="J53" i="2"/>
  <c r="H53" i="2"/>
  <c r="F53" i="2"/>
  <c r="D53" i="2"/>
  <c r="AQ52" i="2"/>
  <c r="AO52" i="2"/>
  <c r="AL52" i="2"/>
  <c r="AJ52" i="2"/>
  <c r="AH52" i="2"/>
  <c r="AE52" i="2"/>
  <c r="AC52" i="2"/>
  <c r="AA52" i="2"/>
  <c r="X52" i="2"/>
  <c r="V52" i="2"/>
  <c r="T52" i="2"/>
  <c r="Q52" i="2"/>
  <c r="O52" i="2"/>
  <c r="M52" i="2"/>
  <c r="J52" i="2"/>
  <c r="H52" i="2"/>
  <c r="F52" i="2"/>
  <c r="D52" i="2"/>
  <c r="AQ51" i="2"/>
  <c r="AO51" i="2"/>
  <c r="AL51" i="2"/>
  <c r="AJ51" i="2"/>
  <c r="AH51" i="2"/>
  <c r="AE51" i="2"/>
  <c r="AC51" i="2"/>
  <c r="AA51" i="2"/>
  <c r="X51" i="2"/>
  <c r="V51" i="2"/>
  <c r="T51" i="2"/>
  <c r="Q51" i="2"/>
  <c r="O51" i="2"/>
  <c r="M51" i="2"/>
  <c r="J51" i="2"/>
  <c r="H51" i="2"/>
  <c r="F51" i="2"/>
  <c r="D51" i="2"/>
  <c r="AQ50" i="2"/>
  <c r="AO50" i="2"/>
  <c r="AL50" i="2"/>
  <c r="AJ50" i="2"/>
  <c r="AH50" i="2"/>
  <c r="AE50" i="2"/>
  <c r="AC50" i="2"/>
  <c r="AA50" i="2"/>
  <c r="X50" i="2"/>
  <c r="V50" i="2"/>
  <c r="T50" i="2"/>
  <c r="Q50" i="2"/>
  <c r="O50" i="2"/>
  <c r="M50" i="2"/>
  <c r="J50" i="2"/>
  <c r="H50" i="2"/>
  <c r="F50" i="2"/>
  <c r="D50" i="2"/>
  <c r="AQ49" i="2"/>
  <c r="AO49" i="2"/>
  <c r="AL49" i="2"/>
  <c r="AJ49" i="2"/>
  <c r="AH49" i="2"/>
  <c r="AE49" i="2"/>
  <c r="AC49" i="2"/>
  <c r="AA49" i="2"/>
  <c r="X49" i="2"/>
  <c r="V49" i="2"/>
  <c r="T49" i="2"/>
  <c r="Q49" i="2"/>
  <c r="O49" i="2"/>
  <c r="M49" i="2"/>
  <c r="J49" i="2"/>
  <c r="H49" i="2"/>
  <c r="F49" i="2"/>
  <c r="D49" i="2"/>
  <c r="AQ48" i="2"/>
  <c r="AO48" i="2"/>
  <c r="AL48" i="2"/>
  <c r="AJ48" i="2"/>
  <c r="AH48" i="2"/>
  <c r="AE48" i="2"/>
  <c r="AC48" i="2"/>
  <c r="AA48" i="2"/>
  <c r="X48" i="2"/>
  <c r="V48" i="2"/>
  <c r="T48" i="2"/>
  <c r="Q48" i="2"/>
  <c r="O48" i="2"/>
  <c r="M48" i="2"/>
  <c r="J48" i="2"/>
  <c r="H48" i="2"/>
  <c r="F48" i="2"/>
  <c r="D48" i="2"/>
  <c r="AQ47" i="2"/>
  <c r="AO47" i="2"/>
  <c r="AL47" i="2"/>
  <c r="AJ47" i="2"/>
  <c r="AH47" i="2"/>
  <c r="AE47" i="2"/>
  <c r="AC47" i="2"/>
  <c r="AA47" i="2"/>
  <c r="X47" i="2"/>
  <c r="V47" i="2"/>
  <c r="T47" i="2"/>
  <c r="Q47" i="2"/>
  <c r="O47" i="2"/>
  <c r="M47" i="2"/>
  <c r="J47" i="2"/>
  <c r="H47" i="2"/>
  <c r="F47" i="2"/>
  <c r="D47" i="2"/>
  <c r="AQ46" i="2"/>
  <c r="AO46" i="2"/>
  <c r="AL46" i="2"/>
  <c r="AJ46" i="2"/>
  <c r="AH46" i="2"/>
  <c r="AE46" i="2"/>
  <c r="AC46" i="2"/>
  <c r="AA46" i="2"/>
  <c r="X46" i="2"/>
  <c r="V46" i="2"/>
  <c r="T46" i="2"/>
  <c r="Q46" i="2"/>
  <c r="O46" i="2"/>
  <c r="M46" i="2"/>
  <c r="J46" i="2"/>
  <c r="H46" i="2"/>
  <c r="F46" i="2"/>
  <c r="D46" i="2"/>
  <c r="AQ45" i="2"/>
  <c r="AO45" i="2"/>
  <c r="AL45" i="2"/>
  <c r="AJ45" i="2"/>
  <c r="AH45" i="2"/>
  <c r="AE45" i="2"/>
  <c r="AC45" i="2"/>
  <c r="AA45" i="2"/>
  <c r="X45" i="2"/>
  <c r="V45" i="2"/>
  <c r="T45" i="2"/>
  <c r="Q45" i="2"/>
  <c r="O45" i="2"/>
  <c r="M45" i="2"/>
  <c r="J45" i="2"/>
  <c r="H45" i="2"/>
  <c r="F45" i="2"/>
  <c r="D45" i="2"/>
  <c r="AQ44" i="2"/>
  <c r="AO44" i="2"/>
  <c r="AL44" i="2"/>
  <c r="AJ44" i="2"/>
  <c r="AH44" i="2"/>
  <c r="AE44" i="2"/>
  <c r="AC44" i="2"/>
  <c r="AA44" i="2"/>
  <c r="X44" i="2"/>
  <c r="V44" i="2"/>
  <c r="T44" i="2"/>
  <c r="Q44" i="2"/>
  <c r="O44" i="2"/>
  <c r="M44" i="2"/>
  <c r="J44" i="2"/>
  <c r="H44" i="2"/>
  <c r="F44" i="2"/>
  <c r="D44" i="2"/>
  <c r="AQ43" i="2"/>
  <c r="AO43" i="2"/>
  <c r="AL43" i="2"/>
  <c r="AJ43" i="2"/>
  <c r="AH43" i="2"/>
  <c r="AE43" i="2"/>
  <c r="AC43" i="2"/>
  <c r="AA43" i="2"/>
  <c r="X43" i="2"/>
  <c r="V43" i="2"/>
  <c r="T43" i="2"/>
  <c r="Q43" i="2"/>
  <c r="O43" i="2"/>
  <c r="M43" i="2"/>
  <c r="J43" i="2"/>
  <c r="H43" i="2"/>
  <c r="F43" i="2"/>
  <c r="D43" i="2"/>
  <c r="S72" i="1"/>
  <c r="T72" i="1" s="1"/>
  <c r="U72" i="1" s="1"/>
  <c r="Q72" i="1"/>
  <c r="R72" i="1" s="1"/>
  <c r="M72" i="1"/>
  <c r="N72" i="1" s="1"/>
  <c r="O72" i="1" s="1"/>
  <c r="J72" i="1"/>
  <c r="K72" i="1" s="1"/>
  <c r="L72" i="1" s="1"/>
  <c r="G72" i="1"/>
  <c r="H72" i="1" s="1"/>
  <c r="I72" i="1" s="1"/>
  <c r="D72" i="1"/>
  <c r="E72" i="1" s="1"/>
  <c r="F72" i="1" s="1"/>
  <c r="S82" i="1"/>
  <c r="T82" i="1" s="1"/>
  <c r="U82" i="1" s="1"/>
  <c r="Q82" i="1"/>
  <c r="R82" i="1" s="1"/>
  <c r="M82" i="1"/>
  <c r="N82" i="1" s="1"/>
  <c r="O82" i="1" s="1"/>
  <c r="J82" i="1"/>
  <c r="K82" i="1" s="1"/>
  <c r="L82" i="1" s="1"/>
  <c r="G82" i="1"/>
  <c r="H82" i="1" s="1"/>
  <c r="I82" i="1" s="1"/>
  <c r="D82" i="1"/>
  <c r="E82" i="1" s="1"/>
  <c r="F82" i="1" s="1"/>
  <c r="S81" i="1"/>
  <c r="T81" i="1" s="1"/>
  <c r="U81" i="1" s="1"/>
  <c r="Q81" i="1"/>
  <c r="R81" i="1" s="1"/>
  <c r="M81" i="1"/>
  <c r="N81" i="1" s="1"/>
  <c r="O81" i="1" s="1"/>
  <c r="J81" i="1"/>
  <c r="K81" i="1" s="1"/>
  <c r="L81" i="1" s="1"/>
  <c r="G81" i="1"/>
  <c r="H81" i="1" s="1"/>
  <c r="I81" i="1" s="1"/>
  <c r="D81" i="1"/>
  <c r="E81" i="1" s="1"/>
  <c r="F81" i="1" s="1"/>
  <c r="S80" i="1"/>
  <c r="T80" i="1" s="1"/>
  <c r="U80" i="1" s="1"/>
  <c r="Q80" i="1"/>
  <c r="R80" i="1" s="1"/>
  <c r="M80" i="1"/>
  <c r="N80" i="1" s="1"/>
  <c r="O80" i="1" s="1"/>
  <c r="J80" i="1"/>
  <c r="K80" i="1" s="1"/>
  <c r="L80" i="1" s="1"/>
  <c r="G80" i="1"/>
  <c r="H80" i="1" s="1"/>
  <c r="I80" i="1" s="1"/>
  <c r="D80" i="1"/>
  <c r="E80" i="1" s="1"/>
  <c r="F80" i="1" s="1"/>
  <c r="S79" i="1"/>
  <c r="T79" i="1" s="1"/>
  <c r="U79" i="1" s="1"/>
  <c r="Q79" i="1"/>
  <c r="R79" i="1" s="1"/>
  <c r="M79" i="1"/>
  <c r="N79" i="1" s="1"/>
  <c r="O79" i="1" s="1"/>
  <c r="J79" i="1"/>
  <c r="K79" i="1" s="1"/>
  <c r="L79" i="1" s="1"/>
  <c r="G79" i="1"/>
  <c r="H79" i="1" s="1"/>
  <c r="I79" i="1" s="1"/>
  <c r="D79" i="1"/>
  <c r="E79" i="1" s="1"/>
  <c r="F79" i="1" s="1"/>
  <c r="S78" i="1"/>
  <c r="T78" i="1" s="1"/>
  <c r="U78" i="1" s="1"/>
  <c r="Q78" i="1"/>
  <c r="R78" i="1" s="1"/>
  <c r="M78" i="1"/>
  <c r="N78" i="1" s="1"/>
  <c r="O78" i="1" s="1"/>
  <c r="J78" i="1"/>
  <c r="K78" i="1" s="1"/>
  <c r="L78" i="1" s="1"/>
  <c r="G78" i="1"/>
  <c r="H78" i="1" s="1"/>
  <c r="I78" i="1" s="1"/>
  <c r="D78" i="1"/>
  <c r="E78" i="1" s="1"/>
  <c r="F78" i="1" s="1"/>
  <c r="S77" i="1"/>
  <c r="T77" i="1" s="1"/>
  <c r="U77" i="1" s="1"/>
  <c r="Q77" i="1"/>
  <c r="R77" i="1" s="1"/>
  <c r="M77" i="1"/>
  <c r="N77" i="1" s="1"/>
  <c r="O77" i="1" s="1"/>
  <c r="J77" i="1"/>
  <c r="K77" i="1" s="1"/>
  <c r="L77" i="1" s="1"/>
  <c r="G77" i="1"/>
  <c r="H77" i="1" s="1"/>
  <c r="I77" i="1" s="1"/>
  <c r="D77" i="1"/>
  <c r="E77" i="1" s="1"/>
  <c r="F77" i="1" s="1"/>
  <c r="S76" i="1"/>
  <c r="T76" i="1" s="1"/>
  <c r="U76" i="1" s="1"/>
  <c r="Q76" i="1"/>
  <c r="R76" i="1" s="1"/>
  <c r="M76" i="1"/>
  <c r="N76" i="1" s="1"/>
  <c r="O76" i="1" s="1"/>
  <c r="J76" i="1"/>
  <c r="K76" i="1" s="1"/>
  <c r="L76" i="1" s="1"/>
  <c r="G76" i="1"/>
  <c r="H76" i="1" s="1"/>
  <c r="I76" i="1" s="1"/>
  <c r="D76" i="1"/>
  <c r="E76" i="1" s="1"/>
  <c r="F76" i="1" s="1"/>
  <c r="S85" i="1"/>
  <c r="T85" i="1" s="1"/>
  <c r="U85" i="1" s="1"/>
  <c r="Q85" i="1"/>
  <c r="R85" i="1" s="1"/>
  <c r="M85" i="1"/>
  <c r="N85" i="1" s="1"/>
  <c r="O85" i="1" s="1"/>
  <c r="J85" i="1"/>
  <c r="K85" i="1" s="1"/>
  <c r="L85" i="1" s="1"/>
  <c r="G85" i="1"/>
  <c r="H85" i="1" s="1"/>
  <c r="I85" i="1" s="1"/>
  <c r="D85" i="1"/>
  <c r="E85" i="1" s="1"/>
  <c r="F85" i="1" s="1"/>
  <c r="S84" i="1"/>
  <c r="T84" i="1" s="1"/>
  <c r="U84" i="1" s="1"/>
  <c r="Q84" i="1"/>
  <c r="R84" i="1" s="1"/>
  <c r="M84" i="1"/>
  <c r="N84" i="1" s="1"/>
  <c r="O84" i="1" s="1"/>
  <c r="J84" i="1"/>
  <c r="K84" i="1" s="1"/>
  <c r="L84" i="1" s="1"/>
  <c r="G84" i="1"/>
  <c r="H84" i="1" s="1"/>
  <c r="I84" i="1" s="1"/>
  <c r="D84" i="1"/>
  <c r="E84" i="1" s="1"/>
  <c r="F84" i="1" s="1"/>
  <c r="S83" i="1"/>
  <c r="T83" i="1" s="1"/>
  <c r="U83" i="1" s="1"/>
  <c r="Q83" i="1"/>
  <c r="R83" i="1" s="1"/>
  <c r="M83" i="1"/>
  <c r="N83" i="1" s="1"/>
  <c r="O83" i="1" s="1"/>
  <c r="J83" i="1"/>
  <c r="K83" i="1" s="1"/>
  <c r="L83" i="1" s="1"/>
  <c r="G83" i="1"/>
  <c r="H83" i="1" s="1"/>
  <c r="I83" i="1" s="1"/>
  <c r="D83" i="1"/>
  <c r="E83" i="1" s="1"/>
  <c r="F83" i="1" s="1"/>
  <c r="S75" i="1"/>
  <c r="T75" i="1" s="1"/>
  <c r="U75" i="1" s="1"/>
  <c r="Q75" i="1"/>
  <c r="R75" i="1" s="1"/>
  <c r="M75" i="1"/>
  <c r="N75" i="1" s="1"/>
  <c r="O75" i="1" s="1"/>
  <c r="J75" i="1"/>
  <c r="K75" i="1" s="1"/>
  <c r="L75" i="1" s="1"/>
  <c r="G75" i="1"/>
  <c r="H75" i="1" s="1"/>
  <c r="I75" i="1" s="1"/>
  <c r="D75" i="1"/>
  <c r="E75" i="1" s="1"/>
  <c r="F75" i="1" s="1"/>
  <c r="S74" i="1"/>
  <c r="T74" i="1" s="1"/>
  <c r="U74" i="1" s="1"/>
  <c r="Q74" i="1"/>
  <c r="R74" i="1" s="1"/>
  <c r="M74" i="1"/>
  <c r="N74" i="1" s="1"/>
  <c r="O74" i="1" s="1"/>
  <c r="J74" i="1"/>
  <c r="K74" i="1" s="1"/>
  <c r="L74" i="1" s="1"/>
  <c r="G74" i="1"/>
  <c r="H74" i="1" s="1"/>
  <c r="I74" i="1" s="1"/>
  <c r="D74" i="1"/>
  <c r="E74" i="1" s="1"/>
  <c r="F74" i="1" s="1"/>
  <c r="S73" i="1"/>
  <c r="T73" i="1" s="1"/>
  <c r="U73" i="1" s="1"/>
  <c r="Q73" i="1"/>
  <c r="R73" i="1" s="1"/>
  <c r="M73" i="1"/>
  <c r="N73" i="1" s="1"/>
  <c r="O73" i="1" s="1"/>
  <c r="J73" i="1"/>
  <c r="K73" i="1" s="1"/>
  <c r="L73" i="1" s="1"/>
  <c r="G73" i="1"/>
  <c r="H73" i="1" s="1"/>
  <c r="I73" i="1" s="1"/>
  <c r="D73" i="1"/>
  <c r="E73" i="1" s="1"/>
  <c r="F73" i="1" s="1"/>
  <c r="S71" i="1"/>
  <c r="T71" i="1" s="1"/>
  <c r="U71" i="1" s="1"/>
  <c r="Q71" i="1"/>
  <c r="R71" i="1" s="1"/>
  <c r="M71" i="1"/>
  <c r="N71" i="1" s="1"/>
  <c r="O71" i="1" s="1"/>
  <c r="J71" i="1"/>
  <c r="K71" i="1" s="1"/>
  <c r="L71" i="1" s="1"/>
  <c r="G71" i="1"/>
  <c r="H71" i="1" s="1"/>
  <c r="I71" i="1" s="1"/>
  <c r="D71" i="1"/>
  <c r="E71" i="1" s="1"/>
  <c r="F71" i="1" s="1"/>
  <c r="S70" i="1"/>
  <c r="T70" i="1" s="1"/>
  <c r="U70" i="1" s="1"/>
  <c r="Q70" i="1"/>
  <c r="R70" i="1" s="1"/>
  <c r="M70" i="1"/>
  <c r="N70" i="1" s="1"/>
  <c r="O70" i="1" s="1"/>
  <c r="J70" i="1"/>
  <c r="K70" i="1" s="1"/>
  <c r="L70" i="1" s="1"/>
  <c r="G70" i="1"/>
  <c r="H70" i="1" s="1"/>
  <c r="I70" i="1" s="1"/>
  <c r="D70" i="1"/>
  <c r="E70" i="1" s="1"/>
  <c r="F70" i="1" s="1"/>
  <c r="S69" i="1"/>
  <c r="T69" i="1" s="1"/>
  <c r="U69" i="1" s="1"/>
  <c r="Q69" i="1"/>
  <c r="R69" i="1" s="1"/>
  <c r="M69" i="1"/>
  <c r="N69" i="1" s="1"/>
  <c r="O69" i="1" s="1"/>
  <c r="J69" i="1"/>
  <c r="K69" i="1" s="1"/>
  <c r="L69" i="1" s="1"/>
  <c r="G69" i="1"/>
  <c r="H69" i="1" s="1"/>
  <c r="I69" i="1" s="1"/>
  <c r="D69" i="1"/>
  <c r="E69" i="1" s="1"/>
  <c r="F69" i="1" s="1"/>
  <c r="S68" i="1"/>
  <c r="T68" i="1" s="1"/>
  <c r="U68" i="1" s="1"/>
  <c r="Q68" i="1"/>
  <c r="R68" i="1" s="1"/>
  <c r="M68" i="1"/>
  <c r="N68" i="1" s="1"/>
  <c r="O68" i="1" s="1"/>
  <c r="J68" i="1"/>
  <c r="K68" i="1" s="1"/>
  <c r="L68" i="1" s="1"/>
  <c r="G68" i="1"/>
  <c r="H68" i="1" s="1"/>
  <c r="I68" i="1" s="1"/>
  <c r="D68" i="1"/>
  <c r="E68" i="1" s="1"/>
  <c r="F68" i="1" s="1"/>
  <c r="S67" i="1"/>
  <c r="T67" i="1" s="1"/>
  <c r="U67" i="1" s="1"/>
  <c r="Q67" i="1"/>
  <c r="R67" i="1" s="1"/>
  <c r="M67" i="1"/>
  <c r="N67" i="1" s="1"/>
  <c r="O67" i="1" s="1"/>
  <c r="J67" i="1"/>
  <c r="K67" i="1" s="1"/>
  <c r="L67" i="1" s="1"/>
  <c r="G67" i="1"/>
  <c r="H67" i="1" s="1"/>
  <c r="I67" i="1" s="1"/>
  <c r="D67" i="1"/>
  <c r="E67" i="1" s="1"/>
  <c r="F67" i="1" s="1"/>
  <c r="S66" i="1"/>
  <c r="T66" i="1" s="1"/>
  <c r="U66" i="1" s="1"/>
  <c r="Q66" i="1"/>
  <c r="R66" i="1" s="1"/>
  <c r="M66" i="1"/>
  <c r="N66" i="1" s="1"/>
  <c r="O66" i="1" s="1"/>
  <c r="J66" i="1"/>
  <c r="K66" i="1" s="1"/>
  <c r="L66" i="1" s="1"/>
  <c r="G66" i="1"/>
  <c r="H66" i="1" s="1"/>
  <c r="I66" i="1" s="1"/>
  <c r="D66" i="1"/>
  <c r="E66" i="1" s="1"/>
  <c r="F66" i="1" s="1"/>
  <c r="S65" i="1"/>
  <c r="T65" i="1" s="1"/>
  <c r="U65" i="1" s="1"/>
  <c r="Q65" i="1"/>
  <c r="R65" i="1" s="1"/>
  <c r="M65" i="1"/>
  <c r="N65" i="1" s="1"/>
  <c r="O65" i="1" s="1"/>
  <c r="J65" i="1"/>
  <c r="K65" i="1" s="1"/>
  <c r="L65" i="1" s="1"/>
  <c r="G65" i="1"/>
  <c r="H65" i="1" s="1"/>
  <c r="I65" i="1" s="1"/>
  <c r="D65" i="1"/>
  <c r="E65" i="1" s="1"/>
  <c r="F65" i="1" s="1"/>
  <c r="S64" i="1"/>
  <c r="Q64" i="1"/>
  <c r="R64" i="1" s="1"/>
  <c r="AK70" i="2" s="1"/>
  <c r="M64" i="1"/>
  <c r="N64" i="1" s="1"/>
  <c r="O64" i="1" s="1"/>
  <c r="AD70" i="2" s="1"/>
  <c r="J64" i="1"/>
  <c r="K64" i="1" s="1"/>
  <c r="L64" i="1" s="1"/>
  <c r="W70" i="2" s="1"/>
  <c r="S70" i="2" s="1"/>
  <c r="G64" i="1"/>
  <c r="H64" i="1" s="1"/>
  <c r="I64" i="1" s="1"/>
  <c r="P70" i="2" s="1"/>
  <c r="L70" i="2" s="1"/>
  <c r="D64" i="1"/>
  <c r="E64" i="1" s="1"/>
  <c r="F64" i="1" s="1"/>
  <c r="I70" i="2" s="1"/>
  <c r="S63" i="1"/>
  <c r="T63" i="1" s="1"/>
  <c r="U63" i="1" s="1"/>
  <c r="AR69" i="2" s="1"/>
  <c r="Q63" i="1"/>
  <c r="R63" i="1" s="1"/>
  <c r="AK69" i="2" s="1"/>
  <c r="M63" i="1"/>
  <c r="N63" i="1" s="1"/>
  <c r="O63" i="1" s="1"/>
  <c r="AD69" i="2" s="1"/>
  <c r="J63" i="1"/>
  <c r="K63" i="1" s="1"/>
  <c r="L63" i="1" s="1"/>
  <c r="W69" i="2" s="1"/>
  <c r="S69" i="2" s="1"/>
  <c r="G63" i="1"/>
  <c r="H63" i="1" s="1"/>
  <c r="I63" i="1" s="1"/>
  <c r="P69" i="2" s="1"/>
  <c r="L69" i="2" s="1"/>
  <c r="D63" i="1"/>
  <c r="E63" i="1" s="1"/>
  <c r="F63" i="1" s="1"/>
  <c r="I69" i="2" s="1"/>
  <c r="S62" i="1"/>
  <c r="T62" i="1" s="1"/>
  <c r="U62" i="1" s="1"/>
  <c r="AR68" i="2" s="1"/>
  <c r="Q62" i="1"/>
  <c r="R62" i="1" s="1"/>
  <c r="AK68" i="2" s="1"/>
  <c r="M62" i="1"/>
  <c r="N62" i="1" s="1"/>
  <c r="O62" i="1" s="1"/>
  <c r="AD68" i="2" s="1"/>
  <c r="J62" i="1"/>
  <c r="K62" i="1" s="1"/>
  <c r="L62" i="1" s="1"/>
  <c r="W68" i="2" s="1"/>
  <c r="S68" i="2" s="1"/>
  <c r="G62" i="1"/>
  <c r="H62" i="1" s="1"/>
  <c r="I62" i="1" s="1"/>
  <c r="P68" i="2" s="1"/>
  <c r="L68" i="2" s="1"/>
  <c r="D62" i="1"/>
  <c r="E62" i="1" s="1"/>
  <c r="F62" i="1" s="1"/>
  <c r="I68" i="2" s="1"/>
  <c r="S61" i="1"/>
  <c r="T61" i="1" s="1"/>
  <c r="U61" i="1" s="1"/>
  <c r="AR67" i="2" s="1"/>
  <c r="Q61" i="1"/>
  <c r="R61" i="1" s="1"/>
  <c r="AK67" i="2" s="1"/>
  <c r="M61" i="1"/>
  <c r="N61" i="1" s="1"/>
  <c r="O61" i="1" s="1"/>
  <c r="AD67" i="2" s="1"/>
  <c r="J61" i="1"/>
  <c r="K61" i="1" s="1"/>
  <c r="L61" i="1" s="1"/>
  <c r="W67" i="2" s="1"/>
  <c r="S67" i="2" s="1"/>
  <c r="G61" i="1"/>
  <c r="H61" i="1" s="1"/>
  <c r="I61" i="1" s="1"/>
  <c r="P67" i="2" s="1"/>
  <c r="L67" i="2" s="1"/>
  <c r="D61" i="1"/>
  <c r="E61" i="1" s="1"/>
  <c r="F61" i="1" s="1"/>
  <c r="I67" i="2" s="1"/>
  <c r="S60" i="1"/>
  <c r="T60" i="1" s="1"/>
  <c r="U60" i="1" s="1"/>
  <c r="AR66" i="2" s="1"/>
  <c r="P60" i="1"/>
  <c r="Q60" i="1" s="1"/>
  <c r="R60" i="1" s="1"/>
  <c r="AK66" i="2" s="1"/>
  <c r="M60" i="1"/>
  <c r="N60" i="1" s="1"/>
  <c r="O60" i="1" s="1"/>
  <c r="AD66" i="2" s="1"/>
  <c r="J60" i="1"/>
  <c r="K60" i="1" s="1"/>
  <c r="L60" i="1" s="1"/>
  <c r="W66" i="2" s="1"/>
  <c r="S66" i="2" s="1"/>
  <c r="G60" i="1"/>
  <c r="H60" i="1" s="1"/>
  <c r="I60" i="1" s="1"/>
  <c r="P66" i="2" s="1"/>
  <c r="L66" i="2" s="1"/>
  <c r="D60" i="1"/>
  <c r="E60" i="1" s="1"/>
  <c r="F60" i="1" s="1"/>
  <c r="I66" i="2" s="1"/>
  <c r="S59" i="1"/>
  <c r="T59" i="1" s="1"/>
  <c r="U59" i="1" s="1"/>
  <c r="AR65" i="2" s="1"/>
  <c r="P59" i="1"/>
  <c r="Q59" i="1" s="1"/>
  <c r="R59" i="1" s="1"/>
  <c r="AK65" i="2" s="1"/>
  <c r="M59" i="1"/>
  <c r="N59" i="1" s="1"/>
  <c r="O59" i="1" s="1"/>
  <c r="AD65" i="2" s="1"/>
  <c r="J59" i="1"/>
  <c r="K59" i="1" s="1"/>
  <c r="L59" i="1" s="1"/>
  <c r="W65" i="2" s="1"/>
  <c r="S65" i="2" s="1"/>
  <c r="G59" i="1"/>
  <c r="H59" i="1" s="1"/>
  <c r="I59" i="1" s="1"/>
  <c r="P65" i="2" s="1"/>
  <c r="L65" i="2" s="1"/>
  <c r="D59" i="1"/>
  <c r="E59" i="1" s="1"/>
  <c r="F59" i="1" s="1"/>
  <c r="I65" i="2" s="1"/>
  <c r="S58" i="1"/>
  <c r="T58" i="1" s="1"/>
  <c r="U58" i="1" s="1"/>
  <c r="AR64" i="2" s="1"/>
  <c r="P58" i="1"/>
  <c r="Q58" i="1" s="1"/>
  <c r="R58" i="1" s="1"/>
  <c r="AK64" i="2" s="1"/>
  <c r="M58" i="1"/>
  <c r="N58" i="1" s="1"/>
  <c r="O58" i="1" s="1"/>
  <c r="AD64" i="2" s="1"/>
  <c r="J58" i="1"/>
  <c r="K58" i="1" s="1"/>
  <c r="L58" i="1" s="1"/>
  <c r="W64" i="2" s="1"/>
  <c r="S64" i="2" s="1"/>
  <c r="G58" i="1"/>
  <c r="H58" i="1" s="1"/>
  <c r="I58" i="1" s="1"/>
  <c r="P64" i="2" s="1"/>
  <c r="L64" i="2" s="1"/>
  <c r="D58" i="1"/>
  <c r="E58" i="1" s="1"/>
  <c r="F58" i="1" s="1"/>
  <c r="I64" i="2" s="1"/>
  <c r="S57" i="1"/>
  <c r="T57" i="1" s="1"/>
  <c r="U57" i="1" s="1"/>
  <c r="AR63" i="2" s="1"/>
  <c r="P57" i="1"/>
  <c r="Q57" i="1" s="1"/>
  <c r="R57" i="1" s="1"/>
  <c r="AK63" i="2" s="1"/>
  <c r="M57" i="1"/>
  <c r="N57" i="1" s="1"/>
  <c r="O57" i="1" s="1"/>
  <c r="AD63" i="2" s="1"/>
  <c r="J57" i="1"/>
  <c r="K57" i="1" s="1"/>
  <c r="L57" i="1" s="1"/>
  <c r="W63" i="2" s="1"/>
  <c r="S63" i="2" s="1"/>
  <c r="G57" i="1"/>
  <c r="H57" i="1" s="1"/>
  <c r="I57" i="1" s="1"/>
  <c r="P63" i="2" s="1"/>
  <c r="L63" i="2" s="1"/>
  <c r="D57" i="1"/>
  <c r="E57" i="1" s="1"/>
  <c r="F57" i="1" s="1"/>
  <c r="I63" i="2" s="1"/>
  <c r="S56" i="1"/>
  <c r="P56" i="1"/>
  <c r="Q56" i="1" s="1"/>
  <c r="R56" i="1" s="1"/>
  <c r="AK62" i="2" s="1"/>
  <c r="M56" i="1"/>
  <c r="N56" i="1" s="1"/>
  <c r="O56" i="1" s="1"/>
  <c r="AD62" i="2" s="1"/>
  <c r="J56" i="1"/>
  <c r="K56" i="1" s="1"/>
  <c r="L56" i="1" s="1"/>
  <c r="W62" i="2" s="1"/>
  <c r="S62" i="2" s="1"/>
  <c r="G56" i="1"/>
  <c r="H56" i="1" s="1"/>
  <c r="I56" i="1" s="1"/>
  <c r="P62" i="2" s="1"/>
  <c r="L62" i="2" s="1"/>
  <c r="D56" i="1"/>
  <c r="E56" i="1" s="1"/>
  <c r="F56" i="1" s="1"/>
  <c r="I62" i="2" s="1"/>
  <c r="AQ70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J70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C70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V70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O70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T64" i="1" l="1"/>
  <c r="U64" i="1" s="1"/>
  <c r="AR70" i="2" s="1"/>
  <c r="AG62" i="2"/>
  <c r="AG67" i="2"/>
  <c r="AN65" i="2"/>
  <c r="C67" i="2"/>
  <c r="E67" i="2" s="1"/>
  <c r="T56" i="1"/>
  <c r="U56" i="1" s="1"/>
  <c r="AR62" i="2" s="1"/>
  <c r="AN62" i="2" s="1"/>
  <c r="AG66" i="2"/>
  <c r="C64" i="2"/>
  <c r="E64" i="2" s="1"/>
  <c r="Z64" i="2"/>
  <c r="AN67" i="2"/>
  <c r="AN64" i="2"/>
  <c r="Z69" i="2"/>
  <c r="AG69" i="2"/>
  <c r="Z66" i="2"/>
  <c r="Z67" i="2"/>
  <c r="AN69" i="2"/>
  <c r="AG64" i="2"/>
  <c r="AN66" i="2"/>
  <c r="AG68" i="2"/>
  <c r="AN63" i="2"/>
  <c r="Z62" i="2"/>
  <c r="Z65" i="2"/>
  <c r="C63" i="2"/>
  <c r="E63" i="2" s="1"/>
  <c r="C62" i="2"/>
  <c r="E62" i="2" s="1"/>
  <c r="C65" i="2"/>
  <c r="E65" i="2" s="1"/>
  <c r="AG65" i="2"/>
  <c r="C69" i="2"/>
  <c r="E69" i="2" s="1"/>
  <c r="C66" i="2"/>
  <c r="E66" i="2" s="1"/>
  <c r="C68" i="2"/>
  <c r="E68" i="2" s="1"/>
  <c r="AG63" i="2"/>
  <c r="AN68" i="2"/>
  <c r="AL70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E70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X70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Q70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J70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X22" i="1"/>
  <c r="S90" i="1"/>
  <c r="T90" i="1" s="1"/>
  <c r="S89" i="1"/>
  <c r="T89" i="1" s="1"/>
  <c r="S88" i="1"/>
  <c r="T88" i="1" s="1"/>
  <c r="S87" i="1"/>
  <c r="T87" i="1" s="1"/>
  <c r="S86" i="1"/>
  <c r="T86" i="1" s="1"/>
  <c r="S55" i="1"/>
  <c r="S54" i="1"/>
  <c r="S53" i="1"/>
  <c r="S52" i="1"/>
  <c r="S51" i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Q90" i="1"/>
  <c r="Q89" i="1"/>
  <c r="Q88" i="1"/>
  <c r="Q87" i="1"/>
  <c r="Q86" i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M90" i="1"/>
  <c r="N90" i="1" s="1"/>
  <c r="M89" i="1"/>
  <c r="N89" i="1" s="1"/>
  <c r="M88" i="1"/>
  <c r="N88" i="1" s="1"/>
  <c r="M87" i="1"/>
  <c r="N87" i="1" s="1"/>
  <c r="M86" i="1"/>
  <c r="N8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M4" i="1"/>
  <c r="N4" i="1" s="1"/>
  <c r="J90" i="1"/>
  <c r="K90" i="1" s="1"/>
  <c r="J89" i="1"/>
  <c r="K89" i="1" s="1"/>
  <c r="J88" i="1"/>
  <c r="J87" i="1"/>
  <c r="K87" i="1" s="1"/>
  <c r="J86" i="1"/>
  <c r="K8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J36" i="1"/>
  <c r="K36" i="1" s="1"/>
  <c r="J35" i="1"/>
  <c r="K35" i="1" s="1"/>
  <c r="J34" i="1"/>
  <c r="K34" i="1" s="1"/>
  <c r="J33" i="1"/>
  <c r="J32" i="1"/>
  <c r="K32" i="1" s="1"/>
  <c r="J31" i="1"/>
  <c r="J30" i="1"/>
  <c r="K30" i="1" s="1"/>
  <c r="J29" i="1"/>
  <c r="K29" i="1" s="1"/>
  <c r="J28" i="1"/>
  <c r="K28" i="1" s="1"/>
  <c r="J27" i="1"/>
  <c r="K27" i="1" s="1"/>
  <c r="J26" i="1"/>
  <c r="J25" i="1"/>
  <c r="K25" i="1" s="1"/>
  <c r="J24" i="1"/>
  <c r="K24" i="1" s="1"/>
  <c r="J23" i="1"/>
  <c r="J22" i="1"/>
  <c r="K22" i="1" s="1"/>
  <c r="J21" i="1"/>
  <c r="J20" i="1"/>
  <c r="K20" i="1" s="1"/>
  <c r="J19" i="1"/>
  <c r="K19" i="1" s="1"/>
  <c r="J18" i="1"/>
  <c r="J17" i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J4" i="1"/>
  <c r="G90" i="1"/>
  <c r="H90" i="1" s="1"/>
  <c r="G89" i="1"/>
  <c r="H89" i="1" s="1"/>
  <c r="G88" i="1"/>
  <c r="H88" i="1" s="1"/>
  <c r="G87" i="1"/>
  <c r="H87" i="1" s="1"/>
  <c r="G86" i="1"/>
  <c r="H86" i="1" s="1"/>
  <c r="G55" i="1"/>
  <c r="G54" i="1"/>
  <c r="G53" i="1"/>
  <c r="G52" i="1"/>
  <c r="G51" i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D90" i="1"/>
  <c r="E90" i="1" s="1"/>
  <c r="D89" i="1"/>
  <c r="E89" i="1" s="1"/>
  <c r="D88" i="1"/>
  <c r="E88" i="1" s="1"/>
  <c r="D87" i="1"/>
  <c r="E87" i="1" s="1"/>
  <c r="D86" i="1"/>
  <c r="E8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AO70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N5" i="2"/>
  <c r="AO4" i="2"/>
  <c r="AN4" i="2"/>
  <c r="AL2" i="2"/>
  <c r="AH70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G5" i="2"/>
  <c r="AH4" i="2"/>
  <c r="AG4" i="2"/>
  <c r="AE2" i="2"/>
  <c r="AA70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Z5" i="2"/>
  <c r="AA4" i="2"/>
  <c r="Z4" i="2"/>
  <c r="X2" i="2"/>
  <c r="T70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S5" i="2"/>
  <c r="T4" i="2"/>
  <c r="S4" i="2"/>
  <c r="Q2" i="2"/>
  <c r="H70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M70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F70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70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AB16" i="1" l="1"/>
  <c r="AB8" i="1"/>
  <c r="AB14" i="1"/>
  <c r="AB20" i="1"/>
  <c r="AB12" i="1"/>
  <c r="AB19" i="1"/>
  <c r="AB11" i="1"/>
  <c r="AB15" i="1"/>
  <c r="AB18" i="1"/>
  <c r="AB10" i="1"/>
  <c r="AB17" i="1"/>
  <c r="AB9" i="1"/>
  <c r="AB7" i="1"/>
  <c r="AB21" i="1"/>
  <c r="AB13" i="1"/>
  <c r="Z68" i="2"/>
  <c r="Z63" i="2"/>
  <c r="H55" i="1"/>
  <c r="Q4" i="1"/>
  <c r="P91" i="1"/>
  <c r="T51" i="1"/>
  <c r="T53" i="1"/>
  <c r="T54" i="1"/>
  <c r="H51" i="1"/>
  <c r="T55" i="1"/>
  <c r="H52" i="1"/>
  <c r="H54" i="1"/>
  <c r="T52" i="1"/>
  <c r="H53" i="1"/>
  <c r="K4" i="1"/>
  <c r="N5" i="1"/>
  <c r="K18" i="1"/>
  <c r="K5" i="1"/>
  <c r="K21" i="1"/>
  <c r="K37" i="1"/>
  <c r="K26" i="1"/>
  <c r="K88" i="1"/>
  <c r="K17" i="1"/>
  <c r="K33" i="1"/>
  <c r="K23" i="1"/>
  <c r="K31" i="1"/>
  <c r="J2" i="2"/>
  <c r="L4" i="2"/>
  <c r="L5" i="2"/>
  <c r="U15" i="1"/>
  <c r="AR21" i="2" s="1"/>
  <c r="R15" i="1"/>
  <c r="AK21" i="2" s="1"/>
  <c r="L7" i="1"/>
  <c r="W13" i="2" s="1"/>
  <c r="S13" i="2" s="1"/>
  <c r="L15" i="1"/>
  <c r="W21" i="2" s="1"/>
  <c r="S21" i="2" s="1"/>
  <c r="L22" i="1"/>
  <c r="W28" i="2" s="1"/>
  <c r="S28" i="2" s="1"/>
  <c r="L24" i="1"/>
  <c r="W30" i="2" s="1"/>
  <c r="S30" i="2" s="1"/>
  <c r="L25" i="1"/>
  <c r="W31" i="2" s="1"/>
  <c r="S31" i="2" s="1"/>
  <c r="L29" i="1"/>
  <c r="W35" i="2" s="1"/>
  <c r="S35" i="2" s="1"/>
  <c r="L51" i="1"/>
  <c r="W57" i="2" s="1"/>
  <c r="S57" i="2" s="1"/>
  <c r="L52" i="1"/>
  <c r="W58" i="2" s="1"/>
  <c r="S58" i="2" s="1"/>
  <c r="L53" i="1"/>
  <c r="W59" i="2" s="1"/>
  <c r="S59" i="2" s="1"/>
  <c r="L55" i="1"/>
  <c r="W61" i="2" s="1"/>
  <c r="S61" i="2" s="1"/>
  <c r="F89" i="1"/>
  <c r="P93" i="1" l="1"/>
  <c r="L27" i="1"/>
  <c r="W33" i="2" s="1"/>
  <c r="S33" i="2" s="1"/>
  <c r="I89" i="1"/>
  <c r="L37" i="1"/>
  <c r="W43" i="2" s="1"/>
  <c r="S43" i="2" s="1"/>
  <c r="L6" i="1"/>
  <c r="W12" i="2" s="1"/>
  <c r="S12" i="2" s="1"/>
  <c r="L33" i="1"/>
  <c r="W39" i="2" s="1"/>
  <c r="S39" i="2" s="1"/>
  <c r="L23" i="1"/>
  <c r="W29" i="2" s="1"/>
  <c r="S29" i="2" s="1"/>
  <c r="L5" i="1"/>
  <c r="W11" i="2" s="1"/>
  <c r="S11" i="2" s="1"/>
  <c r="L31" i="1"/>
  <c r="W37" i="2" s="1"/>
  <c r="S37" i="2" s="1"/>
  <c r="L21" i="1"/>
  <c r="W27" i="2" s="1"/>
  <c r="S27" i="2" s="1"/>
  <c r="L28" i="1"/>
  <c r="W34" i="2" s="1"/>
  <c r="S34" i="2" s="1"/>
  <c r="L17" i="1"/>
  <c r="W23" i="2" s="1"/>
  <c r="S23" i="2" s="1"/>
  <c r="L26" i="1"/>
  <c r="W32" i="2" s="1"/>
  <c r="S32" i="2" s="1"/>
  <c r="L8" i="1"/>
  <c r="W14" i="2" s="1"/>
  <c r="S14" i="2" s="1"/>
  <c r="I88" i="1"/>
  <c r="I90" i="1"/>
  <c r="U90" i="1"/>
  <c r="R90" i="1"/>
  <c r="U89" i="1"/>
  <c r="U88" i="1"/>
  <c r="R89" i="1"/>
  <c r="R88" i="1"/>
  <c r="O88" i="1"/>
  <c r="O90" i="1"/>
  <c r="O89" i="1"/>
  <c r="F88" i="1"/>
  <c r="F90" i="1"/>
  <c r="I15" i="1"/>
  <c r="P21" i="2" s="1"/>
  <c r="L21" i="2" s="1"/>
  <c r="I16" i="1"/>
  <c r="P22" i="2" s="1"/>
  <c r="L22" i="2" s="1"/>
  <c r="I19" i="1"/>
  <c r="P25" i="2" s="1"/>
  <c r="L25" i="2" s="1"/>
  <c r="I20" i="1"/>
  <c r="P26" i="2" s="1"/>
  <c r="L26" i="2" s="1"/>
  <c r="I22" i="1"/>
  <c r="P28" i="2" s="1"/>
  <c r="L28" i="2" s="1"/>
  <c r="I24" i="1"/>
  <c r="P30" i="2" s="1"/>
  <c r="L30" i="2" s="1"/>
  <c r="I25" i="1"/>
  <c r="P31" i="2" s="1"/>
  <c r="L31" i="2" s="1"/>
  <c r="I29" i="1"/>
  <c r="P35" i="2" s="1"/>
  <c r="L35" i="2" s="1"/>
  <c r="I34" i="1"/>
  <c r="P40" i="2" s="1"/>
  <c r="L40" i="2" s="1"/>
  <c r="I51" i="1"/>
  <c r="P57" i="2" s="1"/>
  <c r="L57" i="2" s="1"/>
  <c r="I52" i="1"/>
  <c r="P58" i="2" s="1"/>
  <c r="L58" i="2" s="1"/>
  <c r="I53" i="1"/>
  <c r="P59" i="2" s="1"/>
  <c r="L59" i="2" s="1"/>
  <c r="I55" i="1"/>
  <c r="P61" i="2" s="1"/>
  <c r="L61" i="2" s="1"/>
  <c r="I86" i="1"/>
  <c r="O5" i="1"/>
  <c r="AD11" i="2" s="1"/>
  <c r="O6" i="1"/>
  <c r="AD12" i="2" s="1"/>
  <c r="O8" i="1"/>
  <c r="AD14" i="2" s="1"/>
  <c r="O9" i="1"/>
  <c r="AD15" i="2" s="1"/>
  <c r="O10" i="1"/>
  <c r="AD16" i="2" s="1"/>
  <c r="O11" i="1"/>
  <c r="AD17" i="2" s="1"/>
  <c r="O12" i="1"/>
  <c r="AD18" i="2" s="1"/>
  <c r="O13" i="1"/>
  <c r="AD19" i="2" s="1"/>
  <c r="O14" i="1"/>
  <c r="AD20" i="2" s="1"/>
  <c r="O16" i="1"/>
  <c r="AD22" i="2" s="1"/>
  <c r="O17" i="1"/>
  <c r="AD23" i="2" s="1"/>
  <c r="O18" i="1"/>
  <c r="AD24" i="2" s="1"/>
  <c r="O19" i="1"/>
  <c r="AD25" i="2" s="1"/>
  <c r="O20" i="1"/>
  <c r="AD26" i="2" s="1"/>
  <c r="O22" i="1"/>
  <c r="AD28" i="2" s="1"/>
  <c r="O23" i="1"/>
  <c r="AD29" i="2" s="1"/>
  <c r="O24" i="1"/>
  <c r="AD30" i="2" s="1"/>
  <c r="O25" i="1"/>
  <c r="AD31" i="2" s="1"/>
  <c r="O26" i="1"/>
  <c r="AD32" i="2" s="1"/>
  <c r="O27" i="1"/>
  <c r="AD33" i="2" s="1"/>
  <c r="O28" i="1"/>
  <c r="AD34" i="2" s="1"/>
  <c r="O29" i="1"/>
  <c r="AD35" i="2" s="1"/>
  <c r="O30" i="1"/>
  <c r="AD36" i="2" s="1"/>
  <c r="O31" i="1"/>
  <c r="AD37" i="2" s="1"/>
  <c r="O32" i="1"/>
  <c r="AD38" i="2" s="1"/>
  <c r="O33" i="1"/>
  <c r="AD39" i="2" s="1"/>
  <c r="O35" i="1"/>
  <c r="AD41" i="2" s="1"/>
  <c r="O36" i="1"/>
  <c r="AD42" i="2" s="1"/>
  <c r="O37" i="1"/>
  <c r="AD43" i="2" s="1"/>
  <c r="O38" i="1"/>
  <c r="AD44" i="2" s="1"/>
  <c r="O39" i="1"/>
  <c r="AD45" i="2" s="1"/>
  <c r="O40" i="1"/>
  <c r="AD46" i="2" s="1"/>
  <c r="O41" i="1"/>
  <c r="O4" i="1"/>
  <c r="AD10" i="2" s="1"/>
  <c r="F5" i="1"/>
  <c r="I11" i="2" s="1"/>
  <c r="F6" i="1"/>
  <c r="I12" i="2" s="1"/>
  <c r="F7" i="1"/>
  <c r="I13" i="2" s="1"/>
  <c r="F8" i="1"/>
  <c r="I14" i="2" s="1"/>
  <c r="F9" i="1"/>
  <c r="I15" i="2" s="1"/>
  <c r="F10" i="1"/>
  <c r="I16" i="2" s="1"/>
  <c r="F11" i="1"/>
  <c r="I17" i="2" s="1"/>
  <c r="F12" i="1"/>
  <c r="I18" i="2" s="1"/>
  <c r="F13" i="1"/>
  <c r="I19" i="2" s="1"/>
  <c r="F14" i="1"/>
  <c r="I20" i="2" s="1"/>
  <c r="F15" i="1"/>
  <c r="I21" i="2" s="1"/>
  <c r="F16" i="1"/>
  <c r="I22" i="2" s="1"/>
  <c r="F17" i="1"/>
  <c r="I23" i="2" s="1"/>
  <c r="F18" i="1"/>
  <c r="I24" i="2" s="1"/>
  <c r="F19" i="1"/>
  <c r="I25" i="2" s="1"/>
  <c r="F20" i="1"/>
  <c r="I26" i="2" s="1"/>
  <c r="F21" i="1"/>
  <c r="I27" i="2" s="1"/>
  <c r="F22" i="1"/>
  <c r="I28" i="2" s="1"/>
  <c r="F23" i="1"/>
  <c r="I29" i="2" s="1"/>
  <c r="F24" i="1"/>
  <c r="I30" i="2" s="1"/>
  <c r="F25" i="1"/>
  <c r="I31" i="2" s="1"/>
  <c r="F26" i="1"/>
  <c r="I32" i="2" s="1"/>
  <c r="F27" i="1"/>
  <c r="I33" i="2" s="1"/>
  <c r="F28" i="1"/>
  <c r="I34" i="2" s="1"/>
  <c r="F29" i="1"/>
  <c r="I35" i="2" s="1"/>
  <c r="F30" i="1"/>
  <c r="I36" i="2" s="1"/>
  <c r="F31" i="1"/>
  <c r="I37" i="2" s="1"/>
  <c r="F32" i="1"/>
  <c r="I38" i="2" s="1"/>
  <c r="F33" i="1"/>
  <c r="I39" i="2" s="1"/>
  <c r="F35" i="1"/>
  <c r="I41" i="2" s="1"/>
  <c r="F36" i="1"/>
  <c r="I42" i="2" s="1"/>
  <c r="F37" i="1"/>
  <c r="I43" i="2" s="1"/>
  <c r="F38" i="1"/>
  <c r="I44" i="2" s="1"/>
  <c r="F39" i="1"/>
  <c r="I45" i="2" s="1"/>
  <c r="F40" i="1"/>
  <c r="I46" i="2" s="1"/>
  <c r="F4" i="1"/>
  <c r="I10" i="2" s="1"/>
  <c r="Z43" i="2" l="1"/>
  <c r="AD47" i="2"/>
  <c r="C38" i="2"/>
  <c r="E38" i="2" s="1"/>
  <c r="C41" i="2"/>
  <c r="E41" i="2" s="1"/>
  <c r="C39" i="2"/>
  <c r="E39" i="2" s="1"/>
  <c r="C37" i="2"/>
  <c r="E37" i="2" s="1"/>
  <c r="C34" i="2"/>
  <c r="E34" i="2" s="1"/>
  <c r="C33" i="2"/>
  <c r="E33" i="2" s="1"/>
  <c r="C35" i="2"/>
  <c r="E35" i="2" s="1"/>
  <c r="C42" i="2"/>
  <c r="E42" i="2" s="1"/>
  <c r="Z29" i="2"/>
  <c r="I50" i="1"/>
  <c r="P56" i="2" s="1"/>
  <c r="L56" i="2" s="1"/>
  <c r="I18" i="1"/>
  <c r="P24" i="2" s="1"/>
  <c r="L24" i="2" s="1"/>
  <c r="I87" i="1"/>
  <c r="I49" i="1"/>
  <c r="P55" i="2" s="1"/>
  <c r="L55" i="2" s="1"/>
  <c r="I41" i="1"/>
  <c r="P47" i="2" s="1"/>
  <c r="L47" i="2" s="1"/>
  <c r="I33" i="1"/>
  <c r="P39" i="2" s="1"/>
  <c r="L39" i="2" s="1"/>
  <c r="I17" i="1"/>
  <c r="P23" i="2" s="1"/>
  <c r="L23" i="2" s="1"/>
  <c r="I9" i="1"/>
  <c r="P15" i="2" s="1"/>
  <c r="L15" i="2" s="1"/>
  <c r="L88" i="1"/>
  <c r="I43" i="1"/>
  <c r="P49" i="2" s="1"/>
  <c r="L49" i="2" s="1"/>
  <c r="I42" i="1"/>
  <c r="P48" i="2" s="1"/>
  <c r="L48" i="2" s="1"/>
  <c r="I10" i="1"/>
  <c r="P16" i="2" s="1"/>
  <c r="L16" i="2" s="1"/>
  <c r="I48" i="1"/>
  <c r="P54" i="2" s="1"/>
  <c r="L54" i="2" s="1"/>
  <c r="I40" i="1"/>
  <c r="P46" i="2" s="1"/>
  <c r="L46" i="2" s="1"/>
  <c r="I32" i="1"/>
  <c r="P38" i="2" s="1"/>
  <c r="L38" i="2" s="1"/>
  <c r="I8" i="1"/>
  <c r="P14" i="2" s="1"/>
  <c r="L14" i="2" s="1"/>
  <c r="L11" i="1"/>
  <c r="W17" i="2" s="1"/>
  <c r="S17" i="2" s="1"/>
  <c r="I47" i="1"/>
  <c r="P53" i="2" s="1"/>
  <c r="L53" i="2" s="1"/>
  <c r="I39" i="1"/>
  <c r="P45" i="2" s="1"/>
  <c r="L45" i="2" s="1"/>
  <c r="I31" i="1"/>
  <c r="P37" i="2" s="1"/>
  <c r="L37" i="2" s="1"/>
  <c r="I23" i="1"/>
  <c r="P29" i="2" s="1"/>
  <c r="L29" i="2" s="1"/>
  <c r="I11" i="1"/>
  <c r="P17" i="2" s="1"/>
  <c r="L17" i="2" s="1"/>
  <c r="I26" i="1"/>
  <c r="P32" i="2" s="1"/>
  <c r="L32" i="2" s="1"/>
  <c r="I54" i="1"/>
  <c r="P60" i="2" s="1"/>
  <c r="L60" i="2" s="1"/>
  <c r="I46" i="1"/>
  <c r="P52" i="2" s="1"/>
  <c r="L52" i="2" s="1"/>
  <c r="I38" i="1"/>
  <c r="P44" i="2" s="1"/>
  <c r="L44" i="2" s="1"/>
  <c r="I30" i="1"/>
  <c r="P36" i="2" s="1"/>
  <c r="L36" i="2" s="1"/>
  <c r="I14" i="1"/>
  <c r="P20" i="2" s="1"/>
  <c r="L20" i="2" s="1"/>
  <c r="I6" i="1"/>
  <c r="P12" i="2" s="1"/>
  <c r="L12" i="2" s="1"/>
  <c r="L90" i="1"/>
  <c r="L89" i="1"/>
  <c r="I27" i="1"/>
  <c r="P33" i="2" s="1"/>
  <c r="L33" i="2" s="1"/>
  <c r="I45" i="1"/>
  <c r="P51" i="2" s="1"/>
  <c r="L51" i="2" s="1"/>
  <c r="I37" i="1"/>
  <c r="P43" i="2" s="1"/>
  <c r="L43" i="2" s="1"/>
  <c r="I21" i="1"/>
  <c r="P27" i="2" s="1"/>
  <c r="L27" i="2" s="1"/>
  <c r="I13" i="1"/>
  <c r="P19" i="2" s="1"/>
  <c r="L19" i="2" s="1"/>
  <c r="I5" i="1"/>
  <c r="P11" i="2" s="1"/>
  <c r="L11" i="2" s="1"/>
  <c r="I35" i="1"/>
  <c r="P41" i="2" s="1"/>
  <c r="L41" i="2" s="1"/>
  <c r="I4" i="1"/>
  <c r="P10" i="2" s="1"/>
  <c r="L10" i="2" s="1"/>
  <c r="I44" i="1"/>
  <c r="P50" i="2" s="1"/>
  <c r="L50" i="2" s="1"/>
  <c r="I36" i="1"/>
  <c r="P42" i="2" s="1"/>
  <c r="L42" i="2" s="1"/>
  <c r="I28" i="1"/>
  <c r="P34" i="2" s="1"/>
  <c r="L34" i="2" s="1"/>
  <c r="I12" i="1"/>
  <c r="P18" i="2" s="1"/>
  <c r="L18" i="2" s="1"/>
  <c r="L4" i="1"/>
  <c r="W10" i="2" s="1"/>
  <c r="S10" i="2" s="1"/>
  <c r="O21" i="1"/>
  <c r="AD27" i="2" s="1"/>
  <c r="I7" i="1"/>
  <c r="P13" i="2" s="1"/>
  <c r="L13" i="2" s="1"/>
  <c r="O7" i="1"/>
  <c r="AD13" i="2" s="1"/>
  <c r="R86" i="1"/>
  <c r="U41" i="1"/>
  <c r="R49" i="1"/>
  <c r="R45" i="1"/>
  <c r="AK51" i="2" s="1"/>
  <c r="R53" i="1"/>
  <c r="U55" i="1"/>
  <c r="R42" i="1"/>
  <c r="AK48" i="2" s="1"/>
  <c r="U45" i="1"/>
  <c r="AR51" i="2" s="1"/>
  <c r="R54" i="1"/>
  <c r="U52" i="1"/>
  <c r="R48" i="1"/>
  <c r="R44" i="1"/>
  <c r="AK50" i="2" s="1"/>
  <c r="R52" i="1"/>
  <c r="U47" i="1"/>
  <c r="U43" i="1"/>
  <c r="U51" i="1"/>
  <c r="U48" i="1"/>
  <c r="R47" i="1"/>
  <c r="R43" i="1"/>
  <c r="AK49" i="2" s="1"/>
  <c r="R51" i="1"/>
  <c r="U87" i="1"/>
  <c r="R41" i="1"/>
  <c r="AK47" i="2" s="1"/>
  <c r="U44" i="1"/>
  <c r="R55" i="1"/>
  <c r="U46" i="1"/>
  <c r="U50" i="1"/>
  <c r="R87" i="1"/>
  <c r="U49" i="1"/>
  <c r="U53" i="1"/>
  <c r="U42" i="1"/>
  <c r="R46" i="1"/>
  <c r="R50" i="1"/>
  <c r="U54" i="1"/>
  <c r="U86" i="1"/>
  <c r="O87" i="1"/>
  <c r="L34" i="1"/>
  <c r="W40" i="2" s="1"/>
  <c r="S40" i="2" s="1"/>
  <c r="O55" i="1"/>
  <c r="AD61" i="2" s="1"/>
  <c r="Z61" i="2" s="1"/>
  <c r="O47" i="1"/>
  <c r="AD53" i="2" s="1"/>
  <c r="O15" i="1"/>
  <c r="AD21" i="2" s="1"/>
  <c r="L86" i="1"/>
  <c r="O86" i="1"/>
  <c r="O48" i="1"/>
  <c r="AD54" i="2" s="1"/>
  <c r="O54" i="1"/>
  <c r="AD60" i="2" s="1"/>
  <c r="Z60" i="2" s="1"/>
  <c r="O46" i="1"/>
  <c r="AD52" i="2" s="1"/>
  <c r="O52" i="1"/>
  <c r="AD58" i="2" s="1"/>
  <c r="Z58" i="2" s="1"/>
  <c r="O44" i="1"/>
  <c r="L19" i="1"/>
  <c r="W25" i="2" s="1"/>
  <c r="S25" i="2" s="1"/>
  <c r="O53" i="1"/>
  <c r="AD59" i="2" s="1"/>
  <c r="Z59" i="2" s="1"/>
  <c r="O45" i="1"/>
  <c r="O51" i="1"/>
  <c r="AD57" i="2" s="1"/>
  <c r="O43" i="1"/>
  <c r="O49" i="1"/>
  <c r="AD55" i="2" s="1"/>
  <c r="L20" i="1"/>
  <c r="W26" i="2" s="1"/>
  <c r="S26" i="2" s="1"/>
  <c r="O50" i="1"/>
  <c r="AD56" i="2" s="1"/>
  <c r="O42" i="1"/>
  <c r="O34" i="1"/>
  <c r="AD40" i="2" s="1"/>
  <c r="F51" i="1"/>
  <c r="F43" i="1"/>
  <c r="F42" i="1"/>
  <c r="F87" i="1"/>
  <c r="F49" i="1"/>
  <c r="F41" i="1"/>
  <c r="F52" i="1"/>
  <c r="F86" i="1"/>
  <c r="F48" i="1"/>
  <c r="F50" i="1"/>
  <c r="F34" i="1"/>
  <c r="F55" i="1"/>
  <c r="F47" i="1"/>
  <c r="F44" i="1"/>
  <c r="F54" i="1"/>
  <c r="F46" i="1"/>
  <c r="F53" i="1"/>
  <c r="F45" i="1"/>
  <c r="I51" i="2" s="1"/>
  <c r="D91" i="1"/>
  <c r="M91" i="1"/>
  <c r="G91" i="1"/>
  <c r="J91" i="1"/>
  <c r="C36" i="2" l="1"/>
  <c r="E36" i="2" s="1"/>
  <c r="I40" i="2"/>
  <c r="C40" i="2" s="1"/>
  <c r="E40" i="2" s="1"/>
  <c r="AR56" i="2"/>
  <c r="I59" i="2"/>
  <c r="C59" i="2" s="1"/>
  <c r="E59" i="2" s="1"/>
  <c r="I54" i="2"/>
  <c r="C54" i="2" s="1"/>
  <c r="E54" i="2" s="1"/>
  <c r="I57" i="2"/>
  <c r="Z47" i="2"/>
  <c r="AD51" i="2"/>
  <c r="Z51" i="2" s="1"/>
  <c r="AN56" i="2"/>
  <c r="AR60" i="2"/>
  <c r="AN60" i="2" s="1"/>
  <c r="AR52" i="2"/>
  <c r="AN52" i="2" s="1"/>
  <c r="AR54" i="2"/>
  <c r="AK60" i="2"/>
  <c r="AG60" i="2" s="1"/>
  <c r="AN51" i="2"/>
  <c r="AR55" i="2"/>
  <c r="AN55" i="2" s="1"/>
  <c r="Z45" i="2"/>
  <c r="AD49" i="2"/>
  <c r="Z49" i="2" s="1"/>
  <c r="I56" i="2"/>
  <c r="AK56" i="2"/>
  <c r="AG56" i="2" s="1"/>
  <c r="AK61" i="2"/>
  <c r="AG61" i="2" s="1"/>
  <c r="AR57" i="2"/>
  <c r="AN57" i="2" s="1"/>
  <c r="AG50" i="2"/>
  <c r="AK54" i="2"/>
  <c r="AG54" i="2" s="1"/>
  <c r="AR47" i="2"/>
  <c r="AG48" i="2"/>
  <c r="AK52" i="2"/>
  <c r="AG52" i="2" s="1"/>
  <c r="AR50" i="2"/>
  <c r="AN50" i="2" s="1"/>
  <c r="AR49" i="2"/>
  <c r="AN49" i="2" s="1"/>
  <c r="C44" i="2"/>
  <c r="E44" i="2" s="1"/>
  <c r="I48" i="2"/>
  <c r="C48" i="2" s="1"/>
  <c r="E48" i="2" s="1"/>
  <c r="AG51" i="2"/>
  <c r="AK55" i="2"/>
  <c r="AG55" i="2" s="1"/>
  <c r="AN54" i="2"/>
  <c r="AR58" i="2"/>
  <c r="AN58" i="2" s="1"/>
  <c r="I52" i="2"/>
  <c r="C52" i="2" s="1"/>
  <c r="E52" i="2" s="1"/>
  <c r="C56" i="2"/>
  <c r="E56" i="2" s="1"/>
  <c r="I60" i="2"/>
  <c r="C60" i="2" s="1"/>
  <c r="E60" i="2" s="1"/>
  <c r="I58" i="2"/>
  <c r="C58" i="2" s="1"/>
  <c r="E58" i="2" s="1"/>
  <c r="Z44" i="2"/>
  <c r="AD48" i="2"/>
  <c r="Z48" i="2" s="1"/>
  <c r="C46" i="2"/>
  <c r="E46" i="2" s="1"/>
  <c r="I50" i="2"/>
  <c r="C50" i="2" s="1"/>
  <c r="E50" i="2" s="1"/>
  <c r="C43" i="2"/>
  <c r="E43" i="2" s="1"/>
  <c r="I47" i="2"/>
  <c r="C47" i="2" s="1"/>
  <c r="E47" i="2" s="1"/>
  <c r="Z46" i="2"/>
  <c r="AD50" i="2"/>
  <c r="Z50" i="2" s="1"/>
  <c r="AR48" i="2"/>
  <c r="AN48" i="2" s="1"/>
  <c r="AR53" i="2"/>
  <c r="AN53" i="2" s="1"/>
  <c r="AR61" i="2"/>
  <c r="AN61" i="2" s="1"/>
  <c r="C57" i="2"/>
  <c r="E57" i="2" s="1"/>
  <c r="I61" i="2"/>
  <c r="C61" i="2" s="1"/>
  <c r="E61" i="2" s="1"/>
  <c r="AK57" i="2"/>
  <c r="AG57" i="2" s="1"/>
  <c r="C45" i="2"/>
  <c r="E45" i="2" s="1"/>
  <c r="I49" i="2"/>
  <c r="C49" i="2" s="1"/>
  <c r="E49" i="2" s="1"/>
  <c r="AG49" i="2"/>
  <c r="AK53" i="2"/>
  <c r="AG53" i="2" s="1"/>
  <c r="I53" i="2"/>
  <c r="C53" i="2" s="1"/>
  <c r="E53" i="2" s="1"/>
  <c r="C51" i="2"/>
  <c r="E51" i="2" s="1"/>
  <c r="I55" i="2"/>
  <c r="C55" i="2" s="1"/>
  <c r="E55" i="2" s="1"/>
  <c r="AR59" i="2"/>
  <c r="AN59" i="2" s="1"/>
  <c r="AK58" i="2"/>
  <c r="AG58" i="2" s="1"/>
  <c r="AK59" i="2"/>
  <c r="AG59" i="2" s="1"/>
  <c r="J93" i="1"/>
  <c r="Z52" i="2"/>
  <c r="C70" i="2"/>
  <c r="E70" i="2" s="1"/>
  <c r="Z55" i="2"/>
  <c r="Z54" i="2"/>
  <c r="Z57" i="2"/>
  <c r="AN70" i="2"/>
  <c r="AN47" i="2"/>
  <c r="AG70" i="2"/>
  <c r="Z56" i="2"/>
  <c r="Z53" i="2"/>
  <c r="Z12" i="2"/>
  <c r="Z70" i="2"/>
  <c r="M93" i="1"/>
  <c r="D93" i="1"/>
  <c r="G93" i="1"/>
  <c r="L42" i="1"/>
  <c r="W48" i="2" s="1"/>
  <c r="S48" i="2" s="1"/>
  <c r="Z34" i="2"/>
  <c r="L14" i="1"/>
  <c r="W20" i="2" s="1"/>
  <c r="S20" i="2" s="1"/>
  <c r="L47" i="1"/>
  <c r="W53" i="2" s="1"/>
  <c r="S53" i="2" s="1"/>
  <c r="Z39" i="2"/>
  <c r="L9" i="1"/>
  <c r="W15" i="2" s="1"/>
  <c r="S15" i="2" s="1"/>
  <c r="Z10" i="2"/>
  <c r="L36" i="1"/>
  <c r="W42" i="2" s="1"/>
  <c r="S42" i="2" s="1"/>
  <c r="L32" i="1"/>
  <c r="W38" i="2" s="1"/>
  <c r="S38" i="2" s="1"/>
  <c r="L40" i="1"/>
  <c r="W46" i="2" s="1"/>
  <c r="S46" i="2" s="1"/>
  <c r="Z32" i="2"/>
  <c r="L43" i="1"/>
  <c r="W49" i="2" s="1"/>
  <c r="S49" i="2" s="1"/>
  <c r="Z35" i="2"/>
  <c r="L46" i="1"/>
  <c r="W52" i="2" s="1"/>
  <c r="S52" i="2" s="1"/>
  <c r="Z38" i="2"/>
  <c r="L87" i="1"/>
  <c r="L50" i="1"/>
  <c r="W56" i="2" s="1"/>
  <c r="S56" i="2" s="1"/>
  <c r="Z42" i="2"/>
  <c r="L12" i="1"/>
  <c r="W18" i="2" s="1"/>
  <c r="S18" i="2" s="1"/>
  <c r="L48" i="1"/>
  <c r="W54" i="2" s="1"/>
  <c r="S54" i="2" s="1"/>
  <c r="Z40" i="2"/>
  <c r="L38" i="1"/>
  <c r="W44" i="2" s="1"/>
  <c r="S44" i="2" s="1"/>
  <c r="Z30" i="2"/>
  <c r="L45" i="1"/>
  <c r="W51" i="2" s="1"/>
  <c r="S51" i="2" s="1"/>
  <c r="Z37" i="2"/>
  <c r="L30" i="1"/>
  <c r="W36" i="2" s="1"/>
  <c r="S36" i="2" s="1"/>
  <c r="L41" i="1"/>
  <c r="W47" i="2" s="1"/>
  <c r="S47" i="2" s="1"/>
  <c r="Z33" i="2"/>
  <c r="L18" i="1"/>
  <c r="W24" i="2" s="1"/>
  <c r="S24" i="2" s="1"/>
  <c r="L44" i="1"/>
  <c r="W50" i="2" s="1"/>
  <c r="S50" i="2" s="1"/>
  <c r="Z36" i="2"/>
  <c r="L10" i="1"/>
  <c r="W16" i="2" s="1"/>
  <c r="S16" i="2" s="1"/>
  <c r="Z11" i="2"/>
  <c r="L13" i="1"/>
  <c r="W19" i="2" s="1"/>
  <c r="S19" i="2" s="1"/>
  <c r="L49" i="1"/>
  <c r="W55" i="2" s="1"/>
  <c r="S55" i="2" s="1"/>
  <c r="Z41" i="2"/>
  <c r="L35" i="1"/>
  <c r="W41" i="2" s="1"/>
  <c r="S41" i="2" s="1"/>
  <c r="L39" i="1"/>
  <c r="W45" i="2" s="1"/>
  <c r="S45" i="2" s="1"/>
  <c r="Z31" i="2"/>
  <c r="L16" i="1"/>
  <c r="W22" i="2" s="1"/>
  <c r="S22" i="2" s="1"/>
  <c r="L54" i="1"/>
  <c r="W60" i="2" s="1"/>
  <c r="S60" i="2" s="1"/>
  <c r="I91" i="1"/>
  <c r="O91" i="1"/>
  <c r="F91" i="1"/>
  <c r="C30" i="2"/>
  <c r="E30" i="2" s="1"/>
  <c r="C31" i="2"/>
  <c r="E31" i="2" s="1"/>
  <c r="C32" i="2"/>
  <c r="E32" i="2" s="1"/>
  <c r="C29" i="2"/>
  <c r="E29" i="2" s="1"/>
  <c r="AG47" i="2" l="1"/>
  <c r="U6" i="1"/>
  <c r="AR12" i="2" s="1"/>
  <c r="L91" i="1"/>
  <c r="R6" i="1"/>
  <c r="AK12" i="2" s="1"/>
  <c r="U40" i="1"/>
  <c r="U38" i="1"/>
  <c r="R38" i="1"/>
  <c r="R37" i="1"/>
  <c r="U39" i="1"/>
  <c r="R39" i="1"/>
  <c r="R40" i="1"/>
  <c r="U37" i="1"/>
  <c r="C16" i="2"/>
  <c r="E16" i="2" s="1"/>
  <c r="R4" i="1"/>
  <c r="AK10" i="2" s="1"/>
  <c r="C26" i="2"/>
  <c r="E26" i="2" s="1"/>
  <c r="C28" i="2"/>
  <c r="E28" i="2" s="1"/>
  <c r="C27" i="2"/>
  <c r="E27" i="2" s="1"/>
  <c r="AK44" i="2" l="1"/>
  <c r="AG44" i="2" s="1"/>
  <c r="AR44" i="2"/>
  <c r="AN44" i="2" s="1"/>
  <c r="AR43" i="2"/>
  <c r="AN43" i="2" s="1"/>
  <c r="AK46" i="2"/>
  <c r="AG46" i="2" s="1"/>
  <c r="AR46" i="2"/>
  <c r="AN46" i="2" s="1"/>
  <c r="AK45" i="2"/>
  <c r="AG45" i="2" s="1"/>
  <c r="AR45" i="2"/>
  <c r="AN45" i="2" s="1"/>
  <c r="AK43" i="2"/>
  <c r="AG43" i="2" s="1"/>
  <c r="U4" i="1"/>
  <c r="AR10" i="2" s="1"/>
  <c r="U33" i="1"/>
  <c r="R17" i="1"/>
  <c r="R33" i="1"/>
  <c r="U17" i="1"/>
  <c r="AR23" i="2" s="1"/>
  <c r="AK23" i="2" l="1"/>
  <c r="AR39" i="2"/>
  <c r="AN39" i="2" s="1"/>
  <c r="AK39" i="2"/>
  <c r="AG39" i="2" s="1"/>
  <c r="R36" i="1"/>
  <c r="U34" i="1"/>
  <c r="R35" i="1"/>
  <c r="U35" i="1"/>
  <c r="R34" i="1"/>
  <c r="U36" i="1"/>
  <c r="AK42" i="2" l="1"/>
  <c r="AG42" i="2" s="1"/>
  <c r="AR42" i="2"/>
  <c r="AN42" i="2" s="1"/>
  <c r="AK40" i="2"/>
  <c r="AG40" i="2" s="1"/>
  <c r="AR41" i="2"/>
  <c r="AN41" i="2" s="1"/>
  <c r="AK41" i="2"/>
  <c r="AG41" i="2" s="1"/>
  <c r="AR40" i="2"/>
  <c r="AN40" i="2" s="1"/>
  <c r="C24" i="2"/>
  <c r="E24" i="2" s="1"/>
  <c r="C25" i="2"/>
  <c r="E25" i="2" s="1"/>
  <c r="C23" i="2"/>
  <c r="E23" i="2" s="1"/>
  <c r="C21" i="2"/>
  <c r="E21" i="2" s="1"/>
  <c r="C22" i="2"/>
  <c r="E22" i="2" s="1"/>
  <c r="C20" i="2"/>
  <c r="E20" i="2" s="1"/>
  <c r="C19" i="2"/>
  <c r="E19" i="2" s="1"/>
  <c r="C18" i="2"/>
  <c r="E18" i="2" s="1"/>
  <c r="C17" i="2"/>
  <c r="E17" i="2" s="1"/>
  <c r="C10" i="2"/>
  <c r="C11" i="2"/>
  <c r="E11" i="2" s="1"/>
  <c r="C12" i="2"/>
  <c r="E12" i="2" s="1"/>
  <c r="C13" i="2"/>
  <c r="E13" i="2" s="1"/>
  <c r="C14" i="2"/>
  <c r="E14" i="2" s="1"/>
  <c r="C15" i="2"/>
  <c r="E15" i="2" s="1"/>
  <c r="E10" i="2" l="1"/>
  <c r="G16" i="2"/>
  <c r="R32" i="1"/>
  <c r="AK38" i="2" l="1"/>
  <c r="AG38" i="2" s="1"/>
  <c r="E6" i="2"/>
  <c r="G6" i="2" s="1"/>
  <c r="G28" i="2"/>
  <c r="G26" i="2"/>
  <c r="U32" i="1"/>
  <c r="R31" i="1"/>
  <c r="U31" i="1"/>
  <c r="AR38" i="2" l="1"/>
  <c r="AN38" i="2" s="1"/>
  <c r="AR37" i="2"/>
  <c r="AN37" i="2" s="1"/>
  <c r="AK37" i="2"/>
  <c r="AG37" i="2" s="1"/>
  <c r="G31" i="2"/>
  <c r="G33" i="2"/>
  <c r="R5" i="1"/>
  <c r="AK11" i="2" s="1"/>
  <c r="R11" i="1"/>
  <c r="R20" i="1"/>
  <c r="R23" i="1"/>
  <c r="AK29" i="2" l="1"/>
  <c r="AK17" i="2"/>
  <c r="AG17" i="2" s="1"/>
  <c r="AK26" i="2"/>
  <c r="G38" i="2"/>
  <c r="G36" i="2"/>
  <c r="U18" i="1"/>
  <c r="AR24" i="2" s="1"/>
  <c r="R18" i="1"/>
  <c r="R22" i="1"/>
  <c r="R8" i="1"/>
  <c r="R16" i="1"/>
  <c r="R30" i="1"/>
  <c r="R13" i="1"/>
  <c r="R9" i="1"/>
  <c r="R27" i="1"/>
  <c r="R26" i="1"/>
  <c r="R25" i="1"/>
  <c r="R29" i="1"/>
  <c r="R28" i="1"/>
  <c r="U30" i="1"/>
  <c r="R10" i="1"/>
  <c r="R12" i="1"/>
  <c r="R24" i="1"/>
  <c r="R14" i="1"/>
  <c r="R19" i="1"/>
  <c r="AK18" i="2" l="1"/>
  <c r="AG18" i="2" s="1"/>
  <c r="AG12" i="2"/>
  <c r="AK16" i="2"/>
  <c r="AG16" i="2" s="1"/>
  <c r="AK36" i="2"/>
  <c r="AG36" i="2" s="1"/>
  <c r="AK34" i="2"/>
  <c r="AG34" i="2" s="1"/>
  <c r="AK22" i="2"/>
  <c r="AG22" i="2" s="1"/>
  <c r="AG31" i="2"/>
  <c r="AK35" i="2"/>
  <c r="AG35" i="2" s="1"/>
  <c r="AR36" i="2"/>
  <c r="AN36" i="2" s="1"/>
  <c r="AG21" i="2"/>
  <c r="AK25" i="2"/>
  <c r="AG25" i="2" s="1"/>
  <c r="AK28" i="2"/>
  <c r="AG28" i="2" s="1"/>
  <c r="AG11" i="2"/>
  <c r="AK15" i="2"/>
  <c r="AG15" i="2" s="1"/>
  <c r="AK19" i="2"/>
  <c r="AG19" i="2" s="1"/>
  <c r="AG10" i="2"/>
  <c r="AK14" i="2"/>
  <c r="AG14" i="2" s="1"/>
  <c r="AK31" i="2"/>
  <c r="AK20" i="2"/>
  <c r="AK32" i="2"/>
  <c r="AG32" i="2" s="1"/>
  <c r="AG20" i="2"/>
  <c r="AK24" i="2"/>
  <c r="AG24" i="2" s="1"/>
  <c r="AG26" i="2"/>
  <c r="AK30" i="2"/>
  <c r="AG30" i="2" s="1"/>
  <c r="AG29" i="2"/>
  <c r="AK33" i="2"/>
  <c r="AG33" i="2" s="1"/>
  <c r="G41" i="2"/>
  <c r="G43" i="2"/>
  <c r="R7" i="1"/>
  <c r="AK13" i="2" s="1"/>
  <c r="AG13" i="2" s="1"/>
  <c r="R21" i="1"/>
  <c r="G23" i="2"/>
  <c r="AG23" i="2" l="1"/>
  <c r="AK27" i="2"/>
  <c r="AG27" i="2" s="1"/>
  <c r="G48" i="2"/>
  <c r="G46" i="2"/>
  <c r="R91" i="1"/>
  <c r="U29" i="1"/>
  <c r="C5" i="2"/>
  <c r="C4" i="2"/>
  <c r="A2" i="2"/>
  <c r="E2" i="2"/>
  <c r="AR35" i="2" l="1"/>
  <c r="AN35" i="2" s="1"/>
  <c r="G17" i="2"/>
  <c r="G51" i="2"/>
  <c r="G53" i="2"/>
  <c r="E4" i="2"/>
  <c r="E5" i="2"/>
  <c r="G56" i="2" l="1"/>
  <c r="G58" i="2"/>
  <c r="G22" i="2"/>
  <c r="G27" i="2"/>
  <c r="U28" i="1"/>
  <c r="G21" i="2"/>
  <c r="AR34" i="2" l="1"/>
  <c r="AN34" i="2" s="1"/>
  <c r="G20" i="2"/>
  <c r="G63" i="2"/>
  <c r="G61" i="2"/>
  <c r="G32" i="2"/>
  <c r="G24" i="2"/>
  <c r="G19" i="2"/>
  <c r="G25" i="2"/>
  <c r="U23" i="1"/>
  <c r="U24" i="1"/>
  <c r="U27" i="1"/>
  <c r="U26" i="1"/>
  <c r="U25" i="1"/>
  <c r="AR32" i="2" l="1"/>
  <c r="AN32" i="2" s="1"/>
  <c r="AR33" i="2"/>
  <c r="AN33" i="2" s="1"/>
  <c r="AR30" i="2"/>
  <c r="AN30" i="2" s="1"/>
  <c r="AR29" i="2"/>
  <c r="AN29" i="2" s="1"/>
  <c r="AR31" i="2"/>
  <c r="AN31" i="2" s="1"/>
  <c r="G37" i="2"/>
  <c r="G29" i="2"/>
  <c r="G66" i="2"/>
  <c r="G30" i="2"/>
  <c r="G68" i="2"/>
  <c r="U22" i="1"/>
  <c r="G18" i="2"/>
  <c r="AN24" i="2" l="1"/>
  <c r="AR28" i="2"/>
  <c r="AN28" i="2" s="1"/>
  <c r="G34" i="2"/>
  <c r="G35" i="2"/>
  <c r="G42" i="2"/>
  <c r="U20" i="1"/>
  <c r="G11" i="2"/>
  <c r="G12" i="2"/>
  <c r="AR26" i="2" l="1"/>
  <c r="AN26" i="2" s="1"/>
  <c r="G39" i="2"/>
  <c r="G40" i="2"/>
  <c r="G47" i="2"/>
  <c r="U11" i="1"/>
  <c r="AR17" i="2" s="1"/>
  <c r="AN17" i="2" s="1"/>
  <c r="U21" i="1"/>
  <c r="U10" i="1"/>
  <c r="AN12" i="2" l="1"/>
  <c r="AR16" i="2"/>
  <c r="AN23" i="2"/>
  <c r="AR27" i="2"/>
  <c r="AN27" i="2" s="1"/>
  <c r="G52" i="2"/>
  <c r="G45" i="2"/>
  <c r="G44" i="2"/>
  <c r="G15" i="2"/>
  <c r="G13" i="2"/>
  <c r="G50" i="2" l="1"/>
  <c r="G49" i="2"/>
  <c r="G57" i="2"/>
  <c r="U12" i="1"/>
  <c r="AR18" i="2" s="1"/>
  <c r="U14" i="1"/>
  <c r="G10" i="2"/>
  <c r="AN16" i="2" l="1"/>
  <c r="AR20" i="2"/>
  <c r="AN20" i="2" s="1"/>
  <c r="G62" i="2"/>
  <c r="G54" i="2"/>
  <c r="G55" i="2"/>
  <c r="G14" i="2"/>
  <c r="G60" i="2" l="1"/>
  <c r="G59" i="2"/>
  <c r="G67" i="2"/>
  <c r="G64" i="2" l="1"/>
  <c r="G65" i="2"/>
  <c r="U8" i="1"/>
  <c r="AR14" i="2" s="1"/>
  <c r="G69" i="2" l="1"/>
  <c r="U5" i="1" l="1"/>
  <c r="AR11" i="2" s="1"/>
  <c r="U19" i="1"/>
  <c r="AN14" i="2"/>
  <c r="AN10" i="2"/>
  <c r="AN21" i="2" l="1"/>
  <c r="AR25" i="2"/>
  <c r="AN25" i="2" s="1"/>
  <c r="G70" i="2"/>
  <c r="U7" i="1"/>
  <c r="AR13" i="2" s="1"/>
  <c r="AN13" i="2" s="1"/>
  <c r="U13" i="1"/>
  <c r="U16" i="1"/>
  <c r="S91" i="1"/>
  <c r="AN18" i="2" l="1"/>
  <c r="AR22" i="2"/>
  <c r="AN22" i="2" s="1"/>
  <c r="AR19" i="2"/>
  <c r="AN19" i="2" s="1"/>
  <c r="S93" i="1"/>
  <c r="U9" i="1"/>
  <c r="AN11" i="2" l="1"/>
  <c r="AR15" i="2"/>
  <c r="AN15" i="2" s="1"/>
  <c r="AN6" i="2"/>
  <c r="U91" i="1"/>
  <c r="D97" i="3" l="1"/>
  <c r="D99" i="3" s="1"/>
  <c r="D100" i="3" l="1"/>
  <c r="D101" i="3"/>
  <c r="D98" i="1" l="1"/>
  <c r="Y22" i="1" l="1"/>
  <c r="D102" i="3"/>
  <c r="G97" i="3" l="1"/>
  <c r="G98" i="1"/>
  <c r="S98" i="1"/>
  <c r="S97" i="3"/>
  <c r="P97" i="3"/>
  <c r="P98" i="1"/>
  <c r="J97" i="3"/>
  <c r="J98" i="1"/>
  <c r="AG9" i="3"/>
  <c r="AG12" i="3"/>
  <c r="AG11" i="3"/>
  <c r="AG10" i="3"/>
  <c r="AG20" i="3"/>
  <c r="AG13" i="3"/>
  <c r="AG16" i="3"/>
  <c r="AG21" i="3"/>
  <c r="AG7" i="3"/>
  <c r="AG8" i="3"/>
  <c r="AG14" i="3"/>
  <c r="AG22" i="3"/>
  <c r="AG15" i="3"/>
  <c r="AG17" i="3"/>
  <c r="AG19" i="3"/>
  <c r="AG18" i="3"/>
  <c r="Y12" i="1"/>
  <c r="Z12" i="1" s="1"/>
  <c r="Z18" i="2" s="1"/>
  <c r="Y20" i="1"/>
  <c r="Z20" i="1" s="1"/>
  <c r="Z26" i="2" s="1"/>
  <c r="Y16" i="1"/>
  <c r="Z16" i="1" s="1"/>
  <c r="Z22" i="2" s="1"/>
  <c r="Y9" i="1"/>
  <c r="Z9" i="1" s="1"/>
  <c r="Z15" i="2" s="1"/>
  <c r="Y14" i="1"/>
  <c r="Z14" i="1" s="1"/>
  <c r="Z20" i="2" s="1"/>
  <c r="Y11" i="1"/>
  <c r="Z11" i="1" s="1"/>
  <c r="Z17" i="2" s="1"/>
  <c r="Y10" i="1"/>
  <c r="Z10" i="1" s="1"/>
  <c r="Z16" i="2" s="1"/>
  <c r="Y13" i="1"/>
  <c r="Z13" i="1" s="1"/>
  <c r="Z19" i="2" s="1"/>
  <c r="Y8" i="1"/>
  <c r="Z8" i="1" s="1"/>
  <c r="Z14" i="2" s="1"/>
  <c r="Y18" i="1"/>
  <c r="Z18" i="1" s="1"/>
  <c r="Z24" i="2" s="1"/>
  <c r="Y17" i="1"/>
  <c r="Z17" i="1" s="1"/>
  <c r="Z23" i="2" s="1"/>
  <c r="Z22" i="1"/>
  <c r="Z28" i="2" s="1"/>
  <c r="Y7" i="1"/>
  <c r="Z7" i="1" s="1"/>
  <c r="Z13" i="2" s="1"/>
  <c r="Y15" i="1"/>
  <c r="Z15" i="1" s="1"/>
  <c r="Z21" i="2" s="1"/>
  <c r="Y21" i="1"/>
  <c r="Z21" i="1" s="1"/>
  <c r="Z27" i="2" s="1"/>
  <c r="Y19" i="1"/>
  <c r="Z19" i="1" s="1"/>
  <c r="Z25" i="2" s="1"/>
  <c r="P102" i="3" l="1"/>
  <c r="S102" i="3"/>
  <c r="G102" i="3"/>
  <c r="J102" i="3"/>
  <c r="M97" i="3"/>
  <c r="M98" i="1" l="1"/>
  <c r="M10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加藤大介</author>
  </authors>
  <commentList>
    <comment ref="Y1" authorId="0" shapeId="0" xr:uid="{E3535B1C-C89C-4172-B364-E581509F8795}">
      <text>
        <r>
          <rPr>
            <b/>
            <sz val="9"/>
            <color indexed="81"/>
            <rFont val="MS P ゴシック"/>
            <family val="3"/>
            <charset val="128"/>
          </rPr>
          <t>最も多い内容量</t>
        </r>
      </text>
    </comment>
    <comment ref="Y3" authorId="0" shapeId="0" xr:uid="{04F1FB05-C0B4-4AAB-8208-78682C770E0E}">
      <text>
        <r>
          <rPr>
            <b/>
            <sz val="9"/>
            <color indexed="81"/>
            <rFont val="MS P ゴシック"/>
            <family val="3"/>
            <charset val="128"/>
          </rPr>
          <t>一番多い袋の合数</t>
        </r>
      </text>
    </comment>
    <comment ref="Y4" authorId="0" shapeId="0" xr:uid="{9CB55EB7-6410-482C-A656-46D1B76CED2B}">
      <text>
        <r>
          <rPr>
            <b/>
            <sz val="9"/>
            <color indexed="81"/>
            <rFont val="MS P ゴシック"/>
            <family val="3"/>
            <charset val="128"/>
          </rPr>
          <t>一番多い施設の袋数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k-wada</author>
  </authors>
  <commentList>
    <comment ref="E1" authorId="0" shapeId="0" xr:uid="{A092C36A-462F-4E33-A8C3-7A21FCC29FF2}">
      <text>
        <r>
          <rPr>
            <sz val="14"/>
            <color indexed="81"/>
            <rFont val="MS P ゴシック"/>
            <family val="3"/>
            <charset val="128"/>
          </rPr>
          <t>調味液の数量
必ず%で入力</t>
        </r>
      </text>
    </comment>
  </commentList>
</comments>
</file>

<file path=xl/sharedStrings.xml><?xml version="1.0" encoding="utf-8"?>
<sst xmlns="http://schemas.openxmlformats.org/spreadsheetml/2006/main" count="160" uniqueCount="43">
  <si>
    <t>g</t>
    <phoneticPr fontId="1"/>
  </si>
  <si>
    <t>ｇ</t>
    <phoneticPr fontId="1"/>
  </si>
  <si>
    <t>寿司具(g)</t>
    <rPh sb="0" eb="2">
      <t>スシ</t>
    </rPh>
    <rPh sb="2" eb="3">
      <t>グ</t>
    </rPh>
    <phoneticPr fontId="1"/>
  </si>
  <si>
    <t>米(合)</t>
    <rPh sb="0" eb="1">
      <t>コメ</t>
    </rPh>
    <rPh sb="2" eb="3">
      <t>ゴウ</t>
    </rPh>
    <phoneticPr fontId="1"/>
  </si>
  <si>
    <t>寿司酢(g)</t>
    <rPh sb="0" eb="2">
      <t>スシ</t>
    </rPh>
    <rPh sb="2" eb="3">
      <t>ス</t>
    </rPh>
    <phoneticPr fontId="1"/>
  </si>
  <si>
    <t>合計</t>
    <rPh sb="0" eb="2">
      <t>ゴウケイ</t>
    </rPh>
    <phoneticPr fontId="1"/>
  </si>
  <si>
    <t>寿司具</t>
    <rPh sb="0" eb="2">
      <t>スシ</t>
    </rPh>
    <rPh sb="2" eb="3">
      <t>グ</t>
    </rPh>
    <phoneticPr fontId="1"/>
  </si>
  <si>
    <t>比率</t>
    <rPh sb="0" eb="2">
      <t>ヒリツ</t>
    </rPh>
    <phoneticPr fontId="1"/>
  </si>
  <si>
    <t>1人</t>
    <rPh sb="1" eb="2">
      <t>ニン</t>
    </rPh>
    <phoneticPr fontId="1"/>
  </si>
  <si>
    <t>10人</t>
    <rPh sb="2" eb="3">
      <t>ニン</t>
    </rPh>
    <phoneticPr fontId="1"/>
  </si>
  <si>
    <t>合数</t>
    <rPh sb="0" eb="1">
      <t>ゴウ</t>
    </rPh>
    <rPh sb="1" eb="2">
      <t>スウ</t>
    </rPh>
    <phoneticPr fontId="1"/>
  </si>
  <si>
    <t>出汁</t>
    <rPh sb="0" eb="2">
      <t>ダシ</t>
    </rPh>
    <phoneticPr fontId="1"/>
  </si>
  <si>
    <t>ゆず酢</t>
    <rPh sb="2" eb="3">
      <t>ス</t>
    </rPh>
    <phoneticPr fontId="1"/>
  </si>
  <si>
    <t>うずら豆</t>
    <rPh sb="3" eb="4">
      <t>マメ</t>
    </rPh>
    <phoneticPr fontId="1"/>
  </si>
  <si>
    <t>錦糸玉子(乾燥)</t>
    <rPh sb="0" eb="2">
      <t>キンシ</t>
    </rPh>
    <rPh sb="2" eb="4">
      <t>タマゴ</t>
    </rPh>
    <rPh sb="5" eb="7">
      <t>カンソウ</t>
    </rPh>
    <phoneticPr fontId="1"/>
  </si>
  <si>
    <t>さくらでんぶ</t>
    <phoneticPr fontId="1"/>
  </si>
  <si>
    <t>月</t>
    <rPh sb="0" eb="1">
      <t>ガツ</t>
    </rPh>
    <phoneticPr fontId="1"/>
  </si>
  <si>
    <t>袋数</t>
    <rPh sb="0" eb="2">
      <t>フクロスウ</t>
    </rPh>
    <phoneticPr fontId="1"/>
  </si>
  <si>
    <t>基本食</t>
    <rPh sb="0" eb="3">
      <t>キホンショク</t>
    </rPh>
    <phoneticPr fontId="1"/>
  </si>
  <si>
    <t>合計(基本食)</t>
    <rPh sb="0" eb="2">
      <t>ゴウケイ</t>
    </rPh>
    <rPh sb="3" eb="6">
      <t>キホンショク</t>
    </rPh>
    <phoneticPr fontId="1"/>
  </si>
  <si>
    <t>針刺し用</t>
    <rPh sb="0" eb="2">
      <t>ハリサ</t>
    </rPh>
    <rPh sb="3" eb="4">
      <t>ヨウ</t>
    </rPh>
    <phoneticPr fontId="1"/>
  </si>
  <si>
    <t>保存用(10人袋)</t>
    <rPh sb="0" eb="2">
      <t>ホゾン</t>
    </rPh>
    <rPh sb="2" eb="3">
      <t>ヨウ</t>
    </rPh>
    <rPh sb="6" eb="7">
      <t>ニン</t>
    </rPh>
    <rPh sb="7" eb="8">
      <t>フクロ</t>
    </rPh>
    <phoneticPr fontId="1"/>
  </si>
  <si>
    <t>-</t>
  </si>
  <si>
    <t>-</t>
    <phoneticPr fontId="1"/>
  </si>
  <si>
    <t>合計数量</t>
    <rPh sb="0" eb="2">
      <t>ゴウケイ</t>
    </rPh>
    <rPh sb="2" eb="4">
      <t>スウリョウ</t>
    </rPh>
    <phoneticPr fontId="1"/>
  </si>
  <si>
    <t>ソフト(注文数量)</t>
    <rPh sb="4" eb="6">
      <t>チュウモン</t>
    </rPh>
    <rPh sb="6" eb="8">
      <t>スウリョウ</t>
    </rPh>
    <phoneticPr fontId="1"/>
  </si>
  <si>
    <t>ゼリー(注文数量)</t>
    <phoneticPr fontId="1"/>
  </si>
  <si>
    <t>ミキサー(注文数量)</t>
    <phoneticPr fontId="1"/>
  </si>
  <si>
    <t>補正なし(g)</t>
    <rPh sb="0" eb="2">
      <t>ホセイ</t>
    </rPh>
    <phoneticPr fontId="1"/>
  </si>
  <si>
    <t>補正あり(g)</t>
    <rPh sb="0" eb="2">
      <t>ホセイ</t>
    </rPh>
    <phoneticPr fontId="1"/>
  </si>
  <si>
    <t>具材量補正割合</t>
    <rPh sb="0" eb="3">
      <t>グザイリョウ</t>
    </rPh>
    <rPh sb="3" eb="5">
      <t>ホセイ</t>
    </rPh>
    <rPh sb="5" eb="7">
      <t>ワリアイ</t>
    </rPh>
    <phoneticPr fontId="1"/>
  </si>
  <si>
    <t>10人前(針刺し用)</t>
    <rPh sb="2" eb="4">
      <t>ニンマエ</t>
    </rPh>
    <rPh sb="5" eb="7">
      <t>ハリサ</t>
    </rPh>
    <rPh sb="8" eb="9">
      <t>ヨウ</t>
    </rPh>
    <phoneticPr fontId="3"/>
  </si>
  <si>
    <t>ソフト合計(注文数量)</t>
    <rPh sb="6" eb="8">
      <t>チュウモン</t>
    </rPh>
    <rPh sb="8" eb="10">
      <t>スウリョウ</t>
    </rPh>
    <phoneticPr fontId="1"/>
  </si>
  <si>
    <t>ミキサー合計(注文数量)</t>
    <phoneticPr fontId="1"/>
  </si>
  <si>
    <t>ゼリー合計(注文数量)</t>
    <phoneticPr fontId="1"/>
  </si>
  <si>
    <t>一人用袋数</t>
    <rPh sb="0" eb="2">
      <t>イチニン</t>
    </rPh>
    <rPh sb="2" eb="3">
      <t>ヨウ</t>
    </rPh>
    <rPh sb="3" eb="5">
      <t>フクロスウ</t>
    </rPh>
    <phoneticPr fontId="1"/>
  </si>
  <si>
    <t>1人用分量(g)</t>
    <rPh sb="1" eb="3">
      <t>ニンヨウ</t>
    </rPh>
    <rPh sb="3" eb="5">
      <t>ブンリョウ</t>
    </rPh>
    <phoneticPr fontId="1"/>
  </si>
  <si>
    <t>ソフト</t>
    <phoneticPr fontId="1"/>
  </si>
  <si>
    <t>保存用</t>
    <rPh sb="0" eb="3">
      <t>ホゾンヨウ</t>
    </rPh>
    <phoneticPr fontId="1"/>
  </si>
  <si>
    <t>保存用(合計)</t>
    <rPh sb="0" eb="3">
      <t>ホゾンヨウ</t>
    </rPh>
    <rPh sb="4" eb="6">
      <t>ゴウケイ</t>
    </rPh>
    <phoneticPr fontId="1"/>
  </si>
  <si>
    <t>ゼリー</t>
    <phoneticPr fontId="1"/>
  </si>
  <si>
    <t>ミキサー</t>
    <phoneticPr fontId="1"/>
  </si>
  <si>
    <t>1人用*袋数</t>
    <rPh sb="1" eb="3">
      <t>ニンヨウ</t>
    </rPh>
    <rPh sb="4" eb="6">
      <t>フクロスウ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</si>
</sst>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;[Red]\-#,##0.0"/>
    <numFmt numFmtId="177" formatCode="0_ "/>
    <numFmt numFmtId="178" formatCode="0.0_ "/>
    <numFmt numFmtId="179" formatCode="#,##0.00_ ;[Red]\-#,##0.00\ "/>
    <numFmt numFmtId="180" formatCode="0.00_ "/>
  </numFmts>
  <fonts count="2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4"/>
      <color indexed="81"/>
      <name val="MS P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6"/>
      <color theme="1"/>
      <name val="HGPｺﾞｼｯｸE"/>
      <family val="3"/>
      <charset val="128"/>
    </font>
    <font>
      <b/>
      <sz val="26"/>
      <color theme="1"/>
      <name val="HGSｺﾞｼｯｸE"/>
      <family val="3"/>
      <charset val="128"/>
    </font>
    <font>
      <sz val="28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8" tint="0.59999389629810485"/>
        <bgColor indexed="64"/>
      </patternFill>
    </fill>
  </fills>
  <borders count="8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38" fontId="0" fillId="0" borderId="0" xfId="1" applyFont="1">
      <alignment vertical="center"/>
    </xf>
    <xf numFmtId="10" fontId="0" fillId="0" borderId="0" xfId="2" applyNumberFormat="1" applyFont="1">
      <alignment vertical="center"/>
    </xf>
    <xf numFmtId="40" fontId="0" fillId="0" borderId="0" xfId="1" applyNumberFormat="1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>
      <alignment vertical="center"/>
    </xf>
    <xf numFmtId="56" fontId="10" fillId="0" borderId="0" xfId="0" applyNumberFormat="1" applyFont="1" applyAlignment="1">
      <alignment horizontal="center" vertical="center"/>
    </xf>
    <xf numFmtId="38" fontId="10" fillId="0" borderId="0" xfId="1" applyFont="1">
      <alignment vertical="center"/>
    </xf>
    <xf numFmtId="10" fontId="10" fillId="0" borderId="0" xfId="2" applyNumberFormat="1" applyFont="1">
      <alignment vertical="center"/>
    </xf>
    <xf numFmtId="40" fontId="10" fillId="0" borderId="0" xfId="1" applyNumberFormat="1" applyFont="1">
      <alignment vertical="center"/>
    </xf>
    <xf numFmtId="0" fontId="11" fillId="0" borderId="0" xfId="0" applyFont="1">
      <alignment vertical="center"/>
    </xf>
    <xf numFmtId="10" fontId="11" fillId="0" borderId="0" xfId="2" applyNumberFormat="1" applyFont="1">
      <alignment vertical="center"/>
    </xf>
    <xf numFmtId="40" fontId="11" fillId="0" borderId="0" xfId="1" applyNumberFormat="1" applyFont="1">
      <alignment vertical="center"/>
    </xf>
    <xf numFmtId="40" fontId="9" fillId="0" borderId="0" xfId="1" applyNumberFormat="1" applyFont="1">
      <alignment vertical="center"/>
    </xf>
    <xf numFmtId="0" fontId="10" fillId="5" borderId="2" xfId="0" applyFont="1" applyFill="1" applyBorder="1">
      <alignment vertical="center"/>
    </xf>
    <xf numFmtId="0" fontId="10" fillId="0" borderId="40" xfId="0" applyFont="1" applyBorder="1">
      <alignment vertical="center"/>
    </xf>
    <xf numFmtId="0" fontId="10" fillId="5" borderId="52" xfId="0" applyFont="1" applyFill="1" applyBorder="1">
      <alignment vertical="center"/>
    </xf>
    <xf numFmtId="0" fontId="4" fillId="5" borderId="52" xfId="0" applyFont="1" applyFill="1" applyBorder="1">
      <alignment vertical="center"/>
    </xf>
    <xf numFmtId="0" fontId="10" fillId="5" borderId="15" xfId="0" applyFont="1" applyFill="1" applyBorder="1">
      <alignment vertical="center"/>
    </xf>
    <xf numFmtId="38" fontId="12" fillId="0" borderId="0" xfId="1" applyFont="1" applyFill="1">
      <alignment vertical="center"/>
    </xf>
    <xf numFmtId="38" fontId="2" fillId="0" borderId="0" xfId="1" applyFont="1" applyFill="1">
      <alignment vertical="center"/>
    </xf>
    <xf numFmtId="0" fontId="10" fillId="0" borderId="2" xfId="0" applyFont="1" applyBorder="1">
      <alignment vertical="center"/>
    </xf>
    <xf numFmtId="0" fontId="10" fillId="0" borderId="42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41" xfId="0" applyFont="1" applyBorder="1">
      <alignment vertical="center"/>
    </xf>
    <xf numFmtId="0" fontId="4" fillId="0" borderId="13" xfId="0" applyFont="1" applyBorder="1">
      <alignment vertical="center"/>
    </xf>
    <xf numFmtId="0" fontId="10" fillId="0" borderId="52" xfId="0" applyFont="1" applyBorder="1">
      <alignment vertical="center"/>
    </xf>
    <xf numFmtId="0" fontId="0" fillId="0" borderId="52" xfId="0" applyBorder="1">
      <alignment vertical="center"/>
    </xf>
    <xf numFmtId="0" fontId="5" fillId="0" borderId="0" xfId="0" applyFont="1" applyAlignment="1">
      <alignment horizontal="left" vertical="center"/>
    </xf>
    <xf numFmtId="0" fontId="7" fillId="0" borderId="51" xfId="0" applyFont="1" applyBorder="1">
      <alignment vertical="center"/>
    </xf>
    <xf numFmtId="38" fontId="14" fillId="2" borderId="19" xfId="1" applyFont="1" applyFill="1" applyBorder="1">
      <alignment vertical="center"/>
    </xf>
    <xf numFmtId="38" fontId="15" fillId="0" borderId="19" xfId="1" applyFont="1" applyFill="1" applyBorder="1">
      <alignment vertical="center"/>
    </xf>
    <xf numFmtId="38" fontId="14" fillId="2" borderId="9" xfId="1" applyFont="1" applyFill="1" applyBorder="1">
      <alignment vertical="center"/>
    </xf>
    <xf numFmtId="38" fontId="15" fillId="0" borderId="9" xfId="1" applyFont="1" applyFill="1" applyBorder="1">
      <alignment vertical="center"/>
    </xf>
    <xf numFmtId="38" fontId="14" fillId="6" borderId="9" xfId="1" applyFont="1" applyFill="1" applyBorder="1">
      <alignment vertical="center"/>
    </xf>
    <xf numFmtId="38" fontId="15" fillId="0" borderId="7" xfId="1" applyFont="1" applyFill="1" applyBorder="1">
      <alignment vertical="center"/>
    </xf>
    <xf numFmtId="38" fontId="14" fillId="2" borderId="8" xfId="1" applyFont="1" applyFill="1" applyBorder="1">
      <alignment vertical="center"/>
    </xf>
    <xf numFmtId="38" fontId="14" fillId="3" borderId="9" xfId="1" applyFont="1" applyFill="1" applyBorder="1">
      <alignment vertical="center"/>
    </xf>
    <xf numFmtId="177" fontId="14" fillId="0" borderId="39" xfId="0" applyNumberFormat="1" applyFont="1" applyBorder="1">
      <alignment vertical="center"/>
    </xf>
    <xf numFmtId="177" fontId="14" fillId="0" borderId="43" xfId="0" applyNumberFormat="1" applyFont="1" applyBorder="1">
      <alignment vertical="center"/>
    </xf>
    <xf numFmtId="38" fontId="14" fillId="3" borderId="45" xfId="1" applyFont="1" applyFill="1" applyBorder="1">
      <alignment vertical="center"/>
    </xf>
    <xf numFmtId="177" fontId="14" fillId="0" borderId="3" xfId="0" applyNumberFormat="1" applyFont="1" applyBorder="1">
      <alignment vertical="center"/>
    </xf>
    <xf numFmtId="38" fontId="14" fillId="3" borderId="5" xfId="1" applyFont="1" applyFill="1" applyBorder="1">
      <alignment vertical="center"/>
    </xf>
    <xf numFmtId="38" fontId="14" fillId="3" borderId="24" xfId="1" applyFont="1" applyFill="1" applyBorder="1">
      <alignment vertical="center"/>
    </xf>
    <xf numFmtId="38" fontId="14" fillId="3" borderId="44" xfId="1" applyFont="1" applyFill="1" applyBorder="1">
      <alignment vertical="center"/>
    </xf>
    <xf numFmtId="38" fontId="14" fillId="6" borderId="41" xfId="1" applyFont="1" applyFill="1" applyBorder="1">
      <alignment vertical="center"/>
    </xf>
    <xf numFmtId="38" fontId="14" fillId="6" borderId="3" xfId="1" applyFont="1" applyFill="1" applyBorder="1">
      <alignment vertical="center"/>
    </xf>
    <xf numFmtId="38" fontId="14" fillId="6" borderId="43" xfId="1" applyFont="1" applyFill="1" applyBorder="1">
      <alignment vertical="center"/>
    </xf>
    <xf numFmtId="38" fontId="14" fillId="3" borderId="21" xfId="1" applyFont="1" applyFill="1" applyBorder="1">
      <alignment vertical="center"/>
    </xf>
    <xf numFmtId="38" fontId="14" fillId="3" borderId="38" xfId="1" applyFont="1" applyFill="1" applyBorder="1">
      <alignment vertical="center"/>
    </xf>
    <xf numFmtId="38" fontId="14" fillId="2" borderId="21" xfId="1" applyFont="1" applyFill="1" applyBorder="1">
      <alignment vertical="center"/>
    </xf>
    <xf numFmtId="38" fontId="14" fillId="2" borderId="22" xfId="1" applyFont="1" applyFill="1" applyBorder="1">
      <alignment vertical="center"/>
    </xf>
    <xf numFmtId="38" fontId="14" fillId="2" borderId="24" xfId="1" applyFont="1" applyFill="1" applyBorder="1">
      <alignment vertical="center"/>
    </xf>
    <xf numFmtId="38" fontId="14" fillId="2" borderId="1" xfId="1" applyFont="1" applyFill="1" applyBorder="1">
      <alignment vertical="center"/>
    </xf>
    <xf numFmtId="38" fontId="15" fillId="0" borderId="4" xfId="1" applyFont="1" applyFill="1" applyBorder="1">
      <alignment vertical="center"/>
    </xf>
    <xf numFmtId="38" fontId="14" fillId="2" borderId="53" xfId="1" applyFont="1" applyFill="1" applyBorder="1">
      <alignment vertical="center"/>
    </xf>
    <xf numFmtId="38" fontId="15" fillId="0" borderId="16" xfId="1" applyFont="1" applyFill="1" applyBorder="1">
      <alignment vertical="center"/>
    </xf>
    <xf numFmtId="0" fontId="7" fillId="0" borderId="10" xfId="0" applyFont="1" applyBorder="1" applyAlignment="1">
      <alignment horizontal="center" vertical="center"/>
    </xf>
    <xf numFmtId="38" fontId="7" fillId="2" borderId="20" xfId="1" applyFont="1" applyFill="1" applyBorder="1" applyAlignment="1">
      <alignment horizontal="center" vertical="center" wrapText="1"/>
    </xf>
    <xf numFmtId="38" fontId="7" fillId="2" borderId="12" xfId="1" applyFont="1" applyFill="1" applyBorder="1" applyAlignment="1">
      <alignment horizontal="center" vertical="center"/>
    </xf>
    <xf numFmtId="38" fontId="16" fillId="0" borderId="12" xfId="1" applyFont="1" applyFill="1" applyBorder="1" applyAlignment="1">
      <alignment horizontal="center" vertical="center"/>
    </xf>
    <xf numFmtId="38" fontId="7" fillId="2" borderId="12" xfId="1" applyFont="1" applyFill="1" applyBorder="1" applyAlignment="1">
      <alignment horizontal="center" vertical="center" wrapText="1"/>
    </xf>
    <xf numFmtId="38" fontId="7" fillId="6" borderId="34" xfId="1" applyFont="1" applyFill="1" applyBorder="1" applyAlignment="1">
      <alignment horizontal="center" vertical="center" wrapText="1"/>
    </xf>
    <xf numFmtId="38" fontId="7" fillId="6" borderId="12" xfId="1" applyFont="1" applyFill="1" applyBorder="1" applyAlignment="1">
      <alignment horizontal="center" vertical="center"/>
    </xf>
    <xf numFmtId="38" fontId="16" fillId="0" borderId="11" xfId="1" applyFont="1" applyFill="1" applyBorder="1" applyAlignment="1">
      <alignment horizontal="center" vertical="center"/>
    </xf>
    <xf numFmtId="38" fontId="7" fillId="2" borderId="46" xfId="1" applyFont="1" applyFill="1" applyBorder="1" applyAlignment="1">
      <alignment horizontal="center" vertical="center" wrapText="1"/>
    </xf>
    <xf numFmtId="38" fontId="7" fillId="3" borderId="20" xfId="1" applyFont="1" applyFill="1" applyBorder="1" applyAlignment="1">
      <alignment horizontal="center" vertical="center" wrapText="1"/>
    </xf>
    <xf numFmtId="38" fontId="7" fillId="3" borderId="12" xfId="1" applyFont="1" applyFill="1" applyBorder="1" applyAlignment="1">
      <alignment horizontal="center" vertical="center"/>
    </xf>
    <xf numFmtId="38" fontId="7" fillId="3" borderId="12" xfId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10" fontId="7" fillId="0" borderId="25" xfId="2" applyNumberFormat="1" applyFont="1" applyBorder="1" applyAlignment="1">
      <alignment horizontal="center" vertical="center"/>
    </xf>
    <xf numFmtId="40" fontId="7" fillId="0" borderId="25" xfId="1" applyNumberFormat="1" applyFont="1" applyBorder="1" applyAlignment="1">
      <alignment horizontal="right" vertical="center"/>
    </xf>
    <xf numFmtId="0" fontId="7" fillId="0" borderId="19" xfId="0" applyFont="1" applyBorder="1" applyAlignment="1">
      <alignment vertical="center" shrinkToFit="1"/>
    </xf>
    <xf numFmtId="10" fontId="7" fillId="0" borderId="19" xfId="2" applyNumberFormat="1" applyFont="1" applyBorder="1">
      <alignment vertical="center"/>
    </xf>
    <xf numFmtId="38" fontId="7" fillId="0" borderId="19" xfId="1" applyFont="1" applyBorder="1">
      <alignment vertical="center"/>
    </xf>
    <xf numFmtId="0" fontId="7" fillId="0" borderId="24" xfId="0" applyFont="1" applyBorder="1" applyAlignment="1">
      <alignment vertical="center" shrinkToFit="1"/>
    </xf>
    <xf numFmtId="10" fontId="7" fillId="0" borderId="24" xfId="2" applyNumberFormat="1" applyFont="1" applyBorder="1">
      <alignment vertical="center"/>
    </xf>
    <xf numFmtId="38" fontId="7" fillId="0" borderId="24" xfId="1" applyFont="1" applyBorder="1">
      <alignment vertical="center"/>
    </xf>
    <xf numFmtId="0" fontId="7" fillId="0" borderId="0" xfId="0" applyFont="1">
      <alignment vertical="center"/>
    </xf>
    <xf numFmtId="10" fontId="7" fillId="0" borderId="0" xfId="2" applyNumberFormat="1" applyFont="1">
      <alignment vertical="center"/>
    </xf>
    <xf numFmtId="38" fontId="7" fillId="0" borderId="0" xfId="1" applyFont="1">
      <alignment vertical="center"/>
    </xf>
    <xf numFmtId="40" fontId="7" fillId="0" borderId="0" xfId="1" applyNumberFormat="1" applyFont="1">
      <alignment vertical="center"/>
    </xf>
    <xf numFmtId="0" fontId="7" fillId="0" borderId="30" xfId="0" applyFont="1" applyBorder="1">
      <alignment vertical="center"/>
    </xf>
    <xf numFmtId="0" fontId="7" fillId="0" borderId="14" xfId="0" applyFont="1" applyBorder="1">
      <alignment vertical="center"/>
    </xf>
    <xf numFmtId="177" fontId="7" fillId="0" borderId="6" xfId="0" applyNumberFormat="1" applyFont="1" applyBorder="1">
      <alignment vertical="center"/>
    </xf>
    <xf numFmtId="38" fontId="7" fillId="2" borderId="19" xfId="1" applyFont="1" applyFill="1" applyBorder="1">
      <alignment vertical="center"/>
    </xf>
    <xf numFmtId="38" fontId="16" fillId="0" borderId="19" xfId="1" applyFont="1" applyFill="1" applyBorder="1">
      <alignment vertical="center"/>
    </xf>
    <xf numFmtId="38" fontId="7" fillId="2" borderId="9" xfId="1" applyFont="1" applyFill="1" applyBorder="1">
      <alignment vertical="center"/>
    </xf>
    <xf numFmtId="38" fontId="16" fillId="0" borderId="9" xfId="1" applyFont="1" applyFill="1" applyBorder="1">
      <alignment vertical="center"/>
    </xf>
    <xf numFmtId="38" fontId="7" fillId="6" borderId="29" xfId="1" applyFont="1" applyFill="1" applyBorder="1">
      <alignment vertical="center"/>
    </xf>
    <xf numFmtId="38" fontId="7" fillId="6" borderId="9" xfId="1" applyFont="1" applyFill="1" applyBorder="1">
      <alignment vertical="center"/>
    </xf>
    <xf numFmtId="38" fontId="16" fillId="0" borderId="7" xfId="1" applyFont="1" applyFill="1" applyBorder="1">
      <alignment vertical="center"/>
    </xf>
    <xf numFmtId="38" fontId="7" fillId="2" borderId="8" xfId="1" applyFont="1" applyFill="1" applyBorder="1">
      <alignment vertical="center"/>
    </xf>
    <xf numFmtId="38" fontId="7" fillId="3" borderId="19" xfId="1" applyFont="1" applyFill="1" applyBorder="1">
      <alignment vertical="center"/>
    </xf>
    <xf numFmtId="38" fontId="7" fillId="3" borderId="9" xfId="1" applyFont="1" applyFill="1" applyBorder="1">
      <alignment vertical="center"/>
    </xf>
    <xf numFmtId="0" fontId="7" fillId="0" borderId="18" xfId="0" applyFont="1" applyBorder="1">
      <alignment vertical="center"/>
    </xf>
    <xf numFmtId="0" fontId="7" fillId="0" borderId="2" xfId="0" applyFont="1" applyBorder="1">
      <alignment vertical="center"/>
    </xf>
    <xf numFmtId="177" fontId="7" fillId="0" borderId="39" xfId="0" applyNumberFormat="1" applyFont="1" applyBorder="1">
      <alignment vertical="center"/>
    </xf>
    <xf numFmtId="177" fontId="7" fillId="0" borderId="43" xfId="0" applyNumberFormat="1" applyFont="1" applyBorder="1">
      <alignment vertical="center"/>
    </xf>
    <xf numFmtId="38" fontId="7" fillId="3" borderId="45" xfId="1" applyFont="1" applyFill="1" applyBorder="1">
      <alignment vertical="center"/>
    </xf>
    <xf numFmtId="177" fontId="7" fillId="0" borderId="3" xfId="0" applyNumberFormat="1" applyFont="1" applyBorder="1">
      <alignment vertical="center"/>
    </xf>
    <xf numFmtId="38" fontId="7" fillId="3" borderId="5" xfId="1" applyFont="1" applyFill="1" applyBorder="1">
      <alignment vertical="center"/>
    </xf>
    <xf numFmtId="0" fontId="17" fillId="0" borderId="2" xfId="0" applyFont="1" applyBorder="1">
      <alignment vertical="center"/>
    </xf>
    <xf numFmtId="38" fontId="7" fillId="6" borderId="13" xfId="1" applyFont="1" applyFill="1" applyBorder="1">
      <alignment vertical="center"/>
    </xf>
    <xf numFmtId="38" fontId="7" fillId="3" borderId="24" xfId="1" applyFont="1" applyFill="1" applyBorder="1">
      <alignment vertical="center"/>
    </xf>
    <xf numFmtId="0" fontId="7" fillId="0" borderId="23" xfId="0" applyFont="1" applyBorder="1">
      <alignment vertical="center"/>
    </xf>
    <xf numFmtId="0" fontId="7" fillId="0" borderId="42" xfId="0" applyFont="1" applyBorder="1">
      <alignment vertical="center"/>
    </xf>
    <xf numFmtId="38" fontId="7" fillId="3" borderId="44" xfId="1" applyFont="1" applyFill="1" applyBorder="1">
      <alignment vertical="center"/>
    </xf>
    <xf numFmtId="38" fontId="7" fillId="6" borderId="41" xfId="1" applyFont="1" applyFill="1" applyBorder="1">
      <alignment vertical="center"/>
    </xf>
    <xf numFmtId="0" fontId="7" fillId="0" borderId="13" xfId="0" applyFont="1" applyBorder="1">
      <alignment vertical="center"/>
    </xf>
    <xf numFmtId="0" fontId="7" fillId="0" borderId="41" xfId="0" applyFont="1" applyBorder="1">
      <alignment vertical="center"/>
    </xf>
    <xf numFmtId="38" fontId="7" fillId="6" borderId="3" xfId="1" applyFont="1" applyFill="1" applyBorder="1">
      <alignment vertical="center"/>
    </xf>
    <xf numFmtId="38" fontId="7" fillId="6" borderId="43" xfId="1" applyFont="1" applyFill="1" applyBorder="1">
      <alignment vertical="center"/>
    </xf>
    <xf numFmtId="0" fontId="7" fillId="0" borderId="52" xfId="0" applyFont="1" applyBorder="1">
      <alignment vertical="center"/>
    </xf>
    <xf numFmtId="38" fontId="16" fillId="0" borderId="50" xfId="1" applyFont="1" applyFill="1" applyBorder="1">
      <alignment vertical="center"/>
    </xf>
    <xf numFmtId="38" fontId="16" fillId="2" borderId="48" xfId="1" applyFont="1" applyFill="1" applyBorder="1">
      <alignment vertical="center"/>
    </xf>
    <xf numFmtId="38" fontId="16" fillId="2" borderId="49" xfId="1" applyFont="1" applyFill="1" applyBorder="1">
      <alignment vertical="center"/>
    </xf>
    <xf numFmtId="38" fontId="16" fillId="0" borderId="49" xfId="1" applyFont="1" applyFill="1" applyBorder="1">
      <alignment vertical="center"/>
    </xf>
    <xf numFmtId="38" fontId="16" fillId="0" borderId="27" xfId="1" applyFont="1" applyFill="1" applyBorder="1">
      <alignment vertical="center"/>
    </xf>
    <xf numFmtId="38" fontId="16" fillId="6" borderId="50" xfId="1" applyFont="1" applyFill="1" applyBorder="1">
      <alignment vertical="center"/>
    </xf>
    <xf numFmtId="38" fontId="16" fillId="6" borderId="49" xfId="1" applyFont="1" applyFill="1" applyBorder="1">
      <alignment vertical="center"/>
    </xf>
    <xf numFmtId="38" fontId="16" fillId="0" borderId="28" xfId="1" applyFont="1" applyFill="1" applyBorder="1">
      <alignment vertical="center"/>
    </xf>
    <xf numFmtId="38" fontId="16" fillId="3" borderId="48" xfId="1" applyFont="1" applyFill="1" applyBorder="1">
      <alignment vertical="center"/>
    </xf>
    <xf numFmtId="38" fontId="16" fillId="3" borderId="27" xfId="1" applyFont="1" applyFill="1" applyBorder="1">
      <alignment vertical="center"/>
    </xf>
    <xf numFmtId="38" fontId="16" fillId="3" borderId="54" xfId="1" applyFont="1" applyFill="1" applyBorder="1">
      <alignment vertical="center"/>
    </xf>
    <xf numFmtId="38" fontId="16" fillId="0" borderId="47" xfId="1" applyFont="1" applyFill="1" applyBorder="1">
      <alignment vertical="center"/>
    </xf>
    <xf numFmtId="38" fontId="16" fillId="0" borderId="49" xfId="1" quotePrefix="1" applyFont="1" applyFill="1" applyBorder="1">
      <alignment vertical="center"/>
    </xf>
    <xf numFmtId="38" fontId="16" fillId="0" borderId="5" xfId="1" applyFont="1" applyFill="1" applyBorder="1">
      <alignment vertical="center"/>
    </xf>
    <xf numFmtId="178" fontId="7" fillId="0" borderId="6" xfId="0" applyNumberFormat="1" applyFont="1" applyBorder="1">
      <alignment vertical="center"/>
    </xf>
    <xf numFmtId="40" fontId="19" fillId="0" borderId="24" xfId="1" applyNumberFormat="1" applyFont="1" applyBorder="1">
      <alignment vertical="center"/>
    </xf>
    <xf numFmtId="40" fontId="19" fillId="7" borderId="24" xfId="1" applyNumberFormat="1" applyFont="1" applyFill="1" applyBorder="1">
      <alignment vertical="center"/>
    </xf>
    <xf numFmtId="0" fontId="18" fillId="0" borderId="0" xfId="0" applyFont="1">
      <alignment vertical="center"/>
    </xf>
    <xf numFmtId="38" fontId="16" fillId="0" borderId="47" xfId="1" quotePrefix="1" applyFont="1" applyFill="1" applyBorder="1">
      <alignment vertical="center"/>
    </xf>
    <xf numFmtId="0" fontId="5" fillId="0" borderId="26" xfId="0" applyFont="1" applyBorder="1" applyAlignment="1">
      <alignment horizontal="center" vertical="center"/>
    </xf>
    <xf numFmtId="9" fontId="21" fillId="0" borderId="49" xfId="0" applyNumberFormat="1" applyFont="1" applyBorder="1">
      <alignment vertical="center"/>
    </xf>
    <xf numFmtId="176" fontId="5" fillId="3" borderId="54" xfId="1" applyNumberFormat="1" applyFont="1" applyFill="1" applyBorder="1" applyAlignment="1">
      <alignment horizontal="center" vertical="center"/>
    </xf>
    <xf numFmtId="0" fontId="21" fillId="3" borderId="49" xfId="0" applyFont="1" applyFill="1" applyBorder="1">
      <alignment vertical="center"/>
    </xf>
    <xf numFmtId="0" fontId="5" fillId="0" borderId="54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9" fontId="21" fillId="0" borderId="27" xfId="0" applyNumberFormat="1" applyFont="1" applyBorder="1">
      <alignment vertical="center"/>
    </xf>
    <xf numFmtId="0" fontId="20" fillId="4" borderId="3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2" fillId="4" borderId="7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shrinkToFit="1"/>
    </xf>
    <xf numFmtId="0" fontId="20" fillId="4" borderId="46" xfId="0" applyFont="1" applyFill="1" applyBorder="1" applyAlignment="1">
      <alignment horizontal="center" vertical="center"/>
    </xf>
    <xf numFmtId="0" fontId="23" fillId="0" borderId="66" xfId="0" applyFont="1" applyBorder="1">
      <alignment vertical="center"/>
    </xf>
    <xf numFmtId="0" fontId="21" fillId="0" borderId="36" xfId="0" applyFont="1" applyBorder="1">
      <alignment vertical="center"/>
    </xf>
    <xf numFmtId="0" fontId="5" fillId="0" borderId="29" xfId="0" applyFont="1" applyBorder="1" applyAlignment="1">
      <alignment horizontal="center" vertical="center"/>
    </xf>
    <xf numFmtId="9" fontId="21" fillId="0" borderId="8" xfId="0" applyNumberFormat="1" applyFont="1" applyBorder="1">
      <alignment vertical="center"/>
    </xf>
    <xf numFmtId="176" fontId="5" fillId="3" borderId="9" xfId="1" applyNumberFormat="1" applyFont="1" applyFill="1" applyBorder="1" applyAlignment="1">
      <alignment horizontal="center" vertical="center"/>
    </xf>
    <xf numFmtId="0" fontId="21" fillId="3" borderId="8" xfId="0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9" fontId="21" fillId="0" borderId="30" xfId="0" applyNumberFormat="1" applyFont="1" applyBorder="1">
      <alignment vertical="center"/>
    </xf>
    <xf numFmtId="0" fontId="23" fillId="0" borderId="64" xfId="0" applyFont="1" applyBorder="1">
      <alignment vertical="center"/>
    </xf>
    <xf numFmtId="0" fontId="23" fillId="0" borderId="33" xfId="0" applyFont="1" applyBorder="1">
      <alignment vertical="center"/>
    </xf>
    <xf numFmtId="0" fontId="21" fillId="0" borderId="31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9" fontId="21" fillId="0" borderId="62" xfId="0" applyNumberFormat="1" applyFont="1" applyBorder="1">
      <alignment vertical="center"/>
    </xf>
    <xf numFmtId="38" fontId="5" fillId="3" borderId="61" xfId="1" applyFont="1" applyFill="1" applyBorder="1" applyAlignment="1">
      <alignment horizontal="center" vertical="center"/>
    </xf>
    <xf numFmtId="0" fontId="21" fillId="3" borderId="62" xfId="0" applyFont="1" applyFill="1" applyBorder="1">
      <alignment vertical="center"/>
    </xf>
    <xf numFmtId="0" fontId="5" fillId="0" borderId="6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23" fillId="0" borderId="67" xfId="0" applyFont="1" applyBorder="1">
      <alignment vertical="center"/>
    </xf>
    <xf numFmtId="0" fontId="21" fillId="0" borderId="37" xfId="0" applyFont="1" applyBorder="1">
      <alignment vertical="center"/>
    </xf>
    <xf numFmtId="9" fontId="21" fillId="0" borderId="57" xfId="0" applyNumberFormat="1" applyFont="1" applyBorder="1">
      <alignment vertical="center"/>
    </xf>
    <xf numFmtId="0" fontId="23" fillId="0" borderId="62" xfId="0" applyFont="1" applyBorder="1">
      <alignment vertical="center"/>
    </xf>
    <xf numFmtId="0" fontId="21" fillId="5" borderId="7" xfId="0" applyFont="1" applyFill="1" applyBorder="1">
      <alignment vertical="center"/>
    </xf>
    <xf numFmtId="38" fontId="5" fillId="0" borderId="29" xfId="0" applyNumberFormat="1" applyFont="1" applyBorder="1" applyAlignment="1">
      <alignment horizontal="center" vertical="center"/>
    </xf>
    <xf numFmtId="38" fontId="5" fillId="3" borderId="9" xfId="1" applyFont="1" applyFill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38" fontId="5" fillId="0" borderId="72" xfId="0" applyNumberFormat="1" applyFont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21" fillId="3" borderId="1" xfId="0" applyFont="1" applyFill="1" applyBorder="1">
      <alignment vertical="center"/>
    </xf>
    <xf numFmtId="38" fontId="5" fillId="0" borderId="5" xfId="0" applyNumberFormat="1" applyFont="1" applyBorder="1" applyAlignment="1">
      <alignment horizontal="center" vertical="center"/>
    </xf>
    <xf numFmtId="38" fontId="5" fillId="0" borderId="75" xfId="0" applyNumberFormat="1" applyFont="1" applyBorder="1" applyAlignment="1">
      <alignment horizontal="center" vertical="center"/>
    </xf>
    <xf numFmtId="38" fontId="5" fillId="0" borderId="13" xfId="0" applyNumberFormat="1" applyFont="1" applyBorder="1" applyAlignment="1">
      <alignment horizontal="center" vertical="center"/>
    </xf>
    <xf numFmtId="0" fontId="21" fillId="3" borderId="22" xfId="0" applyFont="1" applyFill="1" applyBorder="1">
      <alignment vertical="center"/>
    </xf>
    <xf numFmtId="0" fontId="21" fillId="0" borderId="56" xfId="0" applyFont="1" applyBorder="1">
      <alignment vertical="center"/>
    </xf>
    <xf numFmtId="38" fontId="5" fillId="0" borderId="55" xfId="0" applyNumberFormat="1" applyFont="1" applyBorder="1" applyAlignment="1">
      <alignment horizontal="center" vertical="center"/>
    </xf>
    <xf numFmtId="0" fontId="21" fillId="3" borderId="63" xfId="0" applyFont="1" applyFill="1" applyBorder="1">
      <alignment vertical="center"/>
    </xf>
    <xf numFmtId="38" fontId="5" fillId="0" borderId="78" xfId="0" applyNumberFormat="1" applyFont="1" applyBorder="1" applyAlignment="1">
      <alignment horizontal="center" vertical="center"/>
    </xf>
    <xf numFmtId="38" fontId="5" fillId="0" borderId="7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10" fontId="24" fillId="0" borderId="0" xfId="2" applyNumberFormat="1" applyFont="1">
      <alignment vertical="center"/>
    </xf>
    <xf numFmtId="40" fontId="24" fillId="7" borderId="24" xfId="1" applyNumberFormat="1" applyFont="1" applyFill="1" applyBorder="1">
      <alignment vertical="center"/>
    </xf>
    <xf numFmtId="40" fontId="24" fillId="0" borderId="0" xfId="1" applyNumberFormat="1" applyFont="1">
      <alignment vertical="center"/>
    </xf>
    <xf numFmtId="0" fontId="24" fillId="0" borderId="30" xfId="0" applyFont="1" applyBorder="1">
      <alignment vertical="center"/>
    </xf>
    <xf numFmtId="0" fontId="21" fillId="5" borderId="7" xfId="0" applyFont="1" applyFill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0" fontId="21" fillId="0" borderId="56" xfId="0" applyFont="1" applyBorder="1" applyAlignment="1">
      <alignment horizontal="right" vertical="center"/>
    </xf>
    <xf numFmtId="40" fontId="25" fillId="0" borderId="24" xfId="1" applyNumberFormat="1" applyFont="1" applyBorder="1">
      <alignment vertical="center"/>
    </xf>
    <xf numFmtId="40" fontId="25" fillId="0" borderId="25" xfId="1" applyNumberFormat="1" applyFont="1" applyBorder="1" applyAlignment="1">
      <alignment horizontal="right" vertical="center"/>
    </xf>
    <xf numFmtId="10" fontId="25" fillId="0" borderId="25" xfId="2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19" xfId="0" applyFont="1" applyBorder="1" applyAlignment="1">
      <alignment vertical="center" shrinkToFit="1"/>
    </xf>
    <xf numFmtId="0" fontId="25" fillId="0" borderId="24" xfId="0" applyFont="1" applyBorder="1" applyAlignment="1">
      <alignment vertical="center" shrinkToFit="1"/>
    </xf>
    <xf numFmtId="38" fontId="25" fillId="0" borderId="0" xfId="1" applyFont="1">
      <alignment vertical="center"/>
    </xf>
    <xf numFmtId="10" fontId="25" fillId="0" borderId="0" xfId="2" applyNumberFormat="1" applyFont="1">
      <alignment vertical="center"/>
    </xf>
    <xf numFmtId="38" fontId="24" fillId="0" borderId="19" xfId="1" applyFont="1" applyBorder="1">
      <alignment vertical="center"/>
    </xf>
    <xf numFmtId="38" fontId="24" fillId="0" borderId="24" xfId="1" applyFont="1" applyBorder="1">
      <alignment vertical="center"/>
    </xf>
    <xf numFmtId="0" fontId="23" fillId="0" borderId="74" xfId="0" applyFont="1" applyBorder="1" applyAlignment="1">
      <alignment vertical="center" shrinkToFit="1"/>
    </xf>
    <xf numFmtId="0" fontId="23" fillId="0" borderId="69" xfId="0" applyFont="1" applyBorder="1" applyAlignment="1">
      <alignment vertical="center" shrinkToFit="1"/>
    </xf>
    <xf numFmtId="0" fontId="23" fillId="0" borderId="76" xfId="0" applyFont="1" applyBorder="1" applyAlignment="1">
      <alignment vertical="center" shrinkToFit="1"/>
    </xf>
    <xf numFmtId="0" fontId="23" fillId="0" borderId="68" xfId="0" applyFont="1" applyBorder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58" xfId="0" applyFont="1" applyBorder="1" applyAlignment="1">
      <alignment vertical="center" shrinkToFit="1"/>
    </xf>
    <xf numFmtId="0" fontId="23" fillId="0" borderId="59" xfId="0" applyFont="1" applyBorder="1" applyAlignment="1">
      <alignment vertical="center" shrinkToFit="1"/>
    </xf>
    <xf numFmtId="179" fontId="5" fillId="0" borderId="9" xfId="0" applyNumberFormat="1" applyFont="1" applyBorder="1" applyAlignment="1">
      <alignment horizontal="center" vertical="center"/>
    </xf>
    <xf numFmtId="38" fontId="5" fillId="0" borderId="61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right" vertical="center"/>
    </xf>
    <xf numFmtId="0" fontId="21" fillId="0" borderId="7" xfId="0" applyFont="1" applyBorder="1">
      <alignment vertical="center"/>
    </xf>
    <xf numFmtId="0" fontId="23" fillId="0" borderId="30" xfId="0" applyFont="1" applyBorder="1" applyAlignment="1">
      <alignment vertical="center" shrinkToFit="1"/>
    </xf>
    <xf numFmtId="0" fontId="23" fillId="0" borderId="33" xfId="0" applyFont="1" applyBorder="1" applyAlignment="1">
      <alignment vertical="center" shrinkToFit="1"/>
    </xf>
    <xf numFmtId="0" fontId="21" fillId="0" borderId="31" xfId="0" applyFont="1" applyBorder="1" applyAlignment="1">
      <alignment horizontal="right" vertical="center"/>
    </xf>
    <xf numFmtId="38" fontId="5" fillId="0" borderId="32" xfId="0" applyNumberFormat="1" applyFont="1" applyBorder="1" applyAlignment="1">
      <alignment horizontal="center" vertical="center"/>
    </xf>
    <xf numFmtId="38" fontId="5" fillId="0" borderId="73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vertical="center" shrinkToFit="1"/>
    </xf>
    <xf numFmtId="38" fontId="21" fillId="5" borderId="7" xfId="0" applyNumberFormat="1" applyFont="1" applyFill="1" applyBorder="1" applyAlignment="1">
      <alignment horizontal="right" vertical="center"/>
    </xf>
    <xf numFmtId="38" fontId="21" fillId="5" borderId="31" xfId="0" applyNumberFormat="1" applyFont="1" applyFill="1" applyBorder="1" applyAlignment="1">
      <alignment horizontal="right" vertical="center"/>
    </xf>
    <xf numFmtId="38" fontId="21" fillId="0" borderId="31" xfId="0" applyNumberFormat="1" applyFont="1" applyBorder="1" applyAlignment="1">
      <alignment horizontal="right" vertical="center"/>
    </xf>
    <xf numFmtId="38" fontId="5" fillId="0" borderId="72" xfId="0" quotePrefix="1" applyNumberFormat="1" applyFont="1" applyBorder="1" applyAlignment="1">
      <alignment horizontal="center" vertical="center"/>
    </xf>
    <xf numFmtId="38" fontId="5" fillId="0" borderId="73" xfId="0" quotePrefix="1" applyNumberFormat="1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shrinkToFit="1"/>
    </xf>
    <xf numFmtId="0" fontId="21" fillId="0" borderId="79" xfId="0" applyFont="1" applyBorder="1">
      <alignment vertical="center"/>
    </xf>
    <xf numFmtId="0" fontId="21" fillId="0" borderId="80" xfId="0" applyFont="1" applyBorder="1">
      <alignment vertical="center"/>
    </xf>
    <xf numFmtId="0" fontId="21" fillId="5" borderId="9" xfId="0" applyFont="1" applyFill="1" applyBorder="1" applyAlignment="1">
      <alignment horizontal="right" vertical="center"/>
    </xf>
    <xf numFmtId="0" fontId="21" fillId="0" borderId="61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21" fillId="0" borderId="78" xfId="0" applyFont="1" applyBorder="1" applyAlignment="1">
      <alignment horizontal="right" vertical="center"/>
    </xf>
    <xf numFmtId="38" fontId="16" fillId="2" borderId="48" xfId="1" quotePrefix="1" applyFont="1" applyFill="1" applyBorder="1">
      <alignment vertical="center"/>
    </xf>
    <xf numFmtId="9" fontId="21" fillId="0" borderId="1" xfId="0" applyNumberFormat="1" applyFont="1" applyBorder="1">
      <alignment vertical="center"/>
    </xf>
    <xf numFmtId="38" fontId="5" fillId="3" borderId="5" xfId="1" applyFont="1" applyFill="1" applyBorder="1" applyAlignment="1">
      <alignment horizontal="center" vertical="center"/>
    </xf>
    <xf numFmtId="9" fontId="21" fillId="0" borderId="58" xfId="0" applyNumberFormat="1" applyFont="1" applyBorder="1">
      <alignment vertical="center"/>
    </xf>
    <xf numFmtId="9" fontId="21" fillId="0" borderId="63" xfId="0" applyNumberFormat="1" applyFont="1" applyBorder="1">
      <alignment vertical="center"/>
    </xf>
    <xf numFmtId="38" fontId="5" fillId="3" borderId="78" xfId="1" applyFont="1" applyFill="1" applyBorder="1" applyAlignment="1">
      <alignment horizontal="center" vertical="center"/>
    </xf>
    <xf numFmtId="9" fontId="21" fillId="0" borderId="59" xfId="0" applyNumberFormat="1" applyFont="1" applyBorder="1">
      <alignment vertical="center"/>
    </xf>
    <xf numFmtId="180" fontId="24" fillId="0" borderId="19" xfId="2" applyNumberFormat="1" applyFont="1" applyBorder="1">
      <alignment vertical="center"/>
    </xf>
    <xf numFmtId="180" fontId="24" fillId="0" borderId="24" xfId="2" applyNumberFormat="1" applyFont="1" applyBorder="1">
      <alignment vertical="center"/>
    </xf>
    <xf numFmtId="180" fontId="0" fillId="0" borderId="0" xfId="2" applyNumberFormat="1" applyFont="1">
      <alignment vertical="center"/>
    </xf>
    <xf numFmtId="180" fontId="24" fillId="0" borderId="0" xfId="2" applyNumberFormat="1" applyFont="1">
      <alignment vertical="center"/>
    </xf>
    <xf numFmtId="0" fontId="13" fillId="0" borderId="0" xfId="0" applyFont="1" applyAlignment="1">
      <alignment horizontal="left" vertical="center" wrapText="1"/>
    </xf>
    <xf numFmtId="0" fontId="22" fillId="4" borderId="12" xfId="0" applyFont="1" applyFill="1" applyBorder="1" applyAlignment="1">
      <alignment horizontal="center" vertical="center"/>
    </xf>
    <xf numFmtId="0" fontId="22" fillId="4" borderId="60" xfId="0" applyFont="1" applyFill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56" fontId="20" fillId="0" borderId="65" xfId="0" applyNumberFormat="1" applyFont="1" applyBorder="1" applyAlignment="1">
      <alignment horizontal="center" vertical="center"/>
    </xf>
    <xf numFmtId="56" fontId="20" fillId="0" borderId="28" xfId="0" applyNumberFormat="1" applyFont="1" applyBorder="1" applyAlignment="1">
      <alignment horizontal="center" vertical="center"/>
    </xf>
    <xf numFmtId="0" fontId="22" fillId="4" borderId="34" xfId="0" applyFont="1" applyFill="1" applyBorder="1" applyAlignment="1">
      <alignment horizontal="center" vertical="center"/>
    </xf>
    <xf numFmtId="0" fontId="22" fillId="4" borderId="46" xfId="0" applyFont="1" applyFill="1" applyBorder="1" applyAlignment="1">
      <alignment horizontal="center" vertical="center"/>
    </xf>
    <xf numFmtId="9" fontId="6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56" fontId="20" fillId="0" borderId="27" xfId="0" applyNumberFormat="1" applyFont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66CCFF"/>
      <color rgb="FFFFEFFF"/>
      <color rgb="FFC0DDAD"/>
      <color rgb="FFF38573"/>
      <color rgb="FF99FF33"/>
      <color rgb="FFCC99FF"/>
      <color rgb="FFCCFFFF"/>
      <color rgb="FFFF0066"/>
      <color rgb="FFFF99FF"/>
      <color rgb="FFF5A3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8"/>
  <sheetViews>
    <sheetView tabSelected="1" view="pageBreakPreview" zoomScale="60" zoomScaleNormal="70" workbookViewId="0"/>
  </sheetViews>
  <sheetFormatPr defaultRowHeight="18.75"/>
  <cols>
    <col min="2" max="2" width="52.375" customWidth="1"/>
    <col min="3" max="3" width="12" bestFit="1" customWidth="1"/>
    <col min="4" max="4" width="15.625" style="1" customWidth="1"/>
    <col min="5" max="5" width="9" style="1" hidden="1" customWidth="1"/>
    <col min="6" max="6" width="9.5" style="21" bestFit="1" customWidth="1"/>
    <col min="7" max="7" width="15.625" style="1" customWidth="1"/>
    <col min="8" max="8" width="9" style="1" hidden="1" customWidth="1"/>
    <col min="9" max="9" width="9.5" style="21" bestFit="1" customWidth="1"/>
    <col min="10" max="10" width="15.625" style="1" customWidth="1"/>
    <col min="11" max="11" width="9" style="1" hidden="1" customWidth="1"/>
    <col min="12" max="12" width="9.5" style="21" bestFit="1" customWidth="1"/>
    <col min="13" max="13" width="15.625" style="1" customWidth="1"/>
    <col min="14" max="14" width="9" style="1" hidden="1" customWidth="1"/>
    <col min="15" max="15" width="9.5" style="21" bestFit="1" customWidth="1"/>
    <col min="16" max="16" width="15.625" style="1" customWidth="1"/>
    <col min="17" max="17" width="9" style="1" hidden="1" customWidth="1"/>
    <col min="18" max="18" width="9.5" style="21" bestFit="1" customWidth="1"/>
    <col min="19" max="19" width="15.625" style="1" customWidth="1"/>
    <col min="20" max="20" width="9" style="1" hidden="1" customWidth="1"/>
    <col min="21" max="21" width="9.5" style="21" bestFit="1" customWidth="1"/>
    <col min="22" max="22" width="9" customWidth="1"/>
    <col min="23" max="23" width="25.375" customWidth="1"/>
    <col min="24" max="24" width="16.125" style="2" customWidth="1"/>
    <col min="25" max="25" width="26.125" style="3" customWidth="1"/>
    <col min="26" max="26" width="22" style="3" bestFit="1" customWidth="1"/>
    <col min="27" max="27" width="9" customWidth="1"/>
    <col min="28" max="28" width="10.5" bestFit="1" customWidth="1"/>
  </cols>
  <sheetData>
    <row r="1" spans="1:30" ht="42.75" thickBot="1">
      <c r="B1" s="29" t="s">
        <v>16</v>
      </c>
    </row>
    <row r="2" spans="1:30" ht="24.75" hidden="1" thickBot="1">
      <c r="A2" s="6"/>
      <c r="B2" s="7" t="s">
        <v>16</v>
      </c>
      <c r="C2" s="6"/>
      <c r="D2" s="8"/>
      <c r="E2" s="8">
        <v>1000</v>
      </c>
      <c r="F2" s="20"/>
      <c r="G2" s="8"/>
      <c r="H2" s="8">
        <v>1000</v>
      </c>
      <c r="I2" s="20"/>
      <c r="J2" s="8"/>
      <c r="K2" s="8">
        <v>1000</v>
      </c>
      <c r="L2" s="20"/>
      <c r="M2" s="8"/>
      <c r="N2" s="8">
        <v>1000</v>
      </c>
      <c r="O2" s="20"/>
      <c r="P2" s="8"/>
      <c r="Q2" s="8">
        <v>1000</v>
      </c>
      <c r="R2" s="20"/>
      <c r="S2" s="8"/>
      <c r="T2" s="8">
        <v>1000</v>
      </c>
      <c r="U2" s="20"/>
      <c r="V2" s="6"/>
      <c r="W2" s="6"/>
      <c r="X2" s="9"/>
      <c r="Y2" s="10"/>
      <c r="Z2" s="10"/>
    </row>
    <row r="3" spans="1:30" ht="54.75" customHeight="1" thickBot="1">
      <c r="A3" s="6"/>
      <c r="B3" s="16"/>
      <c r="C3" s="58" t="s">
        <v>3</v>
      </c>
      <c r="D3" s="59" t="s">
        <v>2</v>
      </c>
      <c r="E3" s="60"/>
      <c r="F3" s="61" t="s">
        <v>17</v>
      </c>
      <c r="G3" s="62" t="s">
        <v>13</v>
      </c>
      <c r="H3" s="60"/>
      <c r="I3" s="61" t="s">
        <v>17</v>
      </c>
      <c r="J3" s="63" t="s">
        <v>14</v>
      </c>
      <c r="K3" s="64"/>
      <c r="L3" s="65" t="s">
        <v>17</v>
      </c>
      <c r="M3" s="66" t="s">
        <v>15</v>
      </c>
      <c r="N3" s="60"/>
      <c r="O3" s="61" t="s">
        <v>17</v>
      </c>
      <c r="P3" s="67" t="s">
        <v>12</v>
      </c>
      <c r="Q3" s="68"/>
      <c r="R3" s="61" t="s">
        <v>17</v>
      </c>
      <c r="S3" s="69" t="s">
        <v>4</v>
      </c>
      <c r="T3" s="68"/>
      <c r="U3" s="65" t="s">
        <v>17</v>
      </c>
      <c r="V3" s="27"/>
    </row>
    <row r="4" spans="1:30" ht="24.95" customHeight="1" thickTop="1">
      <c r="A4" s="6"/>
      <c r="B4" s="84"/>
      <c r="C4" s="129"/>
      <c r="D4" s="86">
        <f>D$2*$C4</f>
        <v>0</v>
      </c>
      <c r="E4" s="86">
        <f>D4/E$2</f>
        <v>0</v>
      </c>
      <c r="F4" s="87">
        <f>ROUNDUP(E4,0)</f>
        <v>0</v>
      </c>
      <c r="G4" s="86">
        <f t="shared" ref="G4:G90" si="0">G$2*$C4</f>
        <v>0</v>
      </c>
      <c r="H4" s="88">
        <f>G4/H$2</f>
        <v>0</v>
      </c>
      <c r="I4" s="89">
        <f>ROUNDUP(H4,0)</f>
        <v>0</v>
      </c>
      <c r="J4" s="90">
        <f t="shared" ref="J4:J90" si="1">J$2*$C4</f>
        <v>0</v>
      </c>
      <c r="K4" s="91">
        <f>J4/K$2</f>
        <v>0</v>
      </c>
      <c r="L4" s="92">
        <f>ROUNDUP(K4,0)</f>
        <v>0</v>
      </c>
      <c r="M4" s="93">
        <f t="shared" ref="M4:M90" si="2">M$2*$C4</f>
        <v>0</v>
      </c>
      <c r="N4" s="88">
        <f>M4/N$2</f>
        <v>0</v>
      </c>
      <c r="O4" s="89">
        <f>ROUNDUP(N4,0)</f>
        <v>0</v>
      </c>
      <c r="P4" s="94">
        <f t="shared" ref="P4:P90" si="3">P$2*$C4</f>
        <v>0</v>
      </c>
      <c r="Q4" s="95">
        <f t="shared" ref="Q4:Q90" si="4">P4/Q$2</f>
        <v>0</v>
      </c>
      <c r="R4" s="89">
        <f>ROUNDUP(Q4,0)</f>
        <v>0</v>
      </c>
      <c r="S4" s="95">
        <f t="shared" ref="S4:S90" si="5">S$2*$C4</f>
        <v>0</v>
      </c>
      <c r="T4" s="95">
        <f t="shared" ref="T4:T90" si="6">S4/T$2</f>
        <v>0</v>
      </c>
      <c r="U4" s="92">
        <f>ROUNDUP(T4,0)</f>
        <v>0</v>
      </c>
      <c r="V4" s="27"/>
    </row>
    <row r="5" spans="1:30" ht="24.95" customHeight="1">
      <c r="A5" s="6"/>
      <c r="B5" s="96"/>
      <c r="C5" s="85"/>
      <c r="D5" s="86">
        <f t="shared" ref="D5:D90" si="7">D$2*$C5</f>
        <v>0</v>
      </c>
      <c r="E5" s="86">
        <f t="shared" ref="E5:E90" si="8">D5/E$2</f>
        <v>0</v>
      </c>
      <c r="F5" s="87">
        <f t="shared" ref="F5:F90" si="9">ROUNDUP(E5,0)</f>
        <v>0</v>
      </c>
      <c r="G5" s="86">
        <f t="shared" si="0"/>
        <v>0</v>
      </c>
      <c r="H5" s="88">
        <f t="shared" ref="H5:H90" si="10">G5/H$2</f>
        <v>0</v>
      </c>
      <c r="I5" s="89">
        <f t="shared" ref="I5:I90" si="11">ROUNDUP(H5,0)</f>
        <v>0</v>
      </c>
      <c r="J5" s="90">
        <f t="shared" si="1"/>
        <v>0</v>
      </c>
      <c r="K5" s="91">
        <f t="shared" ref="K5:K90" si="12">J5/K$2</f>
        <v>0</v>
      </c>
      <c r="L5" s="92">
        <f t="shared" ref="L5:L90" si="13">ROUNDUP(K5,0)</f>
        <v>0</v>
      </c>
      <c r="M5" s="93">
        <f t="shared" si="2"/>
        <v>0</v>
      </c>
      <c r="N5" s="88">
        <f t="shared" ref="N5:N90" si="14">M5/N$2</f>
        <v>0</v>
      </c>
      <c r="O5" s="89">
        <f t="shared" ref="O5:O90" si="15">ROUNDUP(N5,0)</f>
        <v>0</v>
      </c>
      <c r="P5" s="94">
        <f t="shared" si="3"/>
        <v>0</v>
      </c>
      <c r="Q5" s="95">
        <f t="shared" si="4"/>
        <v>0</v>
      </c>
      <c r="R5" s="89">
        <f t="shared" ref="R5:R90" si="16">ROUNDUP(Q5,0)</f>
        <v>0</v>
      </c>
      <c r="S5" s="95">
        <f t="shared" si="5"/>
        <v>0</v>
      </c>
      <c r="T5" s="95">
        <f t="shared" si="6"/>
        <v>0</v>
      </c>
      <c r="U5" s="92">
        <f t="shared" ref="U5:U90" si="17">ROUNDUP(T5,0)</f>
        <v>0</v>
      </c>
      <c r="V5" s="27"/>
      <c r="Y5" s="130" t="s">
        <v>30</v>
      </c>
      <c r="Z5" s="131">
        <v>1</v>
      </c>
    </row>
    <row r="6" spans="1:30" ht="24.95" customHeight="1" thickBot="1">
      <c r="A6" s="6"/>
      <c r="B6" s="96"/>
      <c r="C6" s="85"/>
      <c r="D6" s="86">
        <f t="shared" si="7"/>
        <v>0</v>
      </c>
      <c r="E6" s="86">
        <f t="shared" si="8"/>
        <v>0</v>
      </c>
      <c r="F6" s="87">
        <f t="shared" si="9"/>
        <v>0</v>
      </c>
      <c r="G6" s="86">
        <f t="shared" si="0"/>
        <v>0</v>
      </c>
      <c r="H6" s="88">
        <f t="shared" si="10"/>
        <v>0</v>
      </c>
      <c r="I6" s="89">
        <f t="shared" si="11"/>
        <v>0</v>
      </c>
      <c r="J6" s="90">
        <f t="shared" si="1"/>
        <v>0</v>
      </c>
      <c r="K6" s="91">
        <f t="shared" si="12"/>
        <v>0</v>
      </c>
      <c r="L6" s="92">
        <f t="shared" si="13"/>
        <v>0</v>
      </c>
      <c r="M6" s="93">
        <f t="shared" si="2"/>
        <v>0</v>
      </c>
      <c r="N6" s="88">
        <f t="shared" si="14"/>
        <v>0</v>
      </c>
      <c r="O6" s="89">
        <f t="shared" si="15"/>
        <v>0</v>
      </c>
      <c r="P6" s="94">
        <f t="shared" si="3"/>
        <v>0</v>
      </c>
      <c r="Q6" s="95">
        <f t="shared" si="4"/>
        <v>0</v>
      </c>
      <c r="R6" s="89">
        <f t="shared" si="16"/>
        <v>0</v>
      </c>
      <c r="S6" s="95">
        <f t="shared" si="5"/>
        <v>0</v>
      </c>
      <c r="T6" s="95">
        <f t="shared" si="6"/>
        <v>0</v>
      </c>
      <c r="U6" s="92">
        <f t="shared" si="17"/>
        <v>0</v>
      </c>
      <c r="V6" s="27"/>
      <c r="W6" s="70" t="s">
        <v>6</v>
      </c>
      <c r="X6" s="71" t="s">
        <v>7</v>
      </c>
      <c r="Y6" s="72" t="s">
        <v>28</v>
      </c>
      <c r="Z6" s="72" t="s">
        <v>29</v>
      </c>
      <c r="AA6" s="11"/>
      <c r="AB6" s="11"/>
      <c r="AC6" s="4"/>
      <c r="AD6" s="4"/>
    </row>
    <row r="7" spans="1:30" ht="24.95" customHeight="1" thickTop="1">
      <c r="A7" s="6"/>
      <c r="B7" s="97"/>
      <c r="C7" s="85"/>
      <c r="D7" s="86">
        <f t="shared" si="7"/>
        <v>0</v>
      </c>
      <c r="E7" s="86">
        <f t="shared" si="8"/>
        <v>0</v>
      </c>
      <c r="F7" s="87">
        <f t="shared" si="9"/>
        <v>0</v>
      </c>
      <c r="G7" s="86">
        <f t="shared" si="0"/>
        <v>0</v>
      </c>
      <c r="H7" s="88">
        <f t="shared" si="10"/>
        <v>0</v>
      </c>
      <c r="I7" s="89">
        <f t="shared" si="11"/>
        <v>0</v>
      </c>
      <c r="J7" s="90">
        <f t="shared" si="1"/>
        <v>0</v>
      </c>
      <c r="K7" s="91">
        <f t="shared" si="12"/>
        <v>0</v>
      </c>
      <c r="L7" s="92">
        <f t="shared" si="13"/>
        <v>0</v>
      </c>
      <c r="M7" s="93">
        <f t="shared" si="2"/>
        <v>0</v>
      </c>
      <c r="N7" s="88">
        <f t="shared" si="14"/>
        <v>0</v>
      </c>
      <c r="O7" s="89">
        <f t="shared" si="15"/>
        <v>0</v>
      </c>
      <c r="P7" s="94">
        <f t="shared" si="3"/>
        <v>0</v>
      </c>
      <c r="Q7" s="95">
        <f t="shared" si="4"/>
        <v>0</v>
      </c>
      <c r="R7" s="89">
        <f t="shared" si="16"/>
        <v>0</v>
      </c>
      <c r="S7" s="95">
        <f t="shared" si="5"/>
        <v>0</v>
      </c>
      <c r="T7" s="95">
        <f t="shared" si="6"/>
        <v>0</v>
      </c>
      <c r="U7" s="92">
        <f t="shared" si="17"/>
        <v>0</v>
      </c>
      <c r="V7" s="27"/>
      <c r="W7" s="73"/>
      <c r="X7" s="74"/>
      <c r="Y7" s="75">
        <f>IFERROR(Y$22*(X7/SUM($X$7:$X$21)), 0)</f>
        <v>0</v>
      </c>
      <c r="Z7" s="75">
        <f>Y7*$Z$5</f>
        <v>0</v>
      </c>
      <c r="AA7" s="11"/>
      <c r="AB7" s="11">
        <f>IFERROR(X7/$X$22, 0)</f>
        <v>0</v>
      </c>
      <c r="AC7" s="4"/>
      <c r="AD7" s="4"/>
    </row>
    <row r="8" spans="1:30" ht="24.95" customHeight="1">
      <c r="A8" s="6"/>
      <c r="B8" s="97"/>
      <c r="C8" s="98"/>
      <c r="D8" s="86">
        <f t="shared" si="7"/>
        <v>0</v>
      </c>
      <c r="E8" s="86">
        <f t="shared" si="8"/>
        <v>0</v>
      </c>
      <c r="F8" s="87">
        <f t="shared" si="9"/>
        <v>0</v>
      </c>
      <c r="G8" s="86">
        <f t="shared" si="0"/>
        <v>0</v>
      </c>
      <c r="H8" s="88">
        <f t="shared" si="10"/>
        <v>0</v>
      </c>
      <c r="I8" s="89">
        <f t="shared" si="11"/>
        <v>0</v>
      </c>
      <c r="J8" s="90">
        <f t="shared" si="1"/>
        <v>0</v>
      </c>
      <c r="K8" s="91">
        <f t="shared" si="12"/>
        <v>0</v>
      </c>
      <c r="L8" s="92">
        <f t="shared" si="13"/>
        <v>0</v>
      </c>
      <c r="M8" s="93">
        <f t="shared" si="2"/>
        <v>0</v>
      </c>
      <c r="N8" s="88">
        <f t="shared" si="14"/>
        <v>0</v>
      </c>
      <c r="O8" s="89">
        <f t="shared" si="15"/>
        <v>0</v>
      </c>
      <c r="P8" s="94">
        <f t="shared" si="3"/>
        <v>0</v>
      </c>
      <c r="Q8" s="95">
        <f t="shared" si="4"/>
        <v>0</v>
      </c>
      <c r="R8" s="89">
        <f t="shared" si="16"/>
        <v>0</v>
      </c>
      <c r="S8" s="95">
        <f t="shared" si="5"/>
        <v>0</v>
      </c>
      <c r="T8" s="95">
        <f t="shared" si="6"/>
        <v>0</v>
      </c>
      <c r="U8" s="92">
        <f t="shared" si="17"/>
        <v>0</v>
      </c>
      <c r="V8" s="27"/>
      <c r="W8" s="76"/>
      <c r="X8" s="77"/>
      <c r="Y8" s="78">
        <f t="shared" ref="Y8:Y21" si="18">IFERROR(Y$22*(X8/SUM($X$7:$X$21)), 0)</f>
        <v>0</v>
      </c>
      <c r="Z8" s="78">
        <f t="shared" ref="Z8:Z22" si="19">Y8*$Z$5</f>
        <v>0</v>
      </c>
      <c r="AA8" s="4"/>
      <c r="AB8" s="11">
        <f t="shared" ref="AB8:AB21" si="20">IFERROR(X8/$X$22, 0)</f>
        <v>0</v>
      </c>
      <c r="AC8" s="4"/>
      <c r="AD8" s="4"/>
    </row>
    <row r="9" spans="1:30" ht="24.95" customHeight="1">
      <c r="A9" s="6"/>
      <c r="B9" s="97"/>
      <c r="C9" s="99"/>
      <c r="D9" s="86">
        <f t="shared" si="7"/>
        <v>0</v>
      </c>
      <c r="E9" s="86">
        <f t="shared" si="8"/>
        <v>0</v>
      </c>
      <c r="F9" s="87">
        <f t="shared" si="9"/>
        <v>0</v>
      </c>
      <c r="G9" s="86">
        <f t="shared" si="0"/>
        <v>0</v>
      </c>
      <c r="H9" s="88">
        <f t="shared" si="10"/>
        <v>0</v>
      </c>
      <c r="I9" s="89">
        <f t="shared" si="11"/>
        <v>0</v>
      </c>
      <c r="J9" s="90">
        <f t="shared" si="1"/>
        <v>0</v>
      </c>
      <c r="K9" s="91">
        <f t="shared" si="12"/>
        <v>0</v>
      </c>
      <c r="L9" s="92">
        <f t="shared" si="13"/>
        <v>0</v>
      </c>
      <c r="M9" s="93">
        <f t="shared" si="2"/>
        <v>0</v>
      </c>
      <c r="N9" s="88">
        <f t="shared" si="14"/>
        <v>0</v>
      </c>
      <c r="O9" s="89">
        <f t="shared" si="15"/>
        <v>0</v>
      </c>
      <c r="P9" s="94">
        <f t="shared" si="3"/>
        <v>0</v>
      </c>
      <c r="Q9" s="95">
        <f t="shared" si="4"/>
        <v>0</v>
      </c>
      <c r="R9" s="89">
        <f t="shared" si="16"/>
        <v>0</v>
      </c>
      <c r="S9" s="100">
        <f t="shared" si="5"/>
        <v>0</v>
      </c>
      <c r="T9" s="95">
        <f t="shared" si="6"/>
        <v>0</v>
      </c>
      <c r="U9" s="92">
        <f t="shared" si="17"/>
        <v>0</v>
      </c>
      <c r="V9" s="27"/>
      <c r="W9" s="76"/>
      <c r="X9" s="77"/>
      <c r="Y9" s="78">
        <f t="shared" si="18"/>
        <v>0</v>
      </c>
      <c r="Z9" s="78">
        <f t="shared" si="19"/>
        <v>0</v>
      </c>
      <c r="AA9" s="4"/>
      <c r="AB9" s="4">
        <f t="shared" si="20"/>
        <v>0</v>
      </c>
      <c r="AC9" s="4"/>
      <c r="AD9" s="4"/>
    </row>
    <row r="10" spans="1:30" ht="24.95" customHeight="1">
      <c r="A10" s="6"/>
      <c r="B10" s="96"/>
      <c r="C10" s="101"/>
      <c r="D10" s="86">
        <f t="shared" si="7"/>
        <v>0</v>
      </c>
      <c r="E10" s="86">
        <f t="shared" si="8"/>
        <v>0</v>
      </c>
      <c r="F10" s="87">
        <f t="shared" si="9"/>
        <v>0</v>
      </c>
      <c r="G10" s="86">
        <f t="shared" si="0"/>
        <v>0</v>
      </c>
      <c r="H10" s="88">
        <f t="shared" si="10"/>
        <v>0</v>
      </c>
      <c r="I10" s="89">
        <f t="shared" si="11"/>
        <v>0</v>
      </c>
      <c r="J10" s="90">
        <f t="shared" si="1"/>
        <v>0</v>
      </c>
      <c r="K10" s="91">
        <f t="shared" si="12"/>
        <v>0</v>
      </c>
      <c r="L10" s="92">
        <f t="shared" si="13"/>
        <v>0</v>
      </c>
      <c r="M10" s="93">
        <f t="shared" si="2"/>
        <v>0</v>
      </c>
      <c r="N10" s="88">
        <f t="shared" si="14"/>
        <v>0</v>
      </c>
      <c r="O10" s="89">
        <f t="shared" si="15"/>
        <v>0</v>
      </c>
      <c r="P10" s="94">
        <f t="shared" si="3"/>
        <v>0</v>
      </c>
      <c r="Q10" s="95">
        <f t="shared" si="4"/>
        <v>0</v>
      </c>
      <c r="R10" s="89">
        <f t="shared" si="16"/>
        <v>0</v>
      </c>
      <c r="S10" s="102">
        <f t="shared" si="5"/>
        <v>0</v>
      </c>
      <c r="T10" s="95">
        <f t="shared" si="6"/>
        <v>0</v>
      </c>
      <c r="U10" s="92">
        <f t="shared" si="17"/>
        <v>0</v>
      </c>
      <c r="V10" s="27"/>
      <c r="W10" s="76"/>
      <c r="X10" s="77"/>
      <c r="Y10" s="78">
        <f t="shared" si="18"/>
        <v>0</v>
      </c>
      <c r="Z10" s="78">
        <f t="shared" si="19"/>
        <v>0</v>
      </c>
      <c r="AA10" s="4"/>
      <c r="AB10" s="4">
        <f t="shared" si="20"/>
        <v>0</v>
      </c>
      <c r="AC10" s="4"/>
      <c r="AD10" s="4"/>
    </row>
    <row r="11" spans="1:30" ht="24.95" customHeight="1">
      <c r="A11" s="6"/>
      <c r="B11" s="97"/>
      <c r="C11" s="101"/>
      <c r="D11" s="86">
        <f t="shared" si="7"/>
        <v>0</v>
      </c>
      <c r="E11" s="86">
        <f t="shared" si="8"/>
        <v>0</v>
      </c>
      <c r="F11" s="87">
        <f t="shared" si="9"/>
        <v>0</v>
      </c>
      <c r="G11" s="86">
        <f t="shared" si="0"/>
        <v>0</v>
      </c>
      <c r="H11" s="88">
        <f t="shared" si="10"/>
        <v>0</v>
      </c>
      <c r="I11" s="89">
        <f t="shared" si="11"/>
        <v>0</v>
      </c>
      <c r="J11" s="90">
        <f t="shared" si="1"/>
        <v>0</v>
      </c>
      <c r="K11" s="91">
        <f t="shared" si="12"/>
        <v>0</v>
      </c>
      <c r="L11" s="92">
        <f t="shared" si="13"/>
        <v>0</v>
      </c>
      <c r="M11" s="93">
        <f t="shared" si="2"/>
        <v>0</v>
      </c>
      <c r="N11" s="88">
        <f t="shared" si="14"/>
        <v>0</v>
      </c>
      <c r="O11" s="89">
        <f t="shared" si="15"/>
        <v>0</v>
      </c>
      <c r="P11" s="94">
        <f t="shared" si="3"/>
        <v>0</v>
      </c>
      <c r="Q11" s="95">
        <f t="shared" si="4"/>
        <v>0</v>
      </c>
      <c r="R11" s="89">
        <f t="shared" si="16"/>
        <v>0</v>
      </c>
      <c r="S11" s="102">
        <f t="shared" si="5"/>
        <v>0</v>
      </c>
      <c r="T11" s="95">
        <f t="shared" si="6"/>
        <v>0</v>
      </c>
      <c r="U11" s="92">
        <f t="shared" si="17"/>
        <v>0</v>
      </c>
      <c r="V11" s="27"/>
      <c r="W11" s="76"/>
      <c r="X11" s="77"/>
      <c r="Y11" s="78">
        <f t="shared" si="18"/>
        <v>0</v>
      </c>
      <c r="Z11" s="78">
        <f t="shared" si="19"/>
        <v>0</v>
      </c>
      <c r="AA11" s="4"/>
      <c r="AB11" s="132">
        <f t="shared" si="20"/>
        <v>0</v>
      </c>
    </row>
    <row r="12" spans="1:30" ht="24.95" customHeight="1">
      <c r="A12" s="6"/>
      <c r="B12" s="97"/>
      <c r="C12" s="101"/>
      <c r="D12" s="86">
        <f t="shared" si="7"/>
        <v>0</v>
      </c>
      <c r="E12" s="86">
        <f t="shared" si="8"/>
        <v>0</v>
      </c>
      <c r="F12" s="87">
        <f t="shared" si="9"/>
        <v>0</v>
      </c>
      <c r="G12" s="86">
        <f t="shared" si="0"/>
        <v>0</v>
      </c>
      <c r="H12" s="88">
        <f t="shared" si="10"/>
        <v>0</v>
      </c>
      <c r="I12" s="89">
        <f t="shared" si="11"/>
        <v>0</v>
      </c>
      <c r="J12" s="90">
        <f t="shared" si="1"/>
        <v>0</v>
      </c>
      <c r="K12" s="91">
        <f t="shared" si="12"/>
        <v>0</v>
      </c>
      <c r="L12" s="92">
        <f t="shared" si="13"/>
        <v>0</v>
      </c>
      <c r="M12" s="93">
        <f t="shared" si="2"/>
        <v>0</v>
      </c>
      <c r="N12" s="88">
        <f t="shared" si="14"/>
        <v>0</v>
      </c>
      <c r="O12" s="89">
        <f t="shared" si="15"/>
        <v>0</v>
      </c>
      <c r="P12" s="94">
        <f t="shared" si="3"/>
        <v>0</v>
      </c>
      <c r="Q12" s="95">
        <f t="shared" si="4"/>
        <v>0</v>
      </c>
      <c r="R12" s="89">
        <f t="shared" si="16"/>
        <v>0</v>
      </c>
      <c r="S12" s="102">
        <f t="shared" si="5"/>
        <v>0</v>
      </c>
      <c r="T12" s="95">
        <f t="shared" si="6"/>
        <v>0</v>
      </c>
      <c r="U12" s="92">
        <f t="shared" si="17"/>
        <v>0</v>
      </c>
      <c r="V12" s="27"/>
      <c r="W12" s="76"/>
      <c r="X12" s="77"/>
      <c r="Y12" s="78">
        <f t="shared" si="18"/>
        <v>0</v>
      </c>
      <c r="Z12" s="78">
        <f t="shared" si="19"/>
        <v>0</v>
      </c>
      <c r="AA12" s="5"/>
      <c r="AB12" s="132">
        <f t="shared" si="20"/>
        <v>0</v>
      </c>
    </row>
    <row r="13" spans="1:30" ht="24.95" customHeight="1">
      <c r="A13" s="6"/>
      <c r="B13" s="97"/>
      <c r="C13" s="101"/>
      <c r="D13" s="86">
        <f t="shared" si="7"/>
        <v>0</v>
      </c>
      <c r="E13" s="86">
        <f t="shared" si="8"/>
        <v>0</v>
      </c>
      <c r="F13" s="87">
        <f t="shared" si="9"/>
        <v>0</v>
      </c>
      <c r="G13" s="86">
        <f t="shared" si="0"/>
        <v>0</v>
      </c>
      <c r="H13" s="88">
        <f t="shared" si="10"/>
        <v>0</v>
      </c>
      <c r="I13" s="89">
        <f t="shared" si="11"/>
        <v>0</v>
      </c>
      <c r="J13" s="90">
        <f t="shared" si="1"/>
        <v>0</v>
      </c>
      <c r="K13" s="91">
        <f t="shared" si="12"/>
        <v>0</v>
      </c>
      <c r="L13" s="92">
        <f t="shared" si="13"/>
        <v>0</v>
      </c>
      <c r="M13" s="93">
        <f t="shared" si="2"/>
        <v>0</v>
      </c>
      <c r="N13" s="88">
        <f t="shared" si="14"/>
        <v>0</v>
      </c>
      <c r="O13" s="89">
        <f t="shared" si="15"/>
        <v>0</v>
      </c>
      <c r="P13" s="94">
        <f t="shared" si="3"/>
        <v>0</v>
      </c>
      <c r="Q13" s="95">
        <f t="shared" si="4"/>
        <v>0</v>
      </c>
      <c r="R13" s="89">
        <f t="shared" si="16"/>
        <v>0</v>
      </c>
      <c r="S13" s="102">
        <f t="shared" si="5"/>
        <v>0</v>
      </c>
      <c r="T13" s="95">
        <f t="shared" si="6"/>
        <v>0</v>
      </c>
      <c r="U13" s="92">
        <f t="shared" si="17"/>
        <v>0</v>
      </c>
      <c r="V13" s="27"/>
      <c r="W13" s="76"/>
      <c r="X13" s="77"/>
      <c r="Y13" s="78">
        <f t="shared" si="18"/>
        <v>0</v>
      </c>
      <c r="Z13" s="78">
        <f t="shared" si="19"/>
        <v>0</v>
      </c>
      <c r="AA13" s="5"/>
      <c r="AB13" s="132">
        <f t="shared" si="20"/>
        <v>0</v>
      </c>
    </row>
    <row r="14" spans="1:30" ht="24.95" customHeight="1">
      <c r="A14" s="6"/>
      <c r="B14" s="97"/>
      <c r="C14" s="101"/>
      <c r="D14" s="86">
        <f t="shared" si="7"/>
        <v>0</v>
      </c>
      <c r="E14" s="86">
        <f t="shared" si="8"/>
        <v>0</v>
      </c>
      <c r="F14" s="87">
        <f t="shared" si="9"/>
        <v>0</v>
      </c>
      <c r="G14" s="86">
        <f t="shared" si="0"/>
        <v>0</v>
      </c>
      <c r="H14" s="88">
        <f t="shared" si="10"/>
        <v>0</v>
      </c>
      <c r="I14" s="89">
        <f t="shared" si="11"/>
        <v>0</v>
      </c>
      <c r="J14" s="90">
        <f t="shared" si="1"/>
        <v>0</v>
      </c>
      <c r="K14" s="91">
        <f t="shared" si="12"/>
        <v>0</v>
      </c>
      <c r="L14" s="92">
        <f t="shared" si="13"/>
        <v>0</v>
      </c>
      <c r="M14" s="93">
        <f t="shared" si="2"/>
        <v>0</v>
      </c>
      <c r="N14" s="88">
        <f t="shared" si="14"/>
        <v>0</v>
      </c>
      <c r="O14" s="89">
        <f t="shared" si="15"/>
        <v>0</v>
      </c>
      <c r="P14" s="94">
        <f t="shared" si="3"/>
        <v>0</v>
      </c>
      <c r="Q14" s="95">
        <f t="shared" si="4"/>
        <v>0</v>
      </c>
      <c r="R14" s="89">
        <f t="shared" si="16"/>
        <v>0</v>
      </c>
      <c r="S14" s="102">
        <f t="shared" si="5"/>
        <v>0</v>
      </c>
      <c r="T14" s="95">
        <f t="shared" si="6"/>
        <v>0</v>
      </c>
      <c r="U14" s="92">
        <f t="shared" si="17"/>
        <v>0</v>
      </c>
      <c r="V14" s="27"/>
      <c r="W14" s="76"/>
      <c r="X14" s="77"/>
      <c r="Y14" s="78">
        <f t="shared" si="18"/>
        <v>0</v>
      </c>
      <c r="Z14" s="78">
        <f t="shared" si="19"/>
        <v>0</v>
      </c>
      <c r="AB14" s="132">
        <f t="shared" si="20"/>
        <v>0</v>
      </c>
    </row>
    <row r="15" spans="1:30" ht="24.95" customHeight="1">
      <c r="A15" s="6"/>
      <c r="B15" s="97"/>
      <c r="C15" s="101"/>
      <c r="D15" s="86">
        <f t="shared" si="7"/>
        <v>0</v>
      </c>
      <c r="E15" s="86">
        <f t="shared" si="8"/>
        <v>0</v>
      </c>
      <c r="F15" s="87">
        <f t="shared" si="9"/>
        <v>0</v>
      </c>
      <c r="G15" s="86">
        <f t="shared" si="0"/>
        <v>0</v>
      </c>
      <c r="H15" s="88">
        <f t="shared" si="10"/>
        <v>0</v>
      </c>
      <c r="I15" s="89">
        <f t="shared" si="11"/>
        <v>0</v>
      </c>
      <c r="J15" s="90">
        <f t="shared" si="1"/>
        <v>0</v>
      </c>
      <c r="K15" s="91">
        <f t="shared" si="12"/>
        <v>0</v>
      </c>
      <c r="L15" s="92">
        <f t="shared" si="13"/>
        <v>0</v>
      </c>
      <c r="M15" s="93">
        <f t="shared" si="2"/>
        <v>0</v>
      </c>
      <c r="N15" s="88">
        <f t="shared" si="14"/>
        <v>0</v>
      </c>
      <c r="O15" s="89">
        <f t="shared" si="15"/>
        <v>0</v>
      </c>
      <c r="P15" s="94">
        <f t="shared" si="3"/>
        <v>0</v>
      </c>
      <c r="Q15" s="95">
        <f t="shared" si="4"/>
        <v>0</v>
      </c>
      <c r="R15" s="89">
        <f t="shared" si="16"/>
        <v>0</v>
      </c>
      <c r="S15" s="102">
        <f t="shared" si="5"/>
        <v>0</v>
      </c>
      <c r="T15" s="95">
        <f t="shared" si="6"/>
        <v>0</v>
      </c>
      <c r="U15" s="92">
        <f t="shared" si="17"/>
        <v>0</v>
      </c>
      <c r="V15" s="27"/>
      <c r="W15" s="76"/>
      <c r="X15" s="77"/>
      <c r="Y15" s="78">
        <f t="shared" si="18"/>
        <v>0</v>
      </c>
      <c r="Z15" s="78">
        <f t="shared" si="19"/>
        <v>0</v>
      </c>
      <c r="AB15" s="132">
        <f t="shared" si="20"/>
        <v>0</v>
      </c>
    </row>
    <row r="16" spans="1:30" ht="24.95" customHeight="1">
      <c r="A16" s="6"/>
      <c r="B16" s="97"/>
      <c r="C16" s="101"/>
      <c r="D16" s="86">
        <f t="shared" si="7"/>
        <v>0</v>
      </c>
      <c r="E16" s="86">
        <f t="shared" si="8"/>
        <v>0</v>
      </c>
      <c r="F16" s="87">
        <f t="shared" si="9"/>
        <v>0</v>
      </c>
      <c r="G16" s="86">
        <f t="shared" si="0"/>
        <v>0</v>
      </c>
      <c r="H16" s="88">
        <f t="shared" si="10"/>
        <v>0</v>
      </c>
      <c r="I16" s="89">
        <f t="shared" si="11"/>
        <v>0</v>
      </c>
      <c r="J16" s="90">
        <f t="shared" si="1"/>
        <v>0</v>
      </c>
      <c r="K16" s="91">
        <f t="shared" si="12"/>
        <v>0</v>
      </c>
      <c r="L16" s="92">
        <f t="shared" si="13"/>
        <v>0</v>
      </c>
      <c r="M16" s="93">
        <f t="shared" si="2"/>
        <v>0</v>
      </c>
      <c r="N16" s="88">
        <f t="shared" si="14"/>
        <v>0</v>
      </c>
      <c r="O16" s="89">
        <f t="shared" si="15"/>
        <v>0</v>
      </c>
      <c r="P16" s="94">
        <f t="shared" si="3"/>
        <v>0</v>
      </c>
      <c r="Q16" s="95">
        <f t="shared" si="4"/>
        <v>0</v>
      </c>
      <c r="R16" s="89">
        <f t="shared" si="16"/>
        <v>0</v>
      </c>
      <c r="S16" s="102">
        <f t="shared" si="5"/>
        <v>0</v>
      </c>
      <c r="T16" s="95">
        <f t="shared" si="6"/>
        <v>0</v>
      </c>
      <c r="U16" s="92">
        <f t="shared" si="17"/>
        <v>0</v>
      </c>
      <c r="V16" s="27"/>
      <c r="W16" s="76"/>
      <c r="X16" s="77"/>
      <c r="Y16" s="78">
        <f t="shared" si="18"/>
        <v>0</v>
      </c>
      <c r="Z16" s="78">
        <f t="shared" si="19"/>
        <v>0</v>
      </c>
      <c r="AB16" s="132">
        <f t="shared" si="20"/>
        <v>0</v>
      </c>
    </row>
    <row r="17" spans="1:28" ht="24.95" customHeight="1">
      <c r="A17" s="6"/>
      <c r="B17" s="96"/>
      <c r="C17" s="85"/>
      <c r="D17" s="86">
        <f t="shared" si="7"/>
        <v>0</v>
      </c>
      <c r="E17" s="86">
        <f t="shared" si="8"/>
        <v>0</v>
      </c>
      <c r="F17" s="87">
        <f t="shared" si="9"/>
        <v>0</v>
      </c>
      <c r="G17" s="86">
        <f t="shared" si="0"/>
        <v>0</v>
      </c>
      <c r="H17" s="88">
        <f t="shared" si="10"/>
        <v>0</v>
      </c>
      <c r="I17" s="89">
        <f t="shared" si="11"/>
        <v>0</v>
      </c>
      <c r="J17" s="90">
        <f t="shared" si="1"/>
        <v>0</v>
      </c>
      <c r="K17" s="91">
        <f t="shared" si="12"/>
        <v>0</v>
      </c>
      <c r="L17" s="92">
        <f t="shared" si="13"/>
        <v>0</v>
      </c>
      <c r="M17" s="93">
        <f t="shared" si="2"/>
        <v>0</v>
      </c>
      <c r="N17" s="88">
        <f t="shared" si="14"/>
        <v>0</v>
      </c>
      <c r="O17" s="89">
        <f t="shared" si="15"/>
        <v>0</v>
      </c>
      <c r="P17" s="94">
        <f t="shared" si="3"/>
        <v>0</v>
      </c>
      <c r="Q17" s="95">
        <f t="shared" si="4"/>
        <v>0</v>
      </c>
      <c r="R17" s="89">
        <f t="shared" si="16"/>
        <v>0</v>
      </c>
      <c r="S17" s="95">
        <f t="shared" si="5"/>
        <v>0</v>
      </c>
      <c r="T17" s="95">
        <f t="shared" si="6"/>
        <v>0</v>
      </c>
      <c r="U17" s="92">
        <f t="shared" si="17"/>
        <v>0</v>
      </c>
      <c r="V17" s="27"/>
      <c r="W17" s="76"/>
      <c r="X17" s="77"/>
      <c r="Y17" s="78">
        <f t="shared" si="18"/>
        <v>0</v>
      </c>
      <c r="Z17" s="78">
        <f t="shared" si="19"/>
        <v>0</v>
      </c>
      <c r="AB17" s="132">
        <f t="shared" si="20"/>
        <v>0</v>
      </c>
    </row>
    <row r="18" spans="1:28" ht="24.95" customHeight="1">
      <c r="A18" s="6"/>
      <c r="B18" s="96"/>
      <c r="C18" s="101"/>
      <c r="D18" s="86">
        <f t="shared" si="7"/>
        <v>0</v>
      </c>
      <c r="E18" s="86">
        <f t="shared" si="8"/>
        <v>0</v>
      </c>
      <c r="F18" s="87">
        <f t="shared" si="9"/>
        <v>0</v>
      </c>
      <c r="G18" s="86">
        <f t="shared" si="0"/>
        <v>0</v>
      </c>
      <c r="H18" s="88">
        <f t="shared" si="10"/>
        <v>0</v>
      </c>
      <c r="I18" s="89">
        <f t="shared" si="11"/>
        <v>0</v>
      </c>
      <c r="J18" s="90">
        <f t="shared" si="1"/>
        <v>0</v>
      </c>
      <c r="K18" s="91">
        <f t="shared" si="12"/>
        <v>0</v>
      </c>
      <c r="L18" s="92">
        <f t="shared" si="13"/>
        <v>0</v>
      </c>
      <c r="M18" s="93">
        <f t="shared" si="2"/>
        <v>0</v>
      </c>
      <c r="N18" s="88">
        <f t="shared" si="14"/>
        <v>0</v>
      </c>
      <c r="O18" s="89">
        <f t="shared" si="15"/>
        <v>0</v>
      </c>
      <c r="P18" s="94">
        <f t="shared" si="3"/>
        <v>0</v>
      </c>
      <c r="Q18" s="95">
        <f t="shared" si="4"/>
        <v>0</v>
      </c>
      <c r="R18" s="89">
        <f t="shared" si="16"/>
        <v>0</v>
      </c>
      <c r="S18" s="95">
        <f t="shared" si="5"/>
        <v>0</v>
      </c>
      <c r="T18" s="95">
        <f t="shared" si="6"/>
        <v>0</v>
      </c>
      <c r="U18" s="92">
        <f t="shared" si="17"/>
        <v>0</v>
      </c>
      <c r="V18" s="27"/>
      <c r="W18" s="76"/>
      <c r="X18" s="77"/>
      <c r="Y18" s="78">
        <f t="shared" si="18"/>
        <v>0</v>
      </c>
      <c r="Z18" s="78">
        <f t="shared" si="19"/>
        <v>0</v>
      </c>
      <c r="AB18" s="132">
        <f t="shared" si="20"/>
        <v>0</v>
      </c>
    </row>
    <row r="19" spans="1:28" ht="24.95" customHeight="1">
      <c r="A19" s="6"/>
      <c r="B19" s="103"/>
      <c r="C19" s="101"/>
      <c r="D19" s="86">
        <f t="shared" si="7"/>
        <v>0</v>
      </c>
      <c r="E19" s="86">
        <f t="shared" si="8"/>
        <v>0</v>
      </c>
      <c r="F19" s="87">
        <f t="shared" si="9"/>
        <v>0</v>
      </c>
      <c r="G19" s="86">
        <f t="shared" si="0"/>
        <v>0</v>
      </c>
      <c r="H19" s="88">
        <f t="shared" si="10"/>
        <v>0</v>
      </c>
      <c r="I19" s="89">
        <f t="shared" si="11"/>
        <v>0</v>
      </c>
      <c r="J19" s="90">
        <f t="shared" si="1"/>
        <v>0</v>
      </c>
      <c r="K19" s="91">
        <f t="shared" si="12"/>
        <v>0</v>
      </c>
      <c r="L19" s="92">
        <f t="shared" si="13"/>
        <v>0</v>
      </c>
      <c r="M19" s="93">
        <f t="shared" si="2"/>
        <v>0</v>
      </c>
      <c r="N19" s="88">
        <f t="shared" si="14"/>
        <v>0</v>
      </c>
      <c r="O19" s="89">
        <f t="shared" si="15"/>
        <v>0</v>
      </c>
      <c r="P19" s="94">
        <f t="shared" si="3"/>
        <v>0</v>
      </c>
      <c r="Q19" s="95">
        <f t="shared" si="4"/>
        <v>0</v>
      </c>
      <c r="R19" s="89">
        <f t="shared" si="16"/>
        <v>0</v>
      </c>
      <c r="S19" s="102">
        <f t="shared" si="5"/>
        <v>0</v>
      </c>
      <c r="T19" s="95">
        <f t="shared" si="6"/>
        <v>0</v>
      </c>
      <c r="U19" s="92">
        <f t="shared" si="17"/>
        <v>0</v>
      </c>
      <c r="V19" s="27"/>
      <c r="W19" s="76"/>
      <c r="X19" s="77"/>
      <c r="Y19" s="78">
        <f t="shared" si="18"/>
        <v>0</v>
      </c>
      <c r="Z19" s="78">
        <f t="shared" si="19"/>
        <v>0</v>
      </c>
      <c r="AB19" s="132">
        <f t="shared" si="20"/>
        <v>0</v>
      </c>
    </row>
    <row r="20" spans="1:28" ht="24.95" customHeight="1">
      <c r="A20" s="6"/>
      <c r="B20" s="97"/>
      <c r="C20" s="101"/>
      <c r="D20" s="86">
        <f t="shared" si="7"/>
        <v>0</v>
      </c>
      <c r="E20" s="86">
        <f t="shared" si="8"/>
        <v>0</v>
      </c>
      <c r="F20" s="87">
        <f t="shared" si="9"/>
        <v>0</v>
      </c>
      <c r="G20" s="86">
        <f t="shared" si="0"/>
        <v>0</v>
      </c>
      <c r="H20" s="88">
        <f t="shared" si="10"/>
        <v>0</v>
      </c>
      <c r="I20" s="89">
        <f t="shared" si="11"/>
        <v>0</v>
      </c>
      <c r="J20" s="90">
        <f t="shared" si="1"/>
        <v>0</v>
      </c>
      <c r="K20" s="91">
        <f t="shared" si="12"/>
        <v>0</v>
      </c>
      <c r="L20" s="92">
        <f t="shared" si="13"/>
        <v>0</v>
      </c>
      <c r="M20" s="93">
        <f t="shared" si="2"/>
        <v>0</v>
      </c>
      <c r="N20" s="88">
        <f t="shared" si="14"/>
        <v>0</v>
      </c>
      <c r="O20" s="89">
        <f t="shared" si="15"/>
        <v>0</v>
      </c>
      <c r="P20" s="94">
        <f t="shared" si="3"/>
        <v>0</v>
      </c>
      <c r="Q20" s="95">
        <f t="shared" si="4"/>
        <v>0</v>
      </c>
      <c r="R20" s="89">
        <f t="shared" si="16"/>
        <v>0</v>
      </c>
      <c r="S20" s="102">
        <f t="shared" si="5"/>
        <v>0</v>
      </c>
      <c r="T20" s="95">
        <f t="shared" si="6"/>
        <v>0</v>
      </c>
      <c r="U20" s="92">
        <f t="shared" si="17"/>
        <v>0</v>
      </c>
      <c r="V20" s="27"/>
      <c r="W20" s="76"/>
      <c r="X20" s="77"/>
      <c r="Y20" s="78">
        <f t="shared" si="18"/>
        <v>0</v>
      </c>
      <c r="Z20" s="78">
        <f t="shared" si="19"/>
        <v>0</v>
      </c>
      <c r="AB20" s="132">
        <f t="shared" si="20"/>
        <v>0</v>
      </c>
    </row>
    <row r="21" spans="1:28" ht="24.95" customHeight="1">
      <c r="A21" s="6"/>
      <c r="B21" s="97"/>
      <c r="C21" s="99"/>
      <c r="D21" s="86">
        <f t="shared" si="7"/>
        <v>0</v>
      </c>
      <c r="E21" s="86">
        <f t="shared" si="8"/>
        <v>0</v>
      </c>
      <c r="F21" s="87">
        <f t="shared" si="9"/>
        <v>0</v>
      </c>
      <c r="G21" s="86">
        <f t="shared" si="0"/>
        <v>0</v>
      </c>
      <c r="H21" s="88">
        <f t="shared" si="10"/>
        <v>0</v>
      </c>
      <c r="I21" s="89">
        <f t="shared" si="11"/>
        <v>0</v>
      </c>
      <c r="J21" s="104">
        <f t="shared" si="1"/>
        <v>0</v>
      </c>
      <c r="K21" s="91">
        <f t="shared" si="12"/>
        <v>0</v>
      </c>
      <c r="L21" s="92">
        <f t="shared" si="13"/>
        <v>0</v>
      </c>
      <c r="M21" s="93">
        <f t="shared" si="2"/>
        <v>0</v>
      </c>
      <c r="N21" s="88">
        <f t="shared" si="14"/>
        <v>0</v>
      </c>
      <c r="O21" s="89">
        <f t="shared" si="15"/>
        <v>0</v>
      </c>
      <c r="P21" s="94">
        <f t="shared" si="3"/>
        <v>0</v>
      </c>
      <c r="Q21" s="95">
        <f t="shared" si="4"/>
        <v>0</v>
      </c>
      <c r="R21" s="89">
        <f t="shared" si="16"/>
        <v>0</v>
      </c>
      <c r="S21" s="102">
        <f t="shared" si="5"/>
        <v>0</v>
      </c>
      <c r="T21" s="95">
        <f t="shared" si="6"/>
        <v>0</v>
      </c>
      <c r="U21" s="92">
        <f t="shared" si="17"/>
        <v>0</v>
      </c>
      <c r="V21" s="27"/>
      <c r="W21" s="76"/>
      <c r="X21" s="77"/>
      <c r="Y21" s="78">
        <f t="shared" si="18"/>
        <v>0</v>
      </c>
      <c r="Z21" s="78">
        <f t="shared" si="19"/>
        <v>0</v>
      </c>
      <c r="AB21" s="132">
        <f t="shared" si="20"/>
        <v>0</v>
      </c>
    </row>
    <row r="22" spans="1:28" ht="24.95" customHeight="1">
      <c r="A22" s="6"/>
      <c r="B22" s="97"/>
      <c r="C22" s="101"/>
      <c r="D22" s="86">
        <f t="shared" si="7"/>
        <v>0</v>
      </c>
      <c r="E22" s="86">
        <f t="shared" si="8"/>
        <v>0</v>
      </c>
      <c r="F22" s="87">
        <f t="shared" si="9"/>
        <v>0</v>
      </c>
      <c r="G22" s="86">
        <f t="shared" si="0"/>
        <v>0</v>
      </c>
      <c r="H22" s="88">
        <f t="shared" si="10"/>
        <v>0</v>
      </c>
      <c r="I22" s="89">
        <f t="shared" si="11"/>
        <v>0</v>
      </c>
      <c r="J22" s="104">
        <f t="shared" si="1"/>
        <v>0</v>
      </c>
      <c r="K22" s="91">
        <f t="shared" si="12"/>
        <v>0</v>
      </c>
      <c r="L22" s="92">
        <f t="shared" si="13"/>
        <v>0</v>
      </c>
      <c r="M22" s="93">
        <f t="shared" si="2"/>
        <v>0</v>
      </c>
      <c r="N22" s="88">
        <f t="shared" si="14"/>
        <v>0</v>
      </c>
      <c r="O22" s="89">
        <f t="shared" si="15"/>
        <v>0</v>
      </c>
      <c r="P22" s="94">
        <f t="shared" si="3"/>
        <v>0</v>
      </c>
      <c r="Q22" s="95">
        <f t="shared" si="4"/>
        <v>0</v>
      </c>
      <c r="R22" s="89">
        <f t="shared" si="16"/>
        <v>0</v>
      </c>
      <c r="S22" s="102">
        <f t="shared" si="5"/>
        <v>0</v>
      </c>
      <c r="T22" s="95">
        <f t="shared" si="6"/>
        <v>0</v>
      </c>
      <c r="U22" s="92">
        <f t="shared" si="17"/>
        <v>0</v>
      </c>
      <c r="V22" s="27"/>
      <c r="W22" s="79"/>
      <c r="X22" s="80">
        <f>SUM(X7:X21)</f>
        <v>0</v>
      </c>
      <c r="Y22" s="81">
        <f>D98</f>
        <v>3</v>
      </c>
      <c r="Z22" s="81">
        <f t="shared" si="19"/>
        <v>3</v>
      </c>
    </row>
    <row r="23" spans="1:28" ht="24.95" customHeight="1">
      <c r="A23" s="6"/>
      <c r="B23" s="97"/>
      <c r="C23" s="101"/>
      <c r="D23" s="86">
        <f t="shared" si="7"/>
        <v>0</v>
      </c>
      <c r="E23" s="86">
        <f t="shared" si="8"/>
        <v>0</v>
      </c>
      <c r="F23" s="87">
        <f t="shared" si="9"/>
        <v>0</v>
      </c>
      <c r="G23" s="86">
        <f t="shared" si="0"/>
        <v>0</v>
      </c>
      <c r="H23" s="88">
        <f t="shared" si="10"/>
        <v>0</v>
      </c>
      <c r="I23" s="89">
        <f t="shared" si="11"/>
        <v>0</v>
      </c>
      <c r="J23" s="104">
        <f t="shared" si="1"/>
        <v>0</v>
      </c>
      <c r="K23" s="91">
        <f t="shared" si="12"/>
        <v>0</v>
      </c>
      <c r="L23" s="92">
        <f t="shared" si="13"/>
        <v>0</v>
      </c>
      <c r="M23" s="93">
        <f t="shared" si="2"/>
        <v>0</v>
      </c>
      <c r="N23" s="88">
        <f t="shared" si="14"/>
        <v>0</v>
      </c>
      <c r="O23" s="89">
        <f t="shared" si="15"/>
        <v>0</v>
      </c>
      <c r="P23" s="94">
        <f t="shared" si="3"/>
        <v>0</v>
      </c>
      <c r="Q23" s="95">
        <f t="shared" si="4"/>
        <v>0</v>
      </c>
      <c r="R23" s="89">
        <f t="shared" si="16"/>
        <v>0</v>
      </c>
      <c r="S23" s="102">
        <f t="shared" si="5"/>
        <v>0</v>
      </c>
      <c r="T23" s="95">
        <f t="shared" si="6"/>
        <v>0</v>
      </c>
      <c r="U23" s="92">
        <f t="shared" si="17"/>
        <v>0</v>
      </c>
      <c r="V23" s="27"/>
      <c r="W23" s="79"/>
      <c r="X23" s="80"/>
      <c r="Y23" s="82"/>
      <c r="Z23" s="82"/>
      <c r="AA23" s="11"/>
    </row>
    <row r="24" spans="1:28" ht="24.95" customHeight="1">
      <c r="A24" s="6"/>
      <c r="B24" s="96"/>
      <c r="C24" s="85"/>
      <c r="D24" s="86">
        <f t="shared" si="7"/>
        <v>0</v>
      </c>
      <c r="E24" s="86">
        <f t="shared" si="8"/>
        <v>0</v>
      </c>
      <c r="F24" s="87">
        <f t="shared" si="9"/>
        <v>0</v>
      </c>
      <c r="G24" s="86">
        <f t="shared" si="0"/>
        <v>0</v>
      </c>
      <c r="H24" s="88">
        <f t="shared" si="10"/>
        <v>0</v>
      </c>
      <c r="I24" s="89">
        <f t="shared" si="11"/>
        <v>0</v>
      </c>
      <c r="J24" s="104">
        <f t="shared" si="1"/>
        <v>0</v>
      </c>
      <c r="K24" s="91">
        <f t="shared" si="12"/>
        <v>0</v>
      </c>
      <c r="L24" s="92">
        <f t="shared" si="13"/>
        <v>0</v>
      </c>
      <c r="M24" s="93">
        <f t="shared" si="2"/>
        <v>0</v>
      </c>
      <c r="N24" s="88">
        <f t="shared" si="14"/>
        <v>0</v>
      </c>
      <c r="O24" s="89">
        <f t="shared" si="15"/>
        <v>0</v>
      </c>
      <c r="P24" s="94">
        <f t="shared" si="3"/>
        <v>0</v>
      </c>
      <c r="Q24" s="95">
        <f t="shared" si="4"/>
        <v>0</v>
      </c>
      <c r="R24" s="89">
        <f t="shared" si="16"/>
        <v>0</v>
      </c>
      <c r="S24" s="102">
        <f t="shared" si="5"/>
        <v>0</v>
      </c>
      <c r="T24" s="95">
        <f t="shared" si="6"/>
        <v>0</v>
      </c>
      <c r="U24" s="92">
        <f t="shared" si="17"/>
        <v>0</v>
      </c>
      <c r="V24" s="27"/>
      <c r="W24" s="83"/>
      <c r="X24" s="83"/>
      <c r="Y24" s="83"/>
      <c r="Z24" s="83"/>
      <c r="AA24" s="243"/>
    </row>
    <row r="25" spans="1:28" ht="24.95" customHeight="1">
      <c r="A25" s="6"/>
      <c r="B25" s="96"/>
      <c r="C25" s="85"/>
      <c r="D25" s="86">
        <f t="shared" si="7"/>
        <v>0</v>
      </c>
      <c r="E25" s="86">
        <f t="shared" si="8"/>
        <v>0</v>
      </c>
      <c r="F25" s="87">
        <f t="shared" si="9"/>
        <v>0</v>
      </c>
      <c r="G25" s="86">
        <f t="shared" si="0"/>
        <v>0</v>
      </c>
      <c r="H25" s="88">
        <f t="shared" si="10"/>
        <v>0</v>
      </c>
      <c r="I25" s="89">
        <f t="shared" si="11"/>
        <v>0</v>
      </c>
      <c r="J25" s="104">
        <f t="shared" si="1"/>
        <v>0</v>
      </c>
      <c r="K25" s="91">
        <f t="shared" si="12"/>
        <v>0</v>
      </c>
      <c r="L25" s="92">
        <f t="shared" si="13"/>
        <v>0</v>
      </c>
      <c r="M25" s="93">
        <f t="shared" si="2"/>
        <v>0</v>
      </c>
      <c r="N25" s="88">
        <f t="shared" si="14"/>
        <v>0</v>
      </c>
      <c r="O25" s="89">
        <f t="shared" si="15"/>
        <v>0</v>
      </c>
      <c r="P25" s="94">
        <f t="shared" si="3"/>
        <v>0</v>
      </c>
      <c r="Q25" s="95">
        <f t="shared" si="4"/>
        <v>0</v>
      </c>
      <c r="R25" s="89">
        <f t="shared" si="16"/>
        <v>0</v>
      </c>
      <c r="S25" s="102">
        <f t="shared" si="5"/>
        <v>0</v>
      </c>
      <c r="T25" s="95">
        <f t="shared" si="6"/>
        <v>0</v>
      </c>
      <c r="U25" s="92">
        <f t="shared" si="17"/>
        <v>0</v>
      </c>
      <c r="V25" s="27"/>
      <c r="W25" s="73"/>
      <c r="X25" s="74"/>
      <c r="Y25" s="75"/>
      <c r="Z25" s="75">
        <f t="shared" ref="Z25:Z30" si="21">Y25*$Z$5</f>
        <v>0</v>
      </c>
      <c r="AA25" s="243"/>
    </row>
    <row r="26" spans="1:28" ht="24.95" customHeight="1">
      <c r="A26" s="6"/>
      <c r="B26" s="96"/>
      <c r="C26" s="85"/>
      <c r="D26" s="86">
        <f t="shared" si="7"/>
        <v>0</v>
      </c>
      <c r="E26" s="86">
        <f t="shared" si="8"/>
        <v>0</v>
      </c>
      <c r="F26" s="87">
        <f t="shared" si="9"/>
        <v>0</v>
      </c>
      <c r="G26" s="86">
        <f t="shared" si="0"/>
        <v>0</v>
      </c>
      <c r="H26" s="88">
        <f t="shared" si="10"/>
        <v>0</v>
      </c>
      <c r="I26" s="89">
        <f t="shared" si="11"/>
        <v>0</v>
      </c>
      <c r="J26" s="104">
        <f t="shared" si="1"/>
        <v>0</v>
      </c>
      <c r="K26" s="91">
        <f t="shared" si="12"/>
        <v>0</v>
      </c>
      <c r="L26" s="92">
        <f t="shared" si="13"/>
        <v>0</v>
      </c>
      <c r="M26" s="93">
        <f t="shared" si="2"/>
        <v>0</v>
      </c>
      <c r="N26" s="88">
        <f t="shared" si="14"/>
        <v>0</v>
      </c>
      <c r="O26" s="89">
        <f t="shared" si="15"/>
        <v>0</v>
      </c>
      <c r="P26" s="94">
        <f t="shared" si="3"/>
        <v>0</v>
      </c>
      <c r="Q26" s="95">
        <f t="shared" si="4"/>
        <v>0</v>
      </c>
      <c r="R26" s="89">
        <f t="shared" si="16"/>
        <v>0</v>
      </c>
      <c r="S26" s="102">
        <f t="shared" si="5"/>
        <v>0</v>
      </c>
      <c r="T26" s="95">
        <f t="shared" si="6"/>
        <v>0</v>
      </c>
      <c r="U26" s="92">
        <f t="shared" si="17"/>
        <v>0</v>
      </c>
      <c r="V26" s="27"/>
      <c r="W26" s="76"/>
      <c r="X26" s="77"/>
      <c r="Y26" s="78"/>
      <c r="Z26" s="78">
        <f t="shared" si="21"/>
        <v>0</v>
      </c>
      <c r="AA26" s="11"/>
    </row>
    <row r="27" spans="1:28" ht="24.95" customHeight="1">
      <c r="A27" s="6"/>
      <c r="B27" s="97"/>
      <c r="C27" s="101"/>
      <c r="D27" s="86">
        <f t="shared" si="7"/>
        <v>0</v>
      </c>
      <c r="E27" s="86">
        <f t="shared" si="8"/>
        <v>0</v>
      </c>
      <c r="F27" s="87">
        <f t="shared" si="9"/>
        <v>0</v>
      </c>
      <c r="G27" s="86">
        <f t="shared" si="0"/>
        <v>0</v>
      </c>
      <c r="H27" s="88">
        <f t="shared" si="10"/>
        <v>0</v>
      </c>
      <c r="I27" s="89">
        <f t="shared" si="11"/>
        <v>0</v>
      </c>
      <c r="J27" s="104">
        <f t="shared" si="1"/>
        <v>0</v>
      </c>
      <c r="K27" s="91">
        <f t="shared" si="12"/>
        <v>0</v>
      </c>
      <c r="L27" s="92">
        <f t="shared" si="13"/>
        <v>0</v>
      </c>
      <c r="M27" s="93">
        <f t="shared" si="2"/>
        <v>0</v>
      </c>
      <c r="N27" s="88">
        <f t="shared" si="14"/>
        <v>0</v>
      </c>
      <c r="O27" s="89">
        <f t="shared" si="15"/>
        <v>0</v>
      </c>
      <c r="P27" s="94">
        <f t="shared" si="3"/>
        <v>0</v>
      </c>
      <c r="Q27" s="95">
        <f t="shared" si="4"/>
        <v>0</v>
      </c>
      <c r="R27" s="89">
        <f t="shared" si="16"/>
        <v>0</v>
      </c>
      <c r="S27" s="102">
        <f t="shared" si="5"/>
        <v>0</v>
      </c>
      <c r="T27" s="95">
        <f t="shared" si="6"/>
        <v>0</v>
      </c>
      <c r="U27" s="92">
        <f t="shared" si="17"/>
        <v>0</v>
      </c>
      <c r="V27" s="27"/>
      <c r="W27" s="76"/>
      <c r="X27" s="77"/>
      <c r="Y27" s="78"/>
      <c r="Z27" s="78">
        <f t="shared" si="21"/>
        <v>0</v>
      </c>
      <c r="AA27" s="243"/>
    </row>
    <row r="28" spans="1:28" ht="24.95" customHeight="1">
      <c r="A28" s="6"/>
      <c r="B28" s="97"/>
      <c r="C28" s="101"/>
      <c r="D28" s="86">
        <f t="shared" si="7"/>
        <v>0</v>
      </c>
      <c r="E28" s="86">
        <f t="shared" si="8"/>
        <v>0</v>
      </c>
      <c r="F28" s="87">
        <f t="shared" si="9"/>
        <v>0</v>
      </c>
      <c r="G28" s="86">
        <f t="shared" si="0"/>
        <v>0</v>
      </c>
      <c r="H28" s="88">
        <f t="shared" si="10"/>
        <v>0</v>
      </c>
      <c r="I28" s="89">
        <f t="shared" si="11"/>
        <v>0</v>
      </c>
      <c r="J28" s="104">
        <f t="shared" si="1"/>
        <v>0</v>
      </c>
      <c r="K28" s="91">
        <f t="shared" si="12"/>
        <v>0</v>
      </c>
      <c r="L28" s="92">
        <f t="shared" si="13"/>
        <v>0</v>
      </c>
      <c r="M28" s="93">
        <f t="shared" si="2"/>
        <v>0</v>
      </c>
      <c r="N28" s="88">
        <f t="shared" si="14"/>
        <v>0</v>
      </c>
      <c r="O28" s="89">
        <f t="shared" si="15"/>
        <v>0</v>
      </c>
      <c r="P28" s="94">
        <f t="shared" si="3"/>
        <v>0</v>
      </c>
      <c r="Q28" s="95">
        <f t="shared" si="4"/>
        <v>0</v>
      </c>
      <c r="R28" s="89">
        <f t="shared" si="16"/>
        <v>0</v>
      </c>
      <c r="S28" s="102">
        <f t="shared" si="5"/>
        <v>0</v>
      </c>
      <c r="T28" s="95">
        <f t="shared" si="6"/>
        <v>0</v>
      </c>
      <c r="U28" s="92">
        <f t="shared" si="17"/>
        <v>0</v>
      </c>
      <c r="V28" s="27"/>
      <c r="W28" s="76"/>
      <c r="X28" s="77"/>
      <c r="Y28" s="78"/>
      <c r="Z28" s="78">
        <f t="shared" si="21"/>
        <v>0</v>
      </c>
      <c r="AA28" s="243"/>
    </row>
    <row r="29" spans="1:28" ht="24.95" customHeight="1">
      <c r="A29" s="6"/>
      <c r="B29" s="97"/>
      <c r="C29" s="101"/>
      <c r="D29" s="86">
        <f t="shared" si="7"/>
        <v>0</v>
      </c>
      <c r="E29" s="86">
        <f t="shared" si="8"/>
        <v>0</v>
      </c>
      <c r="F29" s="87">
        <f t="shared" si="9"/>
        <v>0</v>
      </c>
      <c r="G29" s="86">
        <f t="shared" si="0"/>
        <v>0</v>
      </c>
      <c r="H29" s="88">
        <f t="shared" si="10"/>
        <v>0</v>
      </c>
      <c r="I29" s="89">
        <f t="shared" si="11"/>
        <v>0</v>
      </c>
      <c r="J29" s="104">
        <f t="shared" si="1"/>
        <v>0</v>
      </c>
      <c r="K29" s="91">
        <f t="shared" si="12"/>
        <v>0</v>
      </c>
      <c r="L29" s="92">
        <f t="shared" si="13"/>
        <v>0</v>
      </c>
      <c r="M29" s="93">
        <f t="shared" si="2"/>
        <v>0</v>
      </c>
      <c r="N29" s="88">
        <f t="shared" si="14"/>
        <v>0</v>
      </c>
      <c r="O29" s="89">
        <f t="shared" si="15"/>
        <v>0</v>
      </c>
      <c r="P29" s="94">
        <f t="shared" si="3"/>
        <v>0</v>
      </c>
      <c r="Q29" s="95">
        <f t="shared" si="4"/>
        <v>0</v>
      </c>
      <c r="R29" s="89">
        <f t="shared" si="16"/>
        <v>0</v>
      </c>
      <c r="S29" s="102">
        <f t="shared" si="5"/>
        <v>0</v>
      </c>
      <c r="T29" s="95">
        <f t="shared" si="6"/>
        <v>0</v>
      </c>
      <c r="U29" s="92">
        <f t="shared" si="17"/>
        <v>0</v>
      </c>
      <c r="V29" s="27"/>
      <c r="W29" s="76"/>
      <c r="X29" s="77"/>
      <c r="Y29" s="78"/>
      <c r="Z29" s="78">
        <f t="shared" si="21"/>
        <v>0</v>
      </c>
    </row>
    <row r="30" spans="1:28" ht="24.95" customHeight="1">
      <c r="A30" s="6"/>
      <c r="B30" s="97"/>
      <c r="C30" s="101"/>
      <c r="D30" s="86">
        <f t="shared" si="7"/>
        <v>0</v>
      </c>
      <c r="E30" s="86">
        <f t="shared" si="8"/>
        <v>0</v>
      </c>
      <c r="F30" s="87">
        <f t="shared" si="9"/>
        <v>0</v>
      </c>
      <c r="G30" s="86">
        <f t="shared" si="0"/>
        <v>0</v>
      </c>
      <c r="H30" s="88">
        <f t="shared" si="10"/>
        <v>0</v>
      </c>
      <c r="I30" s="89">
        <f t="shared" si="11"/>
        <v>0</v>
      </c>
      <c r="J30" s="90">
        <f t="shared" si="1"/>
        <v>0</v>
      </c>
      <c r="K30" s="91">
        <f t="shared" si="12"/>
        <v>0</v>
      </c>
      <c r="L30" s="92">
        <f t="shared" si="13"/>
        <v>0</v>
      </c>
      <c r="M30" s="93">
        <f t="shared" si="2"/>
        <v>0</v>
      </c>
      <c r="N30" s="88">
        <f t="shared" si="14"/>
        <v>0</v>
      </c>
      <c r="O30" s="89">
        <f t="shared" si="15"/>
        <v>0</v>
      </c>
      <c r="P30" s="94">
        <f t="shared" si="3"/>
        <v>0</v>
      </c>
      <c r="Q30" s="95">
        <f t="shared" si="4"/>
        <v>0</v>
      </c>
      <c r="R30" s="89">
        <f t="shared" si="16"/>
        <v>0</v>
      </c>
      <c r="S30" s="95">
        <f t="shared" si="5"/>
        <v>0</v>
      </c>
      <c r="T30" s="95">
        <f t="shared" si="6"/>
        <v>0</v>
      </c>
      <c r="U30" s="92">
        <f t="shared" si="17"/>
        <v>0</v>
      </c>
      <c r="V30" s="27"/>
      <c r="W30" s="76"/>
      <c r="X30" s="77"/>
      <c r="Y30" s="78"/>
      <c r="Z30" s="78">
        <f t="shared" si="21"/>
        <v>0</v>
      </c>
    </row>
    <row r="31" spans="1:28" ht="24.95" customHeight="1">
      <c r="B31" s="97"/>
      <c r="C31" s="101"/>
      <c r="D31" s="86">
        <f t="shared" si="7"/>
        <v>0</v>
      </c>
      <c r="E31" s="86">
        <f t="shared" si="8"/>
        <v>0</v>
      </c>
      <c r="F31" s="87">
        <f t="shared" si="9"/>
        <v>0</v>
      </c>
      <c r="G31" s="86">
        <f t="shared" si="0"/>
        <v>0</v>
      </c>
      <c r="H31" s="88">
        <f t="shared" si="10"/>
        <v>0</v>
      </c>
      <c r="I31" s="89">
        <f t="shared" si="11"/>
        <v>0</v>
      </c>
      <c r="J31" s="90">
        <f t="shared" si="1"/>
        <v>0</v>
      </c>
      <c r="K31" s="91">
        <f t="shared" si="12"/>
        <v>0</v>
      </c>
      <c r="L31" s="92">
        <f t="shared" si="13"/>
        <v>0</v>
      </c>
      <c r="M31" s="93">
        <f t="shared" si="2"/>
        <v>0</v>
      </c>
      <c r="N31" s="88">
        <f t="shared" si="14"/>
        <v>0</v>
      </c>
      <c r="O31" s="89">
        <f t="shared" si="15"/>
        <v>0</v>
      </c>
      <c r="P31" s="94">
        <f t="shared" si="3"/>
        <v>0</v>
      </c>
      <c r="Q31" s="95">
        <f t="shared" si="4"/>
        <v>0</v>
      </c>
      <c r="R31" s="89">
        <f t="shared" si="16"/>
        <v>0</v>
      </c>
      <c r="S31" s="95">
        <f t="shared" si="5"/>
        <v>0</v>
      </c>
      <c r="T31" s="95">
        <f t="shared" si="6"/>
        <v>0</v>
      </c>
      <c r="U31" s="92">
        <f t="shared" si="17"/>
        <v>0</v>
      </c>
      <c r="V31" s="27"/>
      <c r="X31"/>
      <c r="Y31"/>
      <c r="Z31"/>
    </row>
    <row r="32" spans="1:28" ht="24.95" customHeight="1">
      <c r="A32" s="6"/>
      <c r="B32" s="97"/>
      <c r="C32" s="101"/>
      <c r="D32" s="86">
        <f t="shared" si="7"/>
        <v>0</v>
      </c>
      <c r="E32" s="86">
        <f t="shared" si="8"/>
        <v>0</v>
      </c>
      <c r="F32" s="87">
        <f t="shared" si="9"/>
        <v>0</v>
      </c>
      <c r="G32" s="86">
        <f t="shared" si="0"/>
        <v>0</v>
      </c>
      <c r="H32" s="88">
        <f t="shared" si="10"/>
        <v>0</v>
      </c>
      <c r="I32" s="89">
        <f t="shared" si="11"/>
        <v>0</v>
      </c>
      <c r="J32" s="90">
        <f t="shared" si="1"/>
        <v>0</v>
      </c>
      <c r="K32" s="91">
        <f t="shared" si="12"/>
        <v>0</v>
      </c>
      <c r="L32" s="92">
        <f t="shared" si="13"/>
        <v>0</v>
      </c>
      <c r="M32" s="93">
        <f t="shared" si="2"/>
        <v>0</v>
      </c>
      <c r="N32" s="88">
        <f t="shared" si="14"/>
        <v>0</v>
      </c>
      <c r="O32" s="89">
        <f t="shared" si="15"/>
        <v>0</v>
      </c>
      <c r="P32" s="105">
        <f t="shared" si="3"/>
        <v>0</v>
      </c>
      <c r="Q32" s="95">
        <f t="shared" si="4"/>
        <v>0</v>
      </c>
      <c r="R32" s="89">
        <f t="shared" si="16"/>
        <v>0</v>
      </c>
      <c r="S32" s="102">
        <f t="shared" si="5"/>
        <v>0</v>
      </c>
      <c r="T32" s="95">
        <f t="shared" si="6"/>
        <v>0</v>
      </c>
      <c r="U32" s="92">
        <f t="shared" si="17"/>
        <v>0</v>
      </c>
      <c r="V32" s="27"/>
      <c r="W32" s="6"/>
      <c r="X32" s="12"/>
      <c r="Y32" s="13"/>
      <c r="Z32" s="13"/>
    </row>
    <row r="33" spans="1:26" ht="24.95" customHeight="1">
      <c r="A33" s="6"/>
      <c r="B33" s="106"/>
      <c r="C33" s="98"/>
      <c r="D33" s="86">
        <f t="shared" si="7"/>
        <v>0</v>
      </c>
      <c r="E33" s="86">
        <f t="shared" si="8"/>
        <v>0</v>
      </c>
      <c r="F33" s="87">
        <f t="shared" si="9"/>
        <v>0</v>
      </c>
      <c r="G33" s="86">
        <f t="shared" si="0"/>
        <v>0</v>
      </c>
      <c r="H33" s="88">
        <f t="shared" si="10"/>
        <v>0</v>
      </c>
      <c r="I33" s="89">
        <f t="shared" si="11"/>
        <v>0</v>
      </c>
      <c r="J33" s="90">
        <f t="shared" si="1"/>
        <v>0</v>
      </c>
      <c r="K33" s="91">
        <f t="shared" si="12"/>
        <v>0</v>
      </c>
      <c r="L33" s="92">
        <f t="shared" si="13"/>
        <v>0</v>
      </c>
      <c r="M33" s="93">
        <f t="shared" si="2"/>
        <v>0</v>
      </c>
      <c r="N33" s="88">
        <f t="shared" si="14"/>
        <v>0</v>
      </c>
      <c r="O33" s="89">
        <f t="shared" si="15"/>
        <v>0</v>
      </c>
      <c r="P33" s="105">
        <f t="shared" si="3"/>
        <v>0</v>
      </c>
      <c r="Q33" s="95">
        <f t="shared" si="4"/>
        <v>0</v>
      </c>
      <c r="R33" s="89">
        <f t="shared" si="16"/>
        <v>0</v>
      </c>
      <c r="S33" s="102">
        <f t="shared" si="5"/>
        <v>0</v>
      </c>
      <c r="T33" s="95">
        <f t="shared" si="6"/>
        <v>0</v>
      </c>
      <c r="U33" s="92">
        <f t="shared" si="17"/>
        <v>0</v>
      </c>
      <c r="V33" s="28"/>
      <c r="X33" s="12"/>
      <c r="Y33" s="14"/>
      <c r="Z33" s="14"/>
    </row>
    <row r="34" spans="1:26" ht="24.95" customHeight="1">
      <c r="A34" s="6"/>
      <c r="B34" s="97"/>
      <c r="C34" s="101"/>
      <c r="D34" s="86">
        <f t="shared" si="7"/>
        <v>0</v>
      </c>
      <c r="E34" s="86">
        <f t="shared" si="8"/>
        <v>0</v>
      </c>
      <c r="F34" s="87">
        <f t="shared" si="9"/>
        <v>0</v>
      </c>
      <c r="G34" s="86">
        <f t="shared" si="0"/>
        <v>0</v>
      </c>
      <c r="H34" s="88">
        <f t="shared" si="10"/>
        <v>0</v>
      </c>
      <c r="I34" s="89">
        <f t="shared" si="11"/>
        <v>0</v>
      </c>
      <c r="J34" s="90">
        <f t="shared" si="1"/>
        <v>0</v>
      </c>
      <c r="K34" s="91">
        <f t="shared" si="12"/>
        <v>0</v>
      </c>
      <c r="L34" s="92">
        <f t="shared" si="13"/>
        <v>0</v>
      </c>
      <c r="M34" s="93">
        <f t="shared" si="2"/>
        <v>0</v>
      </c>
      <c r="N34" s="88">
        <f t="shared" si="14"/>
        <v>0</v>
      </c>
      <c r="O34" s="89">
        <f t="shared" si="15"/>
        <v>0</v>
      </c>
      <c r="P34" s="94">
        <f t="shared" si="3"/>
        <v>0</v>
      </c>
      <c r="Q34" s="95">
        <f t="shared" si="4"/>
        <v>0</v>
      </c>
      <c r="R34" s="89">
        <f t="shared" si="16"/>
        <v>0</v>
      </c>
      <c r="S34" s="95">
        <f t="shared" si="5"/>
        <v>0</v>
      </c>
      <c r="T34" s="95">
        <f t="shared" si="6"/>
        <v>0</v>
      </c>
      <c r="U34" s="92">
        <f t="shared" si="17"/>
        <v>0</v>
      </c>
      <c r="V34" s="27"/>
      <c r="X34" s="12"/>
      <c r="Y34" s="14"/>
      <c r="Z34" s="14"/>
    </row>
    <row r="35" spans="1:26" ht="24.95" customHeight="1">
      <c r="B35" s="97"/>
      <c r="C35" s="101"/>
      <c r="D35" s="86">
        <f t="shared" si="7"/>
        <v>0</v>
      </c>
      <c r="E35" s="86">
        <f t="shared" si="8"/>
        <v>0</v>
      </c>
      <c r="F35" s="87">
        <f t="shared" si="9"/>
        <v>0</v>
      </c>
      <c r="G35" s="86">
        <f t="shared" si="0"/>
        <v>0</v>
      </c>
      <c r="H35" s="88">
        <f t="shared" si="10"/>
        <v>0</v>
      </c>
      <c r="I35" s="89">
        <f t="shared" si="11"/>
        <v>0</v>
      </c>
      <c r="J35" s="90">
        <f t="shared" si="1"/>
        <v>0</v>
      </c>
      <c r="K35" s="91">
        <f t="shared" si="12"/>
        <v>0</v>
      </c>
      <c r="L35" s="92">
        <f t="shared" si="13"/>
        <v>0</v>
      </c>
      <c r="M35" s="93">
        <f t="shared" si="2"/>
        <v>0</v>
      </c>
      <c r="N35" s="88">
        <f t="shared" si="14"/>
        <v>0</v>
      </c>
      <c r="O35" s="89">
        <f t="shared" si="15"/>
        <v>0</v>
      </c>
      <c r="P35" s="94">
        <f t="shared" si="3"/>
        <v>0</v>
      </c>
      <c r="Q35" s="95">
        <f t="shared" si="4"/>
        <v>0</v>
      </c>
      <c r="R35" s="89">
        <f t="shared" si="16"/>
        <v>0</v>
      </c>
      <c r="S35" s="95">
        <f t="shared" si="5"/>
        <v>0</v>
      </c>
      <c r="T35" s="95">
        <f t="shared" si="6"/>
        <v>0</v>
      </c>
      <c r="U35" s="92">
        <f t="shared" si="17"/>
        <v>0</v>
      </c>
      <c r="V35" s="27"/>
      <c r="X35" s="12"/>
      <c r="Y35" s="14"/>
      <c r="Z35" s="14"/>
    </row>
    <row r="36" spans="1:26" ht="24.95" customHeight="1">
      <c r="B36" s="107"/>
      <c r="C36" s="99"/>
      <c r="D36" s="86">
        <f t="shared" si="7"/>
        <v>0</v>
      </c>
      <c r="E36" s="86">
        <f t="shared" si="8"/>
        <v>0</v>
      </c>
      <c r="F36" s="87">
        <f t="shared" si="9"/>
        <v>0</v>
      </c>
      <c r="G36" s="86">
        <f t="shared" si="0"/>
        <v>0</v>
      </c>
      <c r="H36" s="88">
        <f t="shared" si="10"/>
        <v>0</v>
      </c>
      <c r="I36" s="89">
        <f t="shared" si="11"/>
        <v>0</v>
      </c>
      <c r="J36" s="90">
        <f t="shared" si="1"/>
        <v>0</v>
      </c>
      <c r="K36" s="91">
        <f t="shared" si="12"/>
        <v>0</v>
      </c>
      <c r="L36" s="92">
        <f t="shared" si="13"/>
        <v>0</v>
      </c>
      <c r="M36" s="93">
        <f t="shared" si="2"/>
        <v>0</v>
      </c>
      <c r="N36" s="88">
        <f t="shared" si="14"/>
        <v>0</v>
      </c>
      <c r="O36" s="89">
        <f t="shared" si="15"/>
        <v>0</v>
      </c>
      <c r="P36" s="108">
        <f t="shared" si="3"/>
        <v>0</v>
      </c>
      <c r="Q36" s="95">
        <f t="shared" si="4"/>
        <v>0</v>
      </c>
      <c r="R36" s="89">
        <f t="shared" si="16"/>
        <v>0</v>
      </c>
      <c r="S36" s="100">
        <f t="shared" si="5"/>
        <v>0</v>
      </c>
      <c r="T36" s="95">
        <f t="shared" si="6"/>
        <v>0</v>
      </c>
      <c r="U36" s="92">
        <f t="shared" si="17"/>
        <v>0</v>
      </c>
      <c r="V36" s="27"/>
      <c r="X36" s="12"/>
      <c r="Y36" s="14"/>
      <c r="Z36" s="14"/>
    </row>
    <row r="37" spans="1:26" ht="24.95" customHeight="1">
      <c r="B37" s="107"/>
      <c r="C37" s="99"/>
      <c r="D37" s="86">
        <f t="shared" si="7"/>
        <v>0</v>
      </c>
      <c r="E37" s="86">
        <f t="shared" si="8"/>
        <v>0</v>
      </c>
      <c r="F37" s="87">
        <f t="shared" si="9"/>
        <v>0</v>
      </c>
      <c r="G37" s="86">
        <f t="shared" si="0"/>
        <v>0</v>
      </c>
      <c r="H37" s="88">
        <f t="shared" si="10"/>
        <v>0</v>
      </c>
      <c r="I37" s="89">
        <f t="shared" si="11"/>
        <v>0</v>
      </c>
      <c r="J37" s="109">
        <f t="shared" si="1"/>
        <v>0</v>
      </c>
      <c r="K37" s="91">
        <f t="shared" si="12"/>
        <v>0</v>
      </c>
      <c r="L37" s="92">
        <f t="shared" si="13"/>
        <v>0</v>
      </c>
      <c r="M37" s="93">
        <f t="shared" si="2"/>
        <v>0</v>
      </c>
      <c r="N37" s="88">
        <f t="shared" si="14"/>
        <v>0</v>
      </c>
      <c r="O37" s="89">
        <f t="shared" si="15"/>
        <v>0</v>
      </c>
      <c r="P37" s="108">
        <f t="shared" si="3"/>
        <v>0</v>
      </c>
      <c r="Q37" s="95">
        <f t="shared" si="4"/>
        <v>0</v>
      </c>
      <c r="R37" s="89">
        <f t="shared" si="16"/>
        <v>0</v>
      </c>
      <c r="S37" s="100">
        <f t="shared" si="5"/>
        <v>0</v>
      </c>
      <c r="T37" s="95">
        <f t="shared" si="6"/>
        <v>0</v>
      </c>
      <c r="U37" s="92">
        <f t="shared" si="17"/>
        <v>0</v>
      </c>
      <c r="V37" s="28"/>
      <c r="X37" s="12"/>
      <c r="Y37" s="14"/>
      <c r="Z37" s="14"/>
    </row>
    <row r="38" spans="1:26" ht="24.95" customHeight="1">
      <c r="B38" s="97"/>
      <c r="C38" s="101"/>
      <c r="D38" s="86">
        <f t="shared" si="7"/>
        <v>0</v>
      </c>
      <c r="E38" s="86">
        <f t="shared" si="8"/>
        <v>0</v>
      </c>
      <c r="F38" s="87">
        <f t="shared" si="9"/>
        <v>0</v>
      </c>
      <c r="G38" s="86">
        <f t="shared" si="0"/>
        <v>0</v>
      </c>
      <c r="H38" s="88">
        <f t="shared" si="10"/>
        <v>0</v>
      </c>
      <c r="I38" s="89">
        <f t="shared" si="11"/>
        <v>0</v>
      </c>
      <c r="J38" s="109">
        <f t="shared" si="1"/>
        <v>0</v>
      </c>
      <c r="K38" s="91">
        <f t="shared" si="12"/>
        <v>0</v>
      </c>
      <c r="L38" s="92">
        <f t="shared" si="13"/>
        <v>0</v>
      </c>
      <c r="M38" s="93">
        <f t="shared" si="2"/>
        <v>0</v>
      </c>
      <c r="N38" s="88">
        <f t="shared" si="14"/>
        <v>0</v>
      </c>
      <c r="O38" s="89">
        <f t="shared" si="15"/>
        <v>0</v>
      </c>
      <c r="P38" s="108">
        <f t="shared" si="3"/>
        <v>0</v>
      </c>
      <c r="Q38" s="95">
        <f t="shared" si="4"/>
        <v>0</v>
      </c>
      <c r="R38" s="89">
        <f t="shared" si="16"/>
        <v>0</v>
      </c>
      <c r="S38" s="100">
        <f t="shared" si="5"/>
        <v>0</v>
      </c>
      <c r="T38" s="95">
        <f t="shared" si="6"/>
        <v>0</v>
      </c>
      <c r="U38" s="92">
        <f t="shared" si="17"/>
        <v>0</v>
      </c>
      <c r="V38" s="28"/>
      <c r="X38" s="12"/>
      <c r="Y38" s="14"/>
      <c r="Z38" s="14"/>
    </row>
    <row r="39" spans="1:26" ht="24.95" customHeight="1">
      <c r="B39" s="97"/>
      <c r="C39" s="101"/>
      <c r="D39" s="86">
        <f t="shared" si="7"/>
        <v>0</v>
      </c>
      <c r="E39" s="86">
        <f t="shared" si="8"/>
        <v>0</v>
      </c>
      <c r="F39" s="87">
        <f t="shared" si="9"/>
        <v>0</v>
      </c>
      <c r="G39" s="86">
        <f t="shared" si="0"/>
        <v>0</v>
      </c>
      <c r="H39" s="88">
        <f t="shared" si="10"/>
        <v>0</v>
      </c>
      <c r="I39" s="89">
        <f t="shared" si="11"/>
        <v>0</v>
      </c>
      <c r="J39" s="109">
        <f t="shared" si="1"/>
        <v>0</v>
      </c>
      <c r="K39" s="91">
        <f t="shared" si="12"/>
        <v>0</v>
      </c>
      <c r="L39" s="92">
        <f t="shared" si="13"/>
        <v>0</v>
      </c>
      <c r="M39" s="93">
        <f t="shared" si="2"/>
        <v>0</v>
      </c>
      <c r="N39" s="88">
        <f t="shared" si="14"/>
        <v>0</v>
      </c>
      <c r="O39" s="89">
        <f t="shared" si="15"/>
        <v>0</v>
      </c>
      <c r="P39" s="108">
        <f t="shared" si="3"/>
        <v>0</v>
      </c>
      <c r="Q39" s="95">
        <f t="shared" si="4"/>
        <v>0</v>
      </c>
      <c r="R39" s="89">
        <f t="shared" si="16"/>
        <v>0</v>
      </c>
      <c r="S39" s="100">
        <f t="shared" si="5"/>
        <v>0</v>
      </c>
      <c r="T39" s="95">
        <f t="shared" si="6"/>
        <v>0</v>
      </c>
      <c r="U39" s="92">
        <f t="shared" si="17"/>
        <v>0</v>
      </c>
      <c r="V39" s="28"/>
      <c r="X39" s="12"/>
      <c r="Y39" s="14"/>
      <c r="Z39" s="14"/>
    </row>
    <row r="40" spans="1:26" ht="24.95" customHeight="1">
      <c r="B40" s="107"/>
      <c r="C40" s="99"/>
      <c r="D40" s="86">
        <f t="shared" si="7"/>
        <v>0</v>
      </c>
      <c r="E40" s="86">
        <f t="shared" si="8"/>
        <v>0</v>
      </c>
      <c r="F40" s="87">
        <f t="shared" si="9"/>
        <v>0</v>
      </c>
      <c r="G40" s="86">
        <f t="shared" si="0"/>
        <v>0</v>
      </c>
      <c r="H40" s="88">
        <f t="shared" si="10"/>
        <v>0</v>
      </c>
      <c r="I40" s="89">
        <f t="shared" si="11"/>
        <v>0</v>
      </c>
      <c r="J40" s="109">
        <f t="shared" si="1"/>
        <v>0</v>
      </c>
      <c r="K40" s="91">
        <f t="shared" si="12"/>
        <v>0</v>
      </c>
      <c r="L40" s="92">
        <f t="shared" si="13"/>
        <v>0</v>
      </c>
      <c r="M40" s="93">
        <f t="shared" si="2"/>
        <v>0</v>
      </c>
      <c r="N40" s="88">
        <f t="shared" si="14"/>
        <v>0</v>
      </c>
      <c r="O40" s="89">
        <f t="shared" si="15"/>
        <v>0</v>
      </c>
      <c r="P40" s="108">
        <f t="shared" si="3"/>
        <v>0</v>
      </c>
      <c r="Q40" s="95">
        <f t="shared" si="4"/>
        <v>0</v>
      </c>
      <c r="R40" s="89">
        <f t="shared" si="16"/>
        <v>0</v>
      </c>
      <c r="S40" s="100">
        <f t="shared" si="5"/>
        <v>0</v>
      </c>
      <c r="T40" s="95">
        <f t="shared" si="6"/>
        <v>0</v>
      </c>
      <c r="U40" s="92">
        <f t="shared" si="17"/>
        <v>0</v>
      </c>
      <c r="V40" s="28"/>
      <c r="X40" s="12"/>
      <c r="Y40" s="14"/>
      <c r="Z40" s="14"/>
    </row>
    <row r="41" spans="1:26" ht="24.95" customHeight="1">
      <c r="B41" s="110"/>
      <c r="C41" s="101"/>
      <c r="D41" s="86">
        <f t="shared" si="7"/>
        <v>0</v>
      </c>
      <c r="E41" s="86">
        <f t="shared" si="8"/>
        <v>0</v>
      </c>
      <c r="F41" s="87">
        <f t="shared" si="9"/>
        <v>0</v>
      </c>
      <c r="G41" s="86">
        <f t="shared" si="0"/>
        <v>0</v>
      </c>
      <c r="H41" s="88">
        <f t="shared" si="10"/>
        <v>0</v>
      </c>
      <c r="I41" s="89">
        <f t="shared" si="11"/>
        <v>0</v>
      </c>
      <c r="J41" s="109">
        <f t="shared" si="1"/>
        <v>0</v>
      </c>
      <c r="K41" s="91">
        <f t="shared" si="12"/>
        <v>0</v>
      </c>
      <c r="L41" s="92">
        <f t="shared" si="13"/>
        <v>0</v>
      </c>
      <c r="M41" s="93">
        <f t="shared" si="2"/>
        <v>0</v>
      </c>
      <c r="N41" s="88">
        <f t="shared" si="14"/>
        <v>0</v>
      </c>
      <c r="O41" s="89">
        <f t="shared" si="15"/>
        <v>0</v>
      </c>
      <c r="P41" s="108">
        <f t="shared" si="3"/>
        <v>0</v>
      </c>
      <c r="Q41" s="95">
        <f t="shared" si="4"/>
        <v>0</v>
      </c>
      <c r="R41" s="89">
        <f t="shared" si="16"/>
        <v>0</v>
      </c>
      <c r="S41" s="100">
        <f t="shared" si="5"/>
        <v>0</v>
      </c>
      <c r="T41" s="95">
        <f t="shared" si="6"/>
        <v>0</v>
      </c>
      <c r="U41" s="92">
        <f t="shared" si="17"/>
        <v>0</v>
      </c>
      <c r="V41" s="28"/>
      <c r="X41" s="12"/>
      <c r="Y41" s="14"/>
      <c r="Z41" s="14"/>
    </row>
    <row r="42" spans="1:26" ht="24.95" customHeight="1">
      <c r="B42" s="111"/>
      <c r="C42" s="99"/>
      <c r="D42" s="86">
        <f t="shared" si="7"/>
        <v>0</v>
      </c>
      <c r="E42" s="86">
        <f t="shared" si="8"/>
        <v>0</v>
      </c>
      <c r="F42" s="87">
        <f t="shared" si="9"/>
        <v>0</v>
      </c>
      <c r="G42" s="86">
        <f t="shared" si="0"/>
        <v>0</v>
      </c>
      <c r="H42" s="88">
        <f t="shared" si="10"/>
        <v>0</v>
      </c>
      <c r="I42" s="89">
        <f t="shared" si="11"/>
        <v>0</v>
      </c>
      <c r="J42" s="109">
        <f t="shared" si="1"/>
        <v>0</v>
      </c>
      <c r="K42" s="91">
        <f t="shared" si="12"/>
        <v>0</v>
      </c>
      <c r="L42" s="92">
        <f t="shared" si="13"/>
        <v>0</v>
      </c>
      <c r="M42" s="93">
        <f t="shared" si="2"/>
        <v>0</v>
      </c>
      <c r="N42" s="88">
        <f t="shared" si="14"/>
        <v>0</v>
      </c>
      <c r="O42" s="89">
        <f t="shared" si="15"/>
        <v>0</v>
      </c>
      <c r="P42" s="108">
        <f t="shared" si="3"/>
        <v>0</v>
      </c>
      <c r="Q42" s="95">
        <f t="shared" si="4"/>
        <v>0</v>
      </c>
      <c r="R42" s="89">
        <f t="shared" si="16"/>
        <v>0</v>
      </c>
      <c r="S42" s="100">
        <f t="shared" si="5"/>
        <v>0</v>
      </c>
      <c r="T42" s="95">
        <f t="shared" si="6"/>
        <v>0</v>
      </c>
      <c r="U42" s="92">
        <f t="shared" si="17"/>
        <v>0</v>
      </c>
      <c r="V42" s="28"/>
      <c r="X42" s="12"/>
      <c r="Y42" s="14"/>
      <c r="Z42" s="14"/>
    </row>
    <row r="43" spans="1:26" ht="24.95" customHeight="1">
      <c r="B43" s="110"/>
      <c r="C43" s="101"/>
      <c r="D43" s="86">
        <f t="shared" si="7"/>
        <v>0</v>
      </c>
      <c r="E43" s="86">
        <f t="shared" si="8"/>
        <v>0</v>
      </c>
      <c r="F43" s="87">
        <f t="shared" si="9"/>
        <v>0</v>
      </c>
      <c r="G43" s="86">
        <f t="shared" si="0"/>
        <v>0</v>
      </c>
      <c r="H43" s="88">
        <f t="shared" si="10"/>
        <v>0</v>
      </c>
      <c r="I43" s="89">
        <f t="shared" si="11"/>
        <v>0</v>
      </c>
      <c r="J43" s="109">
        <f t="shared" si="1"/>
        <v>0</v>
      </c>
      <c r="K43" s="91">
        <f t="shared" si="12"/>
        <v>0</v>
      </c>
      <c r="L43" s="92">
        <f t="shared" si="13"/>
        <v>0</v>
      </c>
      <c r="M43" s="93">
        <f t="shared" si="2"/>
        <v>0</v>
      </c>
      <c r="N43" s="88">
        <f t="shared" si="14"/>
        <v>0</v>
      </c>
      <c r="O43" s="89">
        <f t="shared" si="15"/>
        <v>0</v>
      </c>
      <c r="P43" s="108">
        <f t="shared" si="3"/>
        <v>0</v>
      </c>
      <c r="Q43" s="95">
        <f t="shared" si="4"/>
        <v>0</v>
      </c>
      <c r="R43" s="89">
        <f t="shared" si="16"/>
        <v>0</v>
      </c>
      <c r="S43" s="100">
        <f t="shared" si="5"/>
        <v>0</v>
      </c>
      <c r="T43" s="95">
        <f t="shared" si="6"/>
        <v>0</v>
      </c>
      <c r="U43" s="92">
        <f t="shared" si="17"/>
        <v>0</v>
      </c>
      <c r="V43" s="28"/>
      <c r="X43" s="12"/>
      <c r="Y43" s="14"/>
      <c r="Z43" s="14"/>
    </row>
    <row r="44" spans="1:26" ht="24.95" customHeight="1">
      <c r="B44" s="110"/>
      <c r="C44" s="101"/>
      <c r="D44" s="86">
        <f t="shared" si="7"/>
        <v>0</v>
      </c>
      <c r="E44" s="86">
        <f t="shared" si="8"/>
        <v>0</v>
      </c>
      <c r="F44" s="87">
        <f t="shared" si="9"/>
        <v>0</v>
      </c>
      <c r="G44" s="86">
        <f t="shared" si="0"/>
        <v>0</v>
      </c>
      <c r="H44" s="88">
        <f t="shared" si="10"/>
        <v>0</v>
      </c>
      <c r="I44" s="89">
        <f t="shared" si="11"/>
        <v>0</v>
      </c>
      <c r="J44" s="109">
        <f t="shared" si="1"/>
        <v>0</v>
      </c>
      <c r="K44" s="91">
        <f t="shared" si="12"/>
        <v>0</v>
      </c>
      <c r="L44" s="92">
        <f t="shared" si="13"/>
        <v>0</v>
      </c>
      <c r="M44" s="93">
        <f t="shared" si="2"/>
        <v>0</v>
      </c>
      <c r="N44" s="88">
        <f t="shared" si="14"/>
        <v>0</v>
      </c>
      <c r="O44" s="89">
        <f t="shared" si="15"/>
        <v>0</v>
      </c>
      <c r="P44" s="108">
        <f t="shared" si="3"/>
        <v>0</v>
      </c>
      <c r="Q44" s="95">
        <f t="shared" si="4"/>
        <v>0</v>
      </c>
      <c r="R44" s="89">
        <f t="shared" si="16"/>
        <v>0</v>
      </c>
      <c r="S44" s="100">
        <f t="shared" si="5"/>
        <v>0</v>
      </c>
      <c r="T44" s="95">
        <f t="shared" si="6"/>
        <v>0</v>
      </c>
      <c r="U44" s="92">
        <f t="shared" si="17"/>
        <v>0</v>
      </c>
      <c r="V44" s="28"/>
      <c r="X44" s="12"/>
      <c r="Y44" s="14"/>
      <c r="Z44" s="14"/>
    </row>
    <row r="45" spans="1:26" ht="24.95" customHeight="1">
      <c r="B45" s="110"/>
      <c r="C45" s="101"/>
      <c r="D45" s="86">
        <f t="shared" si="7"/>
        <v>0</v>
      </c>
      <c r="E45" s="86">
        <f t="shared" si="8"/>
        <v>0</v>
      </c>
      <c r="F45" s="87">
        <f t="shared" si="9"/>
        <v>0</v>
      </c>
      <c r="G45" s="86">
        <f t="shared" si="0"/>
        <v>0</v>
      </c>
      <c r="H45" s="88">
        <f t="shared" si="10"/>
        <v>0</v>
      </c>
      <c r="I45" s="89">
        <f t="shared" si="11"/>
        <v>0</v>
      </c>
      <c r="J45" s="109">
        <f t="shared" si="1"/>
        <v>0</v>
      </c>
      <c r="K45" s="91">
        <f t="shared" si="12"/>
        <v>0</v>
      </c>
      <c r="L45" s="92">
        <f t="shared" si="13"/>
        <v>0</v>
      </c>
      <c r="M45" s="93">
        <f t="shared" si="2"/>
        <v>0</v>
      </c>
      <c r="N45" s="88">
        <f t="shared" si="14"/>
        <v>0</v>
      </c>
      <c r="O45" s="89">
        <f t="shared" si="15"/>
        <v>0</v>
      </c>
      <c r="P45" s="108">
        <f t="shared" si="3"/>
        <v>0</v>
      </c>
      <c r="Q45" s="95">
        <f t="shared" si="4"/>
        <v>0</v>
      </c>
      <c r="R45" s="89">
        <f t="shared" si="16"/>
        <v>0</v>
      </c>
      <c r="S45" s="100">
        <f t="shared" si="5"/>
        <v>0</v>
      </c>
      <c r="T45" s="95">
        <f t="shared" si="6"/>
        <v>0</v>
      </c>
      <c r="U45" s="92">
        <f t="shared" si="17"/>
        <v>0</v>
      </c>
      <c r="V45" s="28"/>
      <c r="X45" s="12"/>
      <c r="Y45" s="14"/>
      <c r="Z45" s="14"/>
    </row>
    <row r="46" spans="1:26" ht="24.95" customHeight="1">
      <c r="B46" s="110"/>
      <c r="C46" s="101"/>
      <c r="D46" s="86">
        <f t="shared" si="7"/>
        <v>0</v>
      </c>
      <c r="E46" s="86">
        <f t="shared" si="8"/>
        <v>0</v>
      </c>
      <c r="F46" s="87">
        <f t="shared" si="9"/>
        <v>0</v>
      </c>
      <c r="G46" s="86">
        <f t="shared" si="0"/>
        <v>0</v>
      </c>
      <c r="H46" s="88">
        <f t="shared" si="10"/>
        <v>0</v>
      </c>
      <c r="I46" s="89">
        <f t="shared" si="11"/>
        <v>0</v>
      </c>
      <c r="J46" s="109">
        <f t="shared" si="1"/>
        <v>0</v>
      </c>
      <c r="K46" s="91">
        <f t="shared" si="12"/>
        <v>0</v>
      </c>
      <c r="L46" s="92">
        <f t="shared" si="13"/>
        <v>0</v>
      </c>
      <c r="M46" s="93">
        <f t="shared" si="2"/>
        <v>0</v>
      </c>
      <c r="N46" s="88">
        <f t="shared" si="14"/>
        <v>0</v>
      </c>
      <c r="O46" s="89">
        <f t="shared" si="15"/>
        <v>0</v>
      </c>
      <c r="P46" s="108">
        <f t="shared" si="3"/>
        <v>0</v>
      </c>
      <c r="Q46" s="95">
        <f t="shared" si="4"/>
        <v>0</v>
      </c>
      <c r="R46" s="89">
        <f t="shared" si="16"/>
        <v>0</v>
      </c>
      <c r="S46" s="100">
        <f t="shared" si="5"/>
        <v>0</v>
      </c>
      <c r="T46" s="95">
        <f t="shared" si="6"/>
        <v>0</v>
      </c>
      <c r="U46" s="92">
        <f t="shared" si="17"/>
        <v>0</v>
      </c>
      <c r="V46" s="28"/>
      <c r="X46" s="12"/>
      <c r="Y46" s="14"/>
      <c r="Z46" s="14"/>
    </row>
    <row r="47" spans="1:26" ht="24.95" customHeight="1">
      <c r="B47" s="110"/>
      <c r="C47" s="101"/>
      <c r="D47" s="86">
        <f t="shared" si="7"/>
        <v>0</v>
      </c>
      <c r="E47" s="86">
        <f t="shared" si="8"/>
        <v>0</v>
      </c>
      <c r="F47" s="87">
        <f t="shared" si="9"/>
        <v>0</v>
      </c>
      <c r="G47" s="86">
        <f t="shared" si="0"/>
        <v>0</v>
      </c>
      <c r="H47" s="88">
        <f t="shared" si="10"/>
        <v>0</v>
      </c>
      <c r="I47" s="89">
        <f t="shared" si="11"/>
        <v>0</v>
      </c>
      <c r="J47" s="109">
        <f t="shared" si="1"/>
        <v>0</v>
      </c>
      <c r="K47" s="91">
        <f t="shared" si="12"/>
        <v>0</v>
      </c>
      <c r="L47" s="92">
        <f t="shared" si="13"/>
        <v>0</v>
      </c>
      <c r="M47" s="93">
        <f t="shared" si="2"/>
        <v>0</v>
      </c>
      <c r="N47" s="88">
        <f t="shared" si="14"/>
        <v>0</v>
      </c>
      <c r="O47" s="89">
        <f t="shared" si="15"/>
        <v>0</v>
      </c>
      <c r="P47" s="108">
        <f t="shared" si="3"/>
        <v>0</v>
      </c>
      <c r="Q47" s="95">
        <f t="shared" si="4"/>
        <v>0</v>
      </c>
      <c r="R47" s="89">
        <f t="shared" si="16"/>
        <v>0</v>
      </c>
      <c r="S47" s="100">
        <f t="shared" si="5"/>
        <v>0</v>
      </c>
      <c r="T47" s="95">
        <f t="shared" si="6"/>
        <v>0</v>
      </c>
      <c r="U47" s="92">
        <f t="shared" si="17"/>
        <v>0</v>
      </c>
      <c r="V47" s="28"/>
      <c r="X47" s="12"/>
      <c r="Y47" s="14"/>
      <c r="Z47" s="14"/>
    </row>
    <row r="48" spans="1:26" ht="24.95" customHeight="1">
      <c r="B48" s="110"/>
      <c r="C48" s="101"/>
      <c r="D48" s="86">
        <f t="shared" si="7"/>
        <v>0</v>
      </c>
      <c r="E48" s="86">
        <f t="shared" si="8"/>
        <v>0</v>
      </c>
      <c r="F48" s="87">
        <f t="shared" si="9"/>
        <v>0</v>
      </c>
      <c r="G48" s="86">
        <f t="shared" si="0"/>
        <v>0</v>
      </c>
      <c r="H48" s="88">
        <f t="shared" si="10"/>
        <v>0</v>
      </c>
      <c r="I48" s="89">
        <f t="shared" si="11"/>
        <v>0</v>
      </c>
      <c r="J48" s="109">
        <f t="shared" si="1"/>
        <v>0</v>
      </c>
      <c r="K48" s="91">
        <f t="shared" si="12"/>
        <v>0</v>
      </c>
      <c r="L48" s="92">
        <f t="shared" si="13"/>
        <v>0</v>
      </c>
      <c r="M48" s="93">
        <f t="shared" si="2"/>
        <v>0</v>
      </c>
      <c r="N48" s="88">
        <f t="shared" si="14"/>
        <v>0</v>
      </c>
      <c r="O48" s="89">
        <f t="shared" si="15"/>
        <v>0</v>
      </c>
      <c r="P48" s="108">
        <f t="shared" si="3"/>
        <v>0</v>
      </c>
      <c r="Q48" s="95">
        <f t="shared" si="4"/>
        <v>0</v>
      </c>
      <c r="R48" s="89">
        <f t="shared" si="16"/>
        <v>0</v>
      </c>
      <c r="S48" s="100">
        <f t="shared" si="5"/>
        <v>0</v>
      </c>
      <c r="T48" s="95">
        <f t="shared" si="6"/>
        <v>0</v>
      </c>
      <c r="U48" s="92">
        <f t="shared" si="17"/>
        <v>0</v>
      </c>
      <c r="V48" s="28"/>
      <c r="X48" s="12"/>
      <c r="Y48" s="14"/>
      <c r="Z48" s="14"/>
    </row>
    <row r="49" spans="1:26" ht="24.95" customHeight="1">
      <c r="B49" s="110"/>
      <c r="C49" s="101"/>
      <c r="D49" s="86">
        <f t="shared" si="7"/>
        <v>0</v>
      </c>
      <c r="E49" s="86">
        <f t="shared" si="8"/>
        <v>0</v>
      </c>
      <c r="F49" s="87">
        <f t="shared" si="9"/>
        <v>0</v>
      </c>
      <c r="G49" s="86">
        <f t="shared" si="0"/>
        <v>0</v>
      </c>
      <c r="H49" s="88">
        <f t="shared" si="10"/>
        <v>0</v>
      </c>
      <c r="I49" s="89">
        <f t="shared" si="11"/>
        <v>0</v>
      </c>
      <c r="J49" s="109">
        <f t="shared" si="1"/>
        <v>0</v>
      </c>
      <c r="K49" s="91">
        <f t="shared" si="12"/>
        <v>0</v>
      </c>
      <c r="L49" s="92">
        <f t="shared" si="13"/>
        <v>0</v>
      </c>
      <c r="M49" s="93">
        <f t="shared" si="2"/>
        <v>0</v>
      </c>
      <c r="N49" s="88">
        <f t="shared" si="14"/>
        <v>0</v>
      </c>
      <c r="O49" s="89">
        <f t="shared" si="15"/>
        <v>0</v>
      </c>
      <c r="P49" s="108">
        <f t="shared" si="3"/>
        <v>0</v>
      </c>
      <c r="Q49" s="95">
        <f t="shared" si="4"/>
        <v>0</v>
      </c>
      <c r="R49" s="89">
        <f t="shared" si="16"/>
        <v>0</v>
      </c>
      <c r="S49" s="100">
        <f t="shared" si="5"/>
        <v>0</v>
      </c>
      <c r="T49" s="95">
        <f t="shared" si="6"/>
        <v>0</v>
      </c>
      <c r="U49" s="92">
        <f t="shared" si="17"/>
        <v>0</v>
      </c>
      <c r="V49" s="28"/>
      <c r="X49" s="12"/>
      <c r="Y49" s="14"/>
      <c r="Z49" s="14"/>
    </row>
    <row r="50" spans="1:26" ht="24.95" customHeight="1">
      <c r="B50" s="110"/>
      <c r="C50" s="101"/>
      <c r="D50" s="86">
        <f t="shared" si="7"/>
        <v>0</v>
      </c>
      <c r="E50" s="86">
        <f t="shared" si="8"/>
        <v>0</v>
      </c>
      <c r="F50" s="87">
        <f t="shared" si="9"/>
        <v>0</v>
      </c>
      <c r="G50" s="86">
        <f t="shared" si="0"/>
        <v>0</v>
      </c>
      <c r="H50" s="88">
        <f t="shared" si="10"/>
        <v>0</v>
      </c>
      <c r="I50" s="89">
        <f t="shared" si="11"/>
        <v>0</v>
      </c>
      <c r="J50" s="109">
        <f t="shared" si="1"/>
        <v>0</v>
      </c>
      <c r="K50" s="91">
        <f t="shared" si="12"/>
        <v>0</v>
      </c>
      <c r="L50" s="92">
        <f t="shared" si="13"/>
        <v>0</v>
      </c>
      <c r="M50" s="93">
        <f t="shared" si="2"/>
        <v>0</v>
      </c>
      <c r="N50" s="88">
        <f t="shared" si="14"/>
        <v>0</v>
      </c>
      <c r="O50" s="89">
        <f t="shared" si="15"/>
        <v>0</v>
      </c>
      <c r="P50" s="105">
        <f t="shared" si="3"/>
        <v>0</v>
      </c>
      <c r="Q50" s="95">
        <f t="shared" si="4"/>
        <v>0</v>
      </c>
      <c r="R50" s="89">
        <f t="shared" si="16"/>
        <v>0</v>
      </c>
      <c r="S50" s="102">
        <f t="shared" si="5"/>
        <v>0</v>
      </c>
      <c r="T50" s="95">
        <f t="shared" si="6"/>
        <v>0</v>
      </c>
      <c r="U50" s="92">
        <f t="shared" si="17"/>
        <v>0</v>
      </c>
      <c r="V50" s="28"/>
      <c r="X50" s="12"/>
      <c r="Y50" s="14"/>
      <c r="Z50" s="14"/>
    </row>
    <row r="51" spans="1:26" ht="24.95" customHeight="1">
      <c r="B51" s="111"/>
      <c r="C51" s="99"/>
      <c r="D51" s="86">
        <f t="shared" si="7"/>
        <v>0</v>
      </c>
      <c r="E51" s="86">
        <f t="shared" si="8"/>
        <v>0</v>
      </c>
      <c r="F51" s="87">
        <f t="shared" si="9"/>
        <v>0</v>
      </c>
      <c r="G51" s="86">
        <f t="shared" si="0"/>
        <v>0</v>
      </c>
      <c r="H51" s="88">
        <f t="shared" si="10"/>
        <v>0</v>
      </c>
      <c r="I51" s="89">
        <f t="shared" si="11"/>
        <v>0</v>
      </c>
      <c r="J51" s="112">
        <f t="shared" si="1"/>
        <v>0</v>
      </c>
      <c r="K51" s="91">
        <f t="shared" si="12"/>
        <v>0</v>
      </c>
      <c r="L51" s="92">
        <f t="shared" si="13"/>
        <v>0</v>
      </c>
      <c r="M51" s="93">
        <f t="shared" si="2"/>
        <v>0</v>
      </c>
      <c r="N51" s="88">
        <f t="shared" si="14"/>
        <v>0</v>
      </c>
      <c r="O51" s="89">
        <f t="shared" si="15"/>
        <v>0</v>
      </c>
      <c r="P51" s="105">
        <f t="shared" si="3"/>
        <v>0</v>
      </c>
      <c r="Q51" s="95">
        <f t="shared" si="4"/>
        <v>0</v>
      </c>
      <c r="R51" s="89">
        <f t="shared" si="16"/>
        <v>0</v>
      </c>
      <c r="S51" s="102">
        <f t="shared" si="5"/>
        <v>0</v>
      </c>
      <c r="T51" s="95">
        <f t="shared" si="6"/>
        <v>0</v>
      </c>
      <c r="U51" s="92">
        <f t="shared" si="17"/>
        <v>0</v>
      </c>
      <c r="V51" s="28"/>
      <c r="X51" s="12"/>
      <c r="Y51" s="14"/>
      <c r="Z51" s="14"/>
    </row>
    <row r="52" spans="1:26" ht="24.95" customHeight="1">
      <c r="B52" s="111"/>
      <c r="C52" s="99"/>
      <c r="D52" s="86">
        <f t="shared" si="7"/>
        <v>0</v>
      </c>
      <c r="E52" s="86">
        <f t="shared" si="8"/>
        <v>0</v>
      </c>
      <c r="F52" s="87">
        <f t="shared" si="9"/>
        <v>0</v>
      </c>
      <c r="G52" s="86">
        <f t="shared" si="0"/>
        <v>0</v>
      </c>
      <c r="H52" s="88">
        <f t="shared" si="10"/>
        <v>0</v>
      </c>
      <c r="I52" s="89">
        <f t="shared" si="11"/>
        <v>0</v>
      </c>
      <c r="J52" s="112">
        <f t="shared" si="1"/>
        <v>0</v>
      </c>
      <c r="K52" s="91">
        <f t="shared" si="12"/>
        <v>0</v>
      </c>
      <c r="L52" s="92">
        <f t="shared" si="13"/>
        <v>0</v>
      </c>
      <c r="M52" s="93">
        <f t="shared" si="2"/>
        <v>0</v>
      </c>
      <c r="N52" s="88">
        <f t="shared" si="14"/>
        <v>0</v>
      </c>
      <c r="O52" s="89">
        <f t="shared" si="15"/>
        <v>0</v>
      </c>
      <c r="P52" s="105">
        <f t="shared" si="3"/>
        <v>0</v>
      </c>
      <c r="Q52" s="95">
        <f t="shared" si="4"/>
        <v>0</v>
      </c>
      <c r="R52" s="89">
        <f t="shared" si="16"/>
        <v>0</v>
      </c>
      <c r="S52" s="102">
        <f t="shared" si="5"/>
        <v>0</v>
      </c>
      <c r="T52" s="95">
        <f t="shared" si="6"/>
        <v>0</v>
      </c>
      <c r="U52" s="92">
        <f t="shared" si="17"/>
        <v>0</v>
      </c>
      <c r="V52" s="28"/>
      <c r="X52" s="12"/>
      <c r="Y52" s="14"/>
      <c r="Z52" s="14"/>
    </row>
    <row r="53" spans="1:26" ht="24.95" customHeight="1">
      <c r="B53" s="111"/>
      <c r="C53" s="99"/>
      <c r="D53" s="86">
        <f t="shared" si="7"/>
        <v>0</v>
      </c>
      <c r="E53" s="86">
        <f t="shared" si="8"/>
        <v>0</v>
      </c>
      <c r="F53" s="87">
        <f t="shared" si="9"/>
        <v>0</v>
      </c>
      <c r="G53" s="86">
        <f t="shared" si="0"/>
        <v>0</v>
      </c>
      <c r="H53" s="88">
        <f t="shared" si="10"/>
        <v>0</v>
      </c>
      <c r="I53" s="89">
        <f t="shared" si="11"/>
        <v>0</v>
      </c>
      <c r="J53" s="113">
        <f t="shared" si="1"/>
        <v>0</v>
      </c>
      <c r="K53" s="91">
        <f t="shared" si="12"/>
        <v>0</v>
      </c>
      <c r="L53" s="92">
        <f t="shared" si="13"/>
        <v>0</v>
      </c>
      <c r="M53" s="93">
        <f t="shared" si="2"/>
        <v>0</v>
      </c>
      <c r="N53" s="88">
        <f t="shared" si="14"/>
        <v>0</v>
      </c>
      <c r="O53" s="89">
        <f t="shared" si="15"/>
        <v>0</v>
      </c>
      <c r="P53" s="108">
        <f t="shared" si="3"/>
        <v>0</v>
      </c>
      <c r="Q53" s="95">
        <f t="shared" si="4"/>
        <v>0</v>
      </c>
      <c r="R53" s="89">
        <f t="shared" si="16"/>
        <v>0</v>
      </c>
      <c r="S53" s="100">
        <f t="shared" si="5"/>
        <v>0</v>
      </c>
      <c r="T53" s="95">
        <f t="shared" si="6"/>
        <v>0</v>
      </c>
      <c r="U53" s="92">
        <f t="shared" si="17"/>
        <v>0</v>
      </c>
      <c r="V53" s="28"/>
      <c r="X53" s="12"/>
      <c r="Y53" s="14"/>
      <c r="Z53" s="14"/>
    </row>
    <row r="54" spans="1:26" ht="24.95" customHeight="1">
      <c r="B54" s="110"/>
      <c r="C54" s="101"/>
      <c r="D54" s="86">
        <f t="shared" si="7"/>
        <v>0</v>
      </c>
      <c r="E54" s="86">
        <f t="shared" si="8"/>
        <v>0</v>
      </c>
      <c r="F54" s="87">
        <f t="shared" si="9"/>
        <v>0</v>
      </c>
      <c r="G54" s="86">
        <f t="shared" si="0"/>
        <v>0</v>
      </c>
      <c r="H54" s="88">
        <f t="shared" si="10"/>
        <v>0</v>
      </c>
      <c r="I54" s="89">
        <f t="shared" si="11"/>
        <v>0</v>
      </c>
      <c r="J54" s="112">
        <f t="shared" si="1"/>
        <v>0</v>
      </c>
      <c r="K54" s="91">
        <f t="shared" si="12"/>
        <v>0</v>
      </c>
      <c r="L54" s="92">
        <f t="shared" si="13"/>
        <v>0</v>
      </c>
      <c r="M54" s="93">
        <f t="shared" si="2"/>
        <v>0</v>
      </c>
      <c r="N54" s="88">
        <f t="shared" si="14"/>
        <v>0</v>
      </c>
      <c r="O54" s="89">
        <f t="shared" si="15"/>
        <v>0</v>
      </c>
      <c r="P54" s="105">
        <f t="shared" si="3"/>
        <v>0</v>
      </c>
      <c r="Q54" s="95">
        <f t="shared" si="4"/>
        <v>0</v>
      </c>
      <c r="R54" s="89">
        <f t="shared" si="16"/>
        <v>0</v>
      </c>
      <c r="S54" s="102">
        <f t="shared" si="5"/>
        <v>0</v>
      </c>
      <c r="T54" s="95">
        <f t="shared" si="6"/>
        <v>0</v>
      </c>
      <c r="U54" s="92">
        <f t="shared" si="17"/>
        <v>0</v>
      </c>
      <c r="V54" s="28"/>
      <c r="X54" s="12"/>
      <c r="Y54" s="14"/>
      <c r="Z54" s="14"/>
    </row>
    <row r="55" spans="1:26" ht="24.95" customHeight="1">
      <c r="B55" s="114"/>
      <c r="C55" s="98"/>
      <c r="D55" s="86">
        <f t="shared" si="7"/>
        <v>0</v>
      </c>
      <c r="E55" s="86">
        <f t="shared" si="8"/>
        <v>0</v>
      </c>
      <c r="F55" s="87">
        <f t="shared" si="9"/>
        <v>0</v>
      </c>
      <c r="G55" s="86">
        <f t="shared" si="0"/>
        <v>0</v>
      </c>
      <c r="H55" s="88">
        <f t="shared" si="10"/>
        <v>0</v>
      </c>
      <c r="I55" s="89">
        <f t="shared" si="11"/>
        <v>0</v>
      </c>
      <c r="J55" s="112">
        <f t="shared" si="1"/>
        <v>0</v>
      </c>
      <c r="K55" s="91">
        <f t="shared" si="12"/>
        <v>0</v>
      </c>
      <c r="L55" s="92">
        <f t="shared" si="13"/>
        <v>0</v>
      </c>
      <c r="M55" s="93">
        <f t="shared" si="2"/>
        <v>0</v>
      </c>
      <c r="N55" s="88">
        <f t="shared" si="14"/>
        <v>0</v>
      </c>
      <c r="O55" s="89">
        <f t="shared" si="15"/>
        <v>0</v>
      </c>
      <c r="P55" s="105">
        <f t="shared" si="3"/>
        <v>0</v>
      </c>
      <c r="Q55" s="102">
        <f t="shared" si="4"/>
        <v>0</v>
      </c>
      <c r="R55" s="128">
        <f t="shared" si="16"/>
        <v>0</v>
      </c>
      <c r="S55" s="105">
        <f t="shared" si="5"/>
        <v>0</v>
      </c>
      <c r="T55" s="95">
        <f t="shared" si="6"/>
        <v>0</v>
      </c>
      <c r="U55" s="92">
        <f t="shared" si="17"/>
        <v>0</v>
      </c>
      <c r="V55" s="28"/>
      <c r="X55" s="12"/>
      <c r="Y55" s="14"/>
      <c r="Z55" s="14"/>
    </row>
    <row r="56" spans="1:26" ht="24.95" customHeight="1">
      <c r="A56" s="6"/>
      <c r="B56" s="97"/>
      <c r="C56" s="101"/>
      <c r="D56" s="86">
        <f t="shared" si="7"/>
        <v>0</v>
      </c>
      <c r="E56" s="86">
        <f t="shared" ref="E56:E85" si="22">D56/E$2</f>
        <v>0</v>
      </c>
      <c r="F56" s="87">
        <f t="shared" ref="F56:F85" si="23">ROUNDUP(E56,0)</f>
        <v>0</v>
      </c>
      <c r="G56" s="86">
        <f t="shared" si="0"/>
        <v>0</v>
      </c>
      <c r="H56" s="88">
        <f t="shared" ref="H56:H85" si="24">G56/H$2</f>
        <v>0</v>
      </c>
      <c r="I56" s="89">
        <f t="shared" ref="I56:I85" si="25">ROUNDUP(H56,0)</f>
        <v>0</v>
      </c>
      <c r="J56" s="90">
        <f t="shared" si="1"/>
        <v>0</v>
      </c>
      <c r="K56" s="91">
        <f t="shared" ref="K56:K85" si="26">J56/K$2</f>
        <v>0</v>
      </c>
      <c r="L56" s="92">
        <f t="shared" ref="L56:L85" si="27">ROUNDUP(K56,0)</f>
        <v>0</v>
      </c>
      <c r="M56" s="93">
        <f t="shared" si="2"/>
        <v>0</v>
      </c>
      <c r="N56" s="88">
        <f t="shared" ref="N56:N85" si="28">M56/N$2</f>
        <v>0</v>
      </c>
      <c r="O56" s="89">
        <f t="shared" ref="O56:O85" si="29">ROUNDUP(N56,0)</f>
        <v>0</v>
      </c>
      <c r="P56" s="94">
        <f t="shared" si="3"/>
        <v>0</v>
      </c>
      <c r="Q56" s="95">
        <f t="shared" ref="Q56:Q85" si="30">P56/Q$2</f>
        <v>0</v>
      </c>
      <c r="R56" s="89">
        <f t="shared" ref="R56:R85" si="31">ROUNDUP(Q56,0)</f>
        <v>0</v>
      </c>
      <c r="S56" s="95">
        <f t="shared" si="5"/>
        <v>0</v>
      </c>
      <c r="T56" s="95">
        <f t="shared" ref="T56:T85" si="32">S56/T$2</f>
        <v>0</v>
      </c>
      <c r="U56" s="92">
        <f t="shared" ref="U56:U85" si="33">ROUNDUP(T56,0)</f>
        <v>0</v>
      </c>
      <c r="V56" s="27"/>
      <c r="X56" s="12"/>
      <c r="Y56" s="14"/>
      <c r="Z56" s="14"/>
    </row>
    <row r="57" spans="1:26" ht="24.95" customHeight="1">
      <c r="B57" s="97"/>
      <c r="C57" s="101"/>
      <c r="D57" s="86">
        <f t="shared" si="7"/>
        <v>0</v>
      </c>
      <c r="E57" s="86">
        <f t="shared" si="22"/>
        <v>0</v>
      </c>
      <c r="F57" s="87">
        <f t="shared" si="23"/>
        <v>0</v>
      </c>
      <c r="G57" s="86">
        <f t="shared" si="0"/>
        <v>0</v>
      </c>
      <c r="H57" s="88">
        <f t="shared" si="24"/>
        <v>0</v>
      </c>
      <c r="I57" s="89">
        <f t="shared" si="25"/>
        <v>0</v>
      </c>
      <c r="J57" s="90">
        <f t="shared" si="1"/>
        <v>0</v>
      </c>
      <c r="K57" s="91">
        <f t="shared" si="26"/>
        <v>0</v>
      </c>
      <c r="L57" s="92">
        <f t="shared" si="27"/>
        <v>0</v>
      </c>
      <c r="M57" s="93">
        <f t="shared" si="2"/>
        <v>0</v>
      </c>
      <c r="N57" s="88">
        <f t="shared" si="28"/>
        <v>0</v>
      </c>
      <c r="O57" s="89">
        <f t="shared" si="29"/>
        <v>0</v>
      </c>
      <c r="P57" s="94">
        <f t="shared" si="3"/>
        <v>0</v>
      </c>
      <c r="Q57" s="95">
        <f t="shared" si="30"/>
        <v>0</v>
      </c>
      <c r="R57" s="89">
        <f t="shared" si="31"/>
        <v>0</v>
      </c>
      <c r="S57" s="95">
        <f t="shared" si="5"/>
        <v>0</v>
      </c>
      <c r="T57" s="95">
        <f t="shared" si="32"/>
        <v>0</v>
      </c>
      <c r="U57" s="92">
        <f t="shared" si="33"/>
        <v>0</v>
      </c>
      <c r="V57" s="27"/>
      <c r="X57" s="12"/>
      <c r="Y57" s="14"/>
      <c r="Z57" s="14"/>
    </row>
    <row r="58" spans="1:26" ht="24.95" customHeight="1">
      <c r="B58" s="107"/>
      <c r="C58" s="99"/>
      <c r="D58" s="86">
        <f t="shared" si="7"/>
        <v>0</v>
      </c>
      <c r="E58" s="86">
        <f t="shared" si="22"/>
        <v>0</v>
      </c>
      <c r="F58" s="87">
        <f t="shared" si="23"/>
        <v>0</v>
      </c>
      <c r="G58" s="86">
        <f t="shared" si="0"/>
        <v>0</v>
      </c>
      <c r="H58" s="88">
        <f t="shared" si="24"/>
        <v>0</v>
      </c>
      <c r="I58" s="89">
        <f t="shared" si="25"/>
        <v>0</v>
      </c>
      <c r="J58" s="90">
        <f t="shared" si="1"/>
        <v>0</v>
      </c>
      <c r="K58" s="91">
        <f t="shared" si="26"/>
        <v>0</v>
      </c>
      <c r="L58" s="92">
        <f t="shared" si="27"/>
        <v>0</v>
      </c>
      <c r="M58" s="93">
        <f t="shared" si="2"/>
        <v>0</v>
      </c>
      <c r="N58" s="88">
        <f t="shared" si="28"/>
        <v>0</v>
      </c>
      <c r="O58" s="89">
        <f t="shared" si="29"/>
        <v>0</v>
      </c>
      <c r="P58" s="108">
        <f t="shared" si="3"/>
        <v>0</v>
      </c>
      <c r="Q58" s="95">
        <f t="shared" si="30"/>
        <v>0</v>
      </c>
      <c r="R58" s="89">
        <f t="shared" si="31"/>
        <v>0</v>
      </c>
      <c r="S58" s="100">
        <f t="shared" si="5"/>
        <v>0</v>
      </c>
      <c r="T58" s="95">
        <f t="shared" si="32"/>
        <v>0</v>
      </c>
      <c r="U58" s="92">
        <f t="shared" si="33"/>
        <v>0</v>
      </c>
      <c r="V58" s="27"/>
      <c r="X58" s="12"/>
      <c r="Y58" s="14"/>
      <c r="Z58" s="14"/>
    </row>
    <row r="59" spans="1:26" ht="24.95" customHeight="1">
      <c r="B59" s="107"/>
      <c r="C59" s="99"/>
      <c r="D59" s="86">
        <f t="shared" si="7"/>
        <v>0</v>
      </c>
      <c r="E59" s="86">
        <f t="shared" si="22"/>
        <v>0</v>
      </c>
      <c r="F59" s="87">
        <f t="shared" si="23"/>
        <v>0</v>
      </c>
      <c r="G59" s="86">
        <f t="shared" si="0"/>
        <v>0</v>
      </c>
      <c r="H59" s="88">
        <f t="shared" si="24"/>
        <v>0</v>
      </c>
      <c r="I59" s="89">
        <f t="shared" si="25"/>
        <v>0</v>
      </c>
      <c r="J59" s="109">
        <f t="shared" si="1"/>
        <v>0</v>
      </c>
      <c r="K59" s="91">
        <f t="shared" si="26"/>
        <v>0</v>
      </c>
      <c r="L59" s="92">
        <f t="shared" si="27"/>
        <v>0</v>
      </c>
      <c r="M59" s="93">
        <f t="shared" si="2"/>
        <v>0</v>
      </c>
      <c r="N59" s="88">
        <f t="shared" si="28"/>
        <v>0</v>
      </c>
      <c r="O59" s="89">
        <f t="shared" si="29"/>
        <v>0</v>
      </c>
      <c r="P59" s="108">
        <f t="shared" si="3"/>
        <v>0</v>
      </c>
      <c r="Q59" s="95">
        <f t="shared" si="30"/>
        <v>0</v>
      </c>
      <c r="R59" s="89">
        <f t="shared" si="31"/>
        <v>0</v>
      </c>
      <c r="S59" s="100">
        <f t="shared" si="5"/>
        <v>0</v>
      </c>
      <c r="T59" s="95">
        <f t="shared" si="32"/>
        <v>0</v>
      </c>
      <c r="U59" s="92">
        <f t="shared" si="33"/>
        <v>0</v>
      </c>
      <c r="V59" s="28"/>
      <c r="X59" s="12"/>
      <c r="Y59" s="14"/>
      <c r="Z59" s="14"/>
    </row>
    <row r="60" spans="1:26" ht="24.95" customHeight="1" thickBot="1">
      <c r="B60" s="97"/>
      <c r="C60" s="101"/>
      <c r="D60" s="86">
        <f t="shared" si="7"/>
        <v>0</v>
      </c>
      <c r="E60" s="86">
        <f t="shared" si="22"/>
        <v>0</v>
      </c>
      <c r="F60" s="87">
        <f t="shared" si="23"/>
        <v>0</v>
      </c>
      <c r="G60" s="86">
        <f t="shared" si="0"/>
        <v>0</v>
      </c>
      <c r="H60" s="88">
        <f t="shared" si="24"/>
        <v>0</v>
      </c>
      <c r="I60" s="89">
        <f t="shared" si="25"/>
        <v>0</v>
      </c>
      <c r="J60" s="109">
        <f t="shared" si="1"/>
        <v>0</v>
      </c>
      <c r="K60" s="91">
        <f t="shared" si="26"/>
        <v>0</v>
      </c>
      <c r="L60" s="92">
        <f t="shared" si="27"/>
        <v>0</v>
      </c>
      <c r="M60" s="93">
        <f t="shared" si="2"/>
        <v>0</v>
      </c>
      <c r="N60" s="88">
        <f t="shared" si="28"/>
        <v>0</v>
      </c>
      <c r="O60" s="89">
        <f t="shared" si="29"/>
        <v>0</v>
      </c>
      <c r="P60" s="108">
        <f t="shared" si="3"/>
        <v>0</v>
      </c>
      <c r="Q60" s="95">
        <f t="shared" si="30"/>
        <v>0</v>
      </c>
      <c r="R60" s="89">
        <f t="shared" si="31"/>
        <v>0</v>
      </c>
      <c r="S60" s="100">
        <f t="shared" si="5"/>
        <v>0</v>
      </c>
      <c r="T60" s="95">
        <f t="shared" si="32"/>
        <v>0</v>
      </c>
      <c r="U60" s="92">
        <f t="shared" si="33"/>
        <v>0</v>
      </c>
      <c r="V60" s="28"/>
      <c r="X60" s="12"/>
      <c r="Y60" s="14"/>
      <c r="Z60" s="14"/>
    </row>
    <row r="61" spans="1:26" ht="30.75" hidden="1" thickBot="1">
      <c r="B61" s="22"/>
      <c r="C61" s="42"/>
      <c r="D61" s="31">
        <f t="shared" si="7"/>
        <v>0</v>
      </c>
      <c r="E61" s="31">
        <f t="shared" si="22"/>
        <v>0</v>
      </c>
      <c r="F61" s="32">
        <f t="shared" si="23"/>
        <v>0</v>
      </c>
      <c r="G61" s="31">
        <f t="shared" si="0"/>
        <v>0</v>
      </c>
      <c r="H61" s="33">
        <f t="shared" si="24"/>
        <v>0</v>
      </c>
      <c r="I61" s="34">
        <f t="shared" si="25"/>
        <v>0</v>
      </c>
      <c r="J61" s="46">
        <f t="shared" si="1"/>
        <v>0</v>
      </c>
      <c r="K61" s="35">
        <f t="shared" si="26"/>
        <v>0</v>
      </c>
      <c r="L61" s="36">
        <f t="shared" si="27"/>
        <v>0</v>
      </c>
      <c r="M61" s="37">
        <f t="shared" si="2"/>
        <v>0</v>
      </c>
      <c r="N61" s="33">
        <f t="shared" si="28"/>
        <v>0</v>
      </c>
      <c r="O61" s="34">
        <f t="shared" si="29"/>
        <v>0</v>
      </c>
      <c r="P61" s="45">
        <f t="shared" si="3"/>
        <v>0</v>
      </c>
      <c r="Q61" s="38">
        <f t="shared" si="30"/>
        <v>0</v>
      </c>
      <c r="R61" s="34">
        <f t="shared" si="31"/>
        <v>0</v>
      </c>
      <c r="S61" s="41">
        <f t="shared" si="5"/>
        <v>0</v>
      </c>
      <c r="T61" s="38">
        <f t="shared" si="32"/>
        <v>0</v>
      </c>
      <c r="U61" s="36">
        <f t="shared" si="33"/>
        <v>0</v>
      </c>
      <c r="V61" s="28"/>
      <c r="X61" s="12"/>
      <c r="Y61" s="14"/>
      <c r="Z61" s="14"/>
    </row>
    <row r="62" spans="1:26" ht="30.75" hidden="1" thickBot="1">
      <c r="B62" s="23"/>
      <c r="C62" s="40"/>
      <c r="D62" s="31">
        <f t="shared" si="7"/>
        <v>0</v>
      </c>
      <c r="E62" s="31">
        <f t="shared" si="22"/>
        <v>0</v>
      </c>
      <c r="F62" s="32">
        <f t="shared" si="23"/>
        <v>0</v>
      </c>
      <c r="G62" s="31">
        <f t="shared" si="0"/>
        <v>0</v>
      </c>
      <c r="H62" s="33">
        <f t="shared" si="24"/>
        <v>0</v>
      </c>
      <c r="I62" s="34">
        <f t="shared" si="25"/>
        <v>0</v>
      </c>
      <c r="J62" s="46">
        <f t="shared" si="1"/>
        <v>0</v>
      </c>
      <c r="K62" s="35">
        <f t="shared" si="26"/>
        <v>0</v>
      </c>
      <c r="L62" s="36">
        <f t="shared" si="27"/>
        <v>0</v>
      </c>
      <c r="M62" s="37">
        <f t="shared" si="2"/>
        <v>0</v>
      </c>
      <c r="N62" s="33">
        <f t="shared" si="28"/>
        <v>0</v>
      </c>
      <c r="O62" s="34">
        <f t="shared" si="29"/>
        <v>0</v>
      </c>
      <c r="P62" s="45">
        <f t="shared" si="3"/>
        <v>0</v>
      </c>
      <c r="Q62" s="38">
        <f t="shared" si="30"/>
        <v>0</v>
      </c>
      <c r="R62" s="34">
        <f t="shared" si="31"/>
        <v>0</v>
      </c>
      <c r="S62" s="41">
        <f t="shared" si="5"/>
        <v>0</v>
      </c>
      <c r="T62" s="38">
        <f t="shared" si="32"/>
        <v>0</v>
      </c>
      <c r="U62" s="36">
        <f t="shared" si="33"/>
        <v>0</v>
      </c>
      <c r="V62" s="28"/>
      <c r="X62" s="12"/>
      <c r="Y62" s="14"/>
      <c r="Z62" s="14"/>
    </row>
    <row r="63" spans="1:26" ht="30.75" hidden="1" thickBot="1">
      <c r="B63" s="24"/>
      <c r="C63" s="42"/>
      <c r="D63" s="31">
        <f t="shared" si="7"/>
        <v>0</v>
      </c>
      <c r="E63" s="31">
        <f t="shared" si="22"/>
        <v>0</v>
      </c>
      <c r="F63" s="32">
        <f t="shared" si="23"/>
        <v>0</v>
      </c>
      <c r="G63" s="31">
        <f t="shared" si="0"/>
        <v>0</v>
      </c>
      <c r="H63" s="33">
        <f t="shared" si="24"/>
        <v>0</v>
      </c>
      <c r="I63" s="34">
        <f t="shared" si="25"/>
        <v>0</v>
      </c>
      <c r="J63" s="46">
        <f t="shared" si="1"/>
        <v>0</v>
      </c>
      <c r="K63" s="35">
        <f t="shared" si="26"/>
        <v>0</v>
      </c>
      <c r="L63" s="36">
        <f t="shared" si="27"/>
        <v>0</v>
      </c>
      <c r="M63" s="37">
        <f t="shared" si="2"/>
        <v>0</v>
      </c>
      <c r="N63" s="33">
        <f t="shared" si="28"/>
        <v>0</v>
      </c>
      <c r="O63" s="34">
        <f t="shared" si="29"/>
        <v>0</v>
      </c>
      <c r="P63" s="45">
        <f t="shared" si="3"/>
        <v>0</v>
      </c>
      <c r="Q63" s="38">
        <f t="shared" si="30"/>
        <v>0</v>
      </c>
      <c r="R63" s="34">
        <f t="shared" si="31"/>
        <v>0</v>
      </c>
      <c r="S63" s="41">
        <f t="shared" si="5"/>
        <v>0</v>
      </c>
      <c r="T63" s="38">
        <f t="shared" si="32"/>
        <v>0</v>
      </c>
      <c r="U63" s="36">
        <f t="shared" si="33"/>
        <v>0</v>
      </c>
      <c r="V63" s="28"/>
      <c r="X63" s="12"/>
      <c r="Y63" s="14"/>
      <c r="Z63" s="14"/>
    </row>
    <row r="64" spans="1:26" ht="30.75" hidden="1" thickBot="1">
      <c r="B64" s="25"/>
      <c r="C64" s="40"/>
      <c r="D64" s="31">
        <f t="shared" si="7"/>
        <v>0</v>
      </c>
      <c r="E64" s="31">
        <f t="shared" si="22"/>
        <v>0</v>
      </c>
      <c r="F64" s="32">
        <f t="shared" si="23"/>
        <v>0</v>
      </c>
      <c r="G64" s="31">
        <f t="shared" si="0"/>
        <v>0</v>
      </c>
      <c r="H64" s="33">
        <f t="shared" si="24"/>
        <v>0</v>
      </c>
      <c r="I64" s="34">
        <f t="shared" si="25"/>
        <v>0</v>
      </c>
      <c r="J64" s="46">
        <f t="shared" si="1"/>
        <v>0</v>
      </c>
      <c r="K64" s="35">
        <f t="shared" si="26"/>
        <v>0</v>
      </c>
      <c r="L64" s="36">
        <f t="shared" si="27"/>
        <v>0</v>
      </c>
      <c r="M64" s="37">
        <f t="shared" si="2"/>
        <v>0</v>
      </c>
      <c r="N64" s="33">
        <f t="shared" si="28"/>
        <v>0</v>
      </c>
      <c r="O64" s="34">
        <f t="shared" si="29"/>
        <v>0</v>
      </c>
      <c r="P64" s="45">
        <f t="shared" si="3"/>
        <v>0</v>
      </c>
      <c r="Q64" s="38">
        <f t="shared" si="30"/>
        <v>0</v>
      </c>
      <c r="R64" s="34">
        <f t="shared" si="31"/>
        <v>0</v>
      </c>
      <c r="S64" s="41">
        <f t="shared" si="5"/>
        <v>0</v>
      </c>
      <c r="T64" s="38">
        <f t="shared" si="32"/>
        <v>0</v>
      </c>
      <c r="U64" s="36">
        <f t="shared" si="33"/>
        <v>0</v>
      </c>
      <c r="V64" s="28"/>
      <c r="X64" s="12"/>
      <c r="Y64" s="14"/>
      <c r="Z64" s="14"/>
    </row>
    <row r="65" spans="2:26" ht="30.75" hidden="1" thickBot="1">
      <c r="B65" s="24"/>
      <c r="C65" s="42"/>
      <c r="D65" s="31">
        <f t="shared" si="7"/>
        <v>0</v>
      </c>
      <c r="E65" s="31">
        <f t="shared" si="22"/>
        <v>0</v>
      </c>
      <c r="F65" s="32">
        <f t="shared" si="23"/>
        <v>0</v>
      </c>
      <c r="G65" s="31">
        <f t="shared" si="0"/>
        <v>0</v>
      </c>
      <c r="H65" s="33">
        <f t="shared" si="24"/>
        <v>0</v>
      </c>
      <c r="I65" s="34">
        <f t="shared" si="25"/>
        <v>0</v>
      </c>
      <c r="J65" s="46">
        <f t="shared" si="1"/>
        <v>0</v>
      </c>
      <c r="K65" s="35">
        <f t="shared" si="26"/>
        <v>0</v>
      </c>
      <c r="L65" s="36">
        <f t="shared" si="27"/>
        <v>0</v>
      </c>
      <c r="M65" s="37">
        <f t="shared" si="2"/>
        <v>0</v>
      </c>
      <c r="N65" s="33">
        <f t="shared" si="28"/>
        <v>0</v>
      </c>
      <c r="O65" s="34">
        <f t="shared" si="29"/>
        <v>0</v>
      </c>
      <c r="P65" s="45">
        <f t="shared" si="3"/>
        <v>0</v>
      </c>
      <c r="Q65" s="38">
        <f t="shared" si="30"/>
        <v>0</v>
      </c>
      <c r="R65" s="34">
        <f t="shared" si="31"/>
        <v>0</v>
      </c>
      <c r="S65" s="41">
        <f t="shared" si="5"/>
        <v>0</v>
      </c>
      <c r="T65" s="38">
        <f t="shared" si="32"/>
        <v>0</v>
      </c>
      <c r="U65" s="36">
        <f t="shared" si="33"/>
        <v>0</v>
      </c>
      <c r="V65" s="28"/>
      <c r="X65" s="12"/>
      <c r="Y65" s="14"/>
      <c r="Z65" s="14"/>
    </row>
    <row r="66" spans="2:26" ht="30.75" hidden="1" thickBot="1">
      <c r="B66" s="24"/>
      <c r="C66" s="42"/>
      <c r="D66" s="31">
        <f t="shared" si="7"/>
        <v>0</v>
      </c>
      <c r="E66" s="31">
        <f t="shared" si="22"/>
        <v>0</v>
      </c>
      <c r="F66" s="32">
        <f t="shared" si="23"/>
        <v>0</v>
      </c>
      <c r="G66" s="31">
        <f t="shared" si="0"/>
        <v>0</v>
      </c>
      <c r="H66" s="33">
        <f t="shared" si="24"/>
        <v>0</v>
      </c>
      <c r="I66" s="34">
        <f t="shared" si="25"/>
        <v>0</v>
      </c>
      <c r="J66" s="46">
        <f t="shared" si="1"/>
        <v>0</v>
      </c>
      <c r="K66" s="35">
        <f t="shared" si="26"/>
        <v>0</v>
      </c>
      <c r="L66" s="36">
        <f t="shared" si="27"/>
        <v>0</v>
      </c>
      <c r="M66" s="37">
        <f t="shared" si="2"/>
        <v>0</v>
      </c>
      <c r="N66" s="33">
        <f t="shared" si="28"/>
        <v>0</v>
      </c>
      <c r="O66" s="34">
        <f t="shared" si="29"/>
        <v>0</v>
      </c>
      <c r="P66" s="45">
        <f t="shared" si="3"/>
        <v>0</v>
      </c>
      <c r="Q66" s="38">
        <f t="shared" si="30"/>
        <v>0</v>
      </c>
      <c r="R66" s="34">
        <f t="shared" si="31"/>
        <v>0</v>
      </c>
      <c r="S66" s="41">
        <f t="shared" si="5"/>
        <v>0</v>
      </c>
      <c r="T66" s="38">
        <f t="shared" si="32"/>
        <v>0</v>
      </c>
      <c r="U66" s="36">
        <f t="shared" si="33"/>
        <v>0</v>
      </c>
      <c r="V66" s="28"/>
      <c r="X66" s="12"/>
      <c r="Y66" s="14"/>
      <c r="Z66" s="14"/>
    </row>
    <row r="67" spans="2:26" ht="30.75" hidden="1" thickBot="1">
      <c r="B67" s="24"/>
      <c r="C67" s="42"/>
      <c r="D67" s="31">
        <f t="shared" si="7"/>
        <v>0</v>
      </c>
      <c r="E67" s="31">
        <f t="shared" si="22"/>
        <v>0</v>
      </c>
      <c r="F67" s="32">
        <f t="shared" si="23"/>
        <v>0</v>
      </c>
      <c r="G67" s="31">
        <f t="shared" si="0"/>
        <v>0</v>
      </c>
      <c r="H67" s="33">
        <f t="shared" si="24"/>
        <v>0</v>
      </c>
      <c r="I67" s="34">
        <f t="shared" si="25"/>
        <v>0</v>
      </c>
      <c r="J67" s="46">
        <f t="shared" si="1"/>
        <v>0</v>
      </c>
      <c r="K67" s="35">
        <f t="shared" si="26"/>
        <v>0</v>
      </c>
      <c r="L67" s="36">
        <f t="shared" si="27"/>
        <v>0</v>
      </c>
      <c r="M67" s="37">
        <f t="shared" si="2"/>
        <v>0</v>
      </c>
      <c r="N67" s="33">
        <f t="shared" si="28"/>
        <v>0</v>
      </c>
      <c r="O67" s="34">
        <f t="shared" si="29"/>
        <v>0</v>
      </c>
      <c r="P67" s="45">
        <f t="shared" si="3"/>
        <v>0</v>
      </c>
      <c r="Q67" s="38">
        <f t="shared" si="30"/>
        <v>0</v>
      </c>
      <c r="R67" s="34">
        <f t="shared" si="31"/>
        <v>0</v>
      </c>
      <c r="S67" s="41">
        <f t="shared" si="5"/>
        <v>0</v>
      </c>
      <c r="T67" s="38">
        <f t="shared" si="32"/>
        <v>0</v>
      </c>
      <c r="U67" s="36">
        <f t="shared" si="33"/>
        <v>0</v>
      </c>
      <c r="V67" s="28"/>
      <c r="X67" s="12"/>
      <c r="Y67" s="14"/>
      <c r="Z67" s="14"/>
    </row>
    <row r="68" spans="2:26" ht="30.75" hidden="1" thickBot="1">
      <c r="B68" s="24"/>
      <c r="C68" s="42"/>
      <c r="D68" s="31">
        <f t="shared" si="7"/>
        <v>0</v>
      </c>
      <c r="E68" s="31">
        <f t="shared" si="22"/>
        <v>0</v>
      </c>
      <c r="F68" s="32">
        <f t="shared" si="23"/>
        <v>0</v>
      </c>
      <c r="G68" s="31">
        <f t="shared" si="0"/>
        <v>0</v>
      </c>
      <c r="H68" s="33">
        <f t="shared" si="24"/>
        <v>0</v>
      </c>
      <c r="I68" s="34">
        <f t="shared" si="25"/>
        <v>0</v>
      </c>
      <c r="J68" s="46">
        <f t="shared" si="1"/>
        <v>0</v>
      </c>
      <c r="K68" s="35">
        <f t="shared" si="26"/>
        <v>0</v>
      </c>
      <c r="L68" s="36">
        <f t="shared" si="27"/>
        <v>0</v>
      </c>
      <c r="M68" s="37">
        <f t="shared" si="2"/>
        <v>0</v>
      </c>
      <c r="N68" s="33">
        <f t="shared" si="28"/>
        <v>0</v>
      </c>
      <c r="O68" s="34">
        <f t="shared" si="29"/>
        <v>0</v>
      </c>
      <c r="P68" s="45">
        <f t="shared" si="3"/>
        <v>0</v>
      </c>
      <c r="Q68" s="38">
        <f t="shared" si="30"/>
        <v>0</v>
      </c>
      <c r="R68" s="34">
        <f t="shared" si="31"/>
        <v>0</v>
      </c>
      <c r="S68" s="41">
        <f t="shared" si="5"/>
        <v>0</v>
      </c>
      <c r="T68" s="38">
        <f t="shared" si="32"/>
        <v>0</v>
      </c>
      <c r="U68" s="36">
        <f t="shared" si="33"/>
        <v>0</v>
      </c>
      <c r="V68" s="28"/>
      <c r="X68" s="12"/>
      <c r="Y68" s="14"/>
      <c r="Z68" s="14"/>
    </row>
    <row r="69" spans="2:26" ht="30.75" hidden="1" thickBot="1">
      <c r="B69" s="24"/>
      <c r="C69" s="42"/>
      <c r="D69" s="31">
        <f t="shared" si="7"/>
        <v>0</v>
      </c>
      <c r="E69" s="31">
        <f t="shared" si="22"/>
        <v>0</v>
      </c>
      <c r="F69" s="32">
        <f t="shared" si="23"/>
        <v>0</v>
      </c>
      <c r="G69" s="31">
        <f t="shared" si="0"/>
        <v>0</v>
      </c>
      <c r="H69" s="33">
        <f t="shared" si="24"/>
        <v>0</v>
      </c>
      <c r="I69" s="34">
        <f t="shared" si="25"/>
        <v>0</v>
      </c>
      <c r="J69" s="46">
        <f t="shared" si="1"/>
        <v>0</v>
      </c>
      <c r="K69" s="35">
        <f t="shared" si="26"/>
        <v>0</v>
      </c>
      <c r="L69" s="36">
        <f t="shared" si="27"/>
        <v>0</v>
      </c>
      <c r="M69" s="37">
        <f t="shared" si="2"/>
        <v>0</v>
      </c>
      <c r="N69" s="33">
        <f t="shared" si="28"/>
        <v>0</v>
      </c>
      <c r="O69" s="34">
        <f t="shared" si="29"/>
        <v>0</v>
      </c>
      <c r="P69" s="45">
        <f t="shared" si="3"/>
        <v>0</v>
      </c>
      <c r="Q69" s="38">
        <f t="shared" si="30"/>
        <v>0</v>
      </c>
      <c r="R69" s="34">
        <f t="shared" si="31"/>
        <v>0</v>
      </c>
      <c r="S69" s="41">
        <f t="shared" si="5"/>
        <v>0</v>
      </c>
      <c r="T69" s="38">
        <f t="shared" si="32"/>
        <v>0</v>
      </c>
      <c r="U69" s="36">
        <f t="shared" si="33"/>
        <v>0</v>
      </c>
      <c r="V69" s="28"/>
      <c r="X69" s="12"/>
      <c r="Y69" s="14"/>
      <c r="Z69" s="14"/>
    </row>
    <row r="70" spans="2:26" ht="30.75" hidden="1" thickBot="1">
      <c r="B70" s="24"/>
      <c r="C70" s="42"/>
      <c r="D70" s="31">
        <f t="shared" si="7"/>
        <v>0</v>
      </c>
      <c r="E70" s="31">
        <f t="shared" si="22"/>
        <v>0</v>
      </c>
      <c r="F70" s="32">
        <f t="shared" si="23"/>
        <v>0</v>
      </c>
      <c r="G70" s="31">
        <f t="shared" si="0"/>
        <v>0</v>
      </c>
      <c r="H70" s="33">
        <f t="shared" si="24"/>
        <v>0</v>
      </c>
      <c r="I70" s="34">
        <f t="shared" si="25"/>
        <v>0</v>
      </c>
      <c r="J70" s="46">
        <f t="shared" si="1"/>
        <v>0</v>
      </c>
      <c r="K70" s="35">
        <f t="shared" si="26"/>
        <v>0</v>
      </c>
      <c r="L70" s="36">
        <f t="shared" si="27"/>
        <v>0</v>
      </c>
      <c r="M70" s="37">
        <f t="shared" si="2"/>
        <v>0</v>
      </c>
      <c r="N70" s="33">
        <f t="shared" si="28"/>
        <v>0</v>
      </c>
      <c r="O70" s="34">
        <f t="shared" si="29"/>
        <v>0</v>
      </c>
      <c r="P70" s="45">
        <f t="shared" si="3"/>
        <v>0</v>
      </c>
      <c r="Q70" s="38">
        <f t="shared" si="30"/>
        <v>0</v>
      </c>
      <c r="R70" s="34">
        <f t="shared" si="31"/>
        <v>0</v>
      </c>
      <c r="S70" s="41">
        <f t="shared" si="5"/>
        <v>0</v>
      </c>
      <c r="T70" s="38">
        <f t="shared" si="32"/>
        <v>0</v>
      </c>
      <c r="U70" s="36">
        <f t="shared" si="33"/>
        <v>0</v>
      </c>
      <c r="V70" s="28"/>
      <c r="X70" s="12"/>
      <c r="Y70" s="14"/>
      <c r="Z70" s="14"/>
    </row>
    <row r="71" spans="2:26" ht="30.75" hidden="1" thickBot="1">
      <c r="B71" s="24"/>
      <c r="C71" s="42"/>
      <c r="D71" s="31">
        <f t="shared" si="7"/>
        <v>0</v>
      </c>
      <c r="E71" s="31">
        <f t="shared" si="22"/>
        <v>0</v>
      </c>
      <c r="F71" s="32">
        <f t="shared" si="23"/>
        <v>0</v>
      </c>
      <c r="G71" s="31">
        <f t="shared" si="0"/>
        <v>0</v>
      </c>
      <c r="H71" s="33">
        <f t="shared" si="24"/>
        <v>0</v>
      </c>
      <c r="I71" s="34">
        <f t="shared" si="25"/>
        <v>0</v>
      </c>
      <c r="J71" s="46">
        <f t="shared" si="1"/>
        <v>0</v>
      </c>
      <c r="K71" s="35">
        <f t="shared" si="26"/>
        <v>0</v>
      </c>
      <c r="L71" s="36">
        <f t="shared" si="27"/>
        <v>0</v>
      </c>
      <c r="M71" s="37">
        <f t="shared" si="2"/>
        <v>0</v>
      </c>
      <c r="N71" s="33">
        <f t="shared" si="28"/>
        <v>0</v>
      </c>
      <c r="O71" s="34">
        <f t="shared" si="29"/>
        <v>0</v>
      </c>
      <c r="P71" s="45">
        <f t="shared" si="3"/>
        <v>0</v>
      </c>
      <c r="Q71" s="38">
        <f t="shared" si="30"/>
        <v>0</v>
      </c>
      <c r="R71" s="34">
        <f t="shared" si="31"/>
        <v>0</v>
      </c>
      <c r="S71" s="41">
        <f t="shared" si="5"/>
        <v>0</v>
      </c>
      <c r="T71" s="38">
        <f t="shared" si="32"/>
        <v>0</v>
      </c>
      <c r="U71" s="36">
        <f t="shared" si="33"/>
        <v>0</v>
      </c>
      <c r="V71" s="28"/>
      <c r="X71" s="12"/>
      <c r="Y71" s="14"/>
      <c r="Z71" s="14"/>
    </row>
    <row r="72" spans="2:26" ht="30.75" hidden="1" thickBot="1">
      <c r="B72" s="26"/>
      <c r="C72" s="42"/>
      <c r="D72" s="31">
        <f t="shared" si="7"/>
        <v>0</v>
      </c>
      <c r="E72" s="31">
        <f t="shared" ref="E72" si="34">D72/E$2</f>
        <v>0</v>
      </c>
      <c r="F72" s="32">
        <f t="shared" ref="F72" si="35">ROUNDUP(E72,0)</f>
        <v>0</v>
      </c>
      <c r="G72" s="31">
        <f t="shared" si="0"/>
        <v>0</v>
      </c>
      <c r="H72" s="33">
        <f t="shared" ref="H72" si="36">G72/H$2</f>
        <v>0</v>
      </c>
      <c r="I72" s="34">
        <f t="shared" ref="I72" si="37">ROUNDUP(H72,0)</f>
        <v>0</v>
      </c>
      <c r="J72" s="46">
        <f t="shared" si="1"/>
        <v>0</v>
      </c>
      <c r="K72" s="35">
        <f t="shared" ref="K72" si="38">J72/K$2</f>
        <v>0</v>
      </c>
      <c r="L72" s="36">
        <f t="shared" ref="L72" si="39">ROUNDUP(K72,0)</f>
        <v>0</v>
      </c>
      <c r="M72" s="37">
        <f t="shared" si="2"/>
        <v>0</v>
      </c>
      <c r="N72" s="33">
        <f t="shared" ref="N72" si="40">M72/N$2</f>
        <v>0</v>
      </c>
      <c r="O72" s="34">
        <f t="shared" ref="O72" si="41">ROUNDUP(N72,0)</f>
        <v>0</v>
      </c>
      <c r="P72" s="44">
        <f t="shared" si="3"/>
        <v>0</v>
      </c>
      <c r="Q72" s="38">
        <f t="shared" ref="Q72" si="42">P72/Q$2</f>
        <v>0</v>
      </c>
      <c r="R72" s="34">
        <f t="shared" ref="R72" si="43">ROUNDUP(Q72,0)</f>
        <v>0</v>
      </c>
      <c r="S72" s="43">
        <f t="shared" si="5"/>
        <v>0</v>
      </c>
      <c r="T72" s="38">
        <f t="shared" ref="T72" si="44">S72/T$2</f>
        <v>0</v>
      </c>
      <c r="U72" s="36">
        <f t="shared" ref="U72" si="45">ROUNDUP(T72,0)</f>
        <v>0</v>
      </c>
      <c r="V72" s="28"/>
      <c r="X72" s="12"/>
      <c r="Y72" s="14"/>
      <c r="Z72" s="14"/>
    </row>
    <row r="73" spans="2:26" ht="30.75" hidden="1" thickBot="1">
      <c r="B73" s="26"/>
      <c r="C73" s="42"/>
      <c r="D73" s="31">
        <f t="shared" si="7"/>
        <v>0</v>
      </c>
      <c r="E73" s="31">
        <f t="shared" si="22"/>
        <v>0</v>
      </c>
      <c r="F73" s="32">
        <f t="shared" si="23"/>
        <v>0</v>
      </c>
      <c r="G73" s="31">
        <f t="shared" si="0"/>
        <v>0</v>
      </c>
      <c r="H73" s="33">
        <f t="shared" si="24"/>
        <v>0</v>
      </c>
      <c r="I73" s="34">
        <f t="shared" si="25"/>
        <v>0</v>
      </c>
      <c r="J73" s="46">
        <f t="shared" si="1"/>
        <v>0</v>
      </c>
      <c r="K73" s="35">
        <f t="shared" si="26"/>
        <v>0</v>
      </c>
      <c r="L73" s="36">
        <f t="shared" si="27"/>
        <v>0</v>
      </c>
      <c r="M73" s="37">
        <f t="shared" si="2"/>
        <v>0</v>
      </c>
      <c r="N73" s="33">
        <f t="shared" si="28"/>
        <v>0</v>
      </c>
      <c r="O73" s="34">
        <f t="shared" si="29"/>
        <v>0</v>
      </c>
      <c r="P73" s="44">
        <f t="shared" si="3"/>
        <v>0</v>
      </c>
      <c r="Q73" s="38">
        <f t="shared" si="30"/>
        <v>0</v>
      </c>
      <c r="R73" s="34">
        <f t="shared" si="31"/>
        <v>0</v>
      </c>
      <c r="S73" s="43">
        <f t="shared" si="5"/>
        <v>0</v>
      </c>
      <c r="T73" s="38">
        <f t="shared" si="32"/>
        <v>0</v>
      </c>
      <c r="U73" s="36">
        <f t="shared" si="33"/>
        <v>0</v>
      </c>
      <c r="V73" s="28"/>
      <c r="X73" s="12"/>
      <c r="Y73" s="14"/>
      <c r="Z73" s="14"/>
    </row>
    <row r="74" spans="2:26" ht="30.75" hidden="1" thickBot="1">
      <c r="B74" s="25"/>
      <c r="C74" s="40"/>
      <c r="D74" s="31">
        <f t="shared" si="7"/>
        <v>0</v>
      </c>
      <c r="E74" s="31">
        <f t="shared" si="22"/>
        <v>0</v>
      </c>
      <c r="F74" s="32">
        <f t="shared" si="23"/>
        <v>0</v>
      </c>
      <c r="G74" s="31">
        <f t="shared" si="0"/>
        <v>0</v>
      </c>
      <c r="H74" s="33">
        <f t="shared" si="24"/>
        <v>0</v>
      </c>
      <c r="I74" s="34">
        <f t="shared" si="25"/>
        <v>0</v>
      </c>
      <c r="J74" s="47">
        <f t="shared" si="1"/>
        <v>0</v>
      </c>
      <c r="K74" s="35">
        <f t="shared" si="26"/>
        <v>0</v>
      </c>
      <c r="L74" s="36">
        <f t="shared" si="27"/>
        <v>0</v>
      </c>
      <c r="M74" s="37">
        <f t="shared" si="2"/>
        <v>0</v>
      </c>
      <c r="N74" s="33">
        <f t="shared" si="28"/>
        <v>0</v>
      </c>
      <c r="O74" s="34">
        <f t="shared" si="29"/>
        <v>0</v>
      </c>
      <c r="P74" s="44">
        <f t="shared" si="3"/>
        <v>0</v>
      </c>
      <c r="Q74" s="38">
        <f t="shared" si="30"/>
        <v>0</v>
      </c>
      <c r="R74" s="34">
        <f t="shared" si="31"/>
        <v>0</v>
      </c>
      <c r="S74" s="43">
        <f t="shared" si="5"/>
        <v>0</v>
      </c>
      <c r="T74" s="38">
        <f t="shared" si="32"/>
        <v>0</v>
      </c>
      <c r="U74" s="36">
        <f t="shared" si="33"/>
        <v>0</v>
      </c>
      <c r="V74" s="28"/>
      <c r="X74" s="12"/>
      <c r="Y74" s="14"/>
      <c r="Z74" s="14"/>
    </row>
    <row r="75" spans="2:26" ht="30.75" hidden="1" thickBot="1">
      <c r="B75" s="25"/>
      <c r="C75" s="40"/>
      <c r="D75" s="31">
        <f t="shared" si="7"/>
        <v>0</v>
      </c>
      <c r="E75" s="31">
        <f t="shared" si="22"/>
        <v>0</v>
      </c>
      <c r="F75" s="32">
        <f t="shared" si="23"/>
        <v>0</v>
      </c>
      <c r="G75" s="31">
        <f t="shared" si="0"/>
        <v>0</v>
      </c>
      <c r="H75" s="33">
        <f t="shared" si="24"/>
        <v>0</v>
      </c>
      <c r="I75" s="34">
        <f t="shared" si="25"/>
        <v>0</v>
      </c>
      <c r="J75" s="47">
        <f t="shared" si="1"/>
        <v>0</v>
      </c>
      <c r="K75" s="35">
        <f t="shared" si="26"/>
        <v>0</v>
      </c>
      <c r="L75" s="36">
        <f t="shared" si="27"/>
        <v>0</v>
      </c>
      <c r="M75" s="37">
        <f t="shared" si="2"/>
        <v>0</v>
      </c>
      <c r="N75" s="33">
        <f t="shared" si="28"/>
        <v>0</v>
      </c>
      <c r="O75" s="34">
        <f t="shared" si="29"/>
        <v>0</v>
      </c>
      <c r="P75" s="44">
        <f t="shared" si="3"/>
        <v>0</v>
      </c>
      <c r="Q75" s="38">
        <f t="shared" si="30"/>
        <v>0</v>
      </c>
      <c r="R75" s="34">
        <f t="shared" si="31"/>
        <v>0</v>
      </c>
      <c r="S75" s="43">
        <f t="shared" si="5"/>
        <v>0</v>
      </c>
      <c r="T75" s="38">
        <f t="shared" si="32"/>
        <v>0</v>
      </c>
      <c r="U75" s="36">
        <f t="shared" si="33"/>
        <v>0</v>
      </c>
      <c r="V75" s="28"/>
      <c r="X75" s="12"/>
      <c r="Y75" s="14"/>
      <c r="Z75" s="14"/>
    </row>
    <row r="76" spans="2:26" ht="30.75" hidden="1" thickBot="1">
      <c r="B76" s="25"/>
      <c r="C76" s="40"/>
      <c r="D76" s="31">
        <f t="shared" si="7"/>
        <v>0</v>
      </c>
      <c r="E76" s="31">
        <f t="shared" ref="E76:E82" si="46">D76/E$2</f>
        <v>0</v>
      </c>
      <c r="F76" s="32">
        <f t="shared" ref="F76:F82" si="47">ROUNDUP(E76,0)</f>
        <v>0</v>
      </c>
      <c r="G76" s="31">
        <f t="shared" si="0"/>
        <v>0</v>
      </c>
      <c r="H76" s="33">
        <f t="shared" ref="H76:H82" si="48">G76/H$2</f>
        <v>0</v>
      </c>
      <c r="I76" s="34">
        <f t="shared" ref="I76:I82" si="49">ROUNDUP(H76,0)</f>
        <v>0</v>
      </c>
      <c r="J76" s="48">
        <f t="shared" si="1"/>
        <v>0</v>
      </c>
      <c r="K76" s="35">
        <f t="shared" ref="K76:K82" si="50">J76/K$2</f>
        <v>0</v>
      </c>
      <c r="L76" s="36">
        <f t="shared" ref="L76:L82" si="51">ROUNDUP(K76,0)</f>
        <v>0</v>
      </c>
      <c r="M76" s="37">
        <f t="shared" si="2"/>
        <v>0</v>
      </c>
      <c r="N76" s="33">
        <f t="shared" ref="N76:N82" si="52">M76/N$2</f>
        <v>0</v>
      </c>
      <c r="O76" s="34">
        <f t="shared" ref="O76:O82" si="53">ROUNDUP(N76,0)</f>
        <v>0</v>
      </c>
      <c r="P76" s="45">
        <f t="shared" si="3"/>
        <v>0</v>
      </c>
      <c r="Q76" s="38">
        <f t="shared" ref="Q76:Q82" si="54">P76/Q$2</f>
        <v>0</v>
      </c>
      <c r="R76" s="34">
        <f t="shared" ref="R76:R82" si="55">ROUNDUP(Q76,0)</f>
        <v>0</v>
      </c>
      <c r="S76" s="41">
        <f t="shared" si="5"/>
        <v>0</v>
      </c>
      <c r="T76" s="38">
        <f t="shared" ref="T76:T82" si="56">S76/T$2</f>
        <v>0</v>
      </c>
      <c r="U76" s="36">
        <f t="shared" ref="U76:U78" si="57">ROUNDUP(T76,0)</f>
        <v>0</v>
      </c>
      <c r="V76" s="28"/>
      <c r="X76" s="12"/>
      <c r="Y76" s="14"/>
      <c r="Z76" s="14"/>
    </row>
    <row r="77" spans="2:26" ht="30.75" hidden="1" thickBot="1">
      <c r="B77" s="24"/>
      <c r="C77" s="42"/>
      <c r="D77" s="31">
        <f t="shared" si="7"/>
        <v>0</v>
      </c>
      <c r="E77" s="31">
        <f t="shared" si="46"/>
        <v>0</v>
      </c>
      <c r="F77" s="32">
        <f t="shared" si="47"/>
        <v>0</v>
      </c>
      <c r="G77" s="31">
        <f t="shared" si="0"/>
        <v>0</v>
      </c>
      <c r="H77" s="33">
        <f t="shared" si="48"/>
        <v>0</v>
      </c>
      <c r="I77" s="34">
        <f t="shared" si="49"/>
        <v>0</v>
      </c>
      <c r="J77" s="47">
        <f t="shared" si="1"/>
        <v>0</v>
      </c>
      <c r="K77" s="35">
        <f t="shared" si="50"/>
        <v>0</v>
      </c>
      <c r="L77" s="36">
        <f t="shared" si="51"/>
        <v>0</v>
      </c>
      <c r="M77" s="37">
        <f t="shared" si="2"/>
        <v>0</v>
      </c>
      <c r="N77" s="33">
        <f t="shared" si="52"/>
        <v>0</v>
      </c>
      <c r="O77" s="34">
        <f t="shared" si="53"/>
        <v>0</v>
      </c>
      <c r="P77" s="44">
        <f t="shared" si="3"/>
        <v>0</v>
      </c>
      <c r="Q77" s="38">
        <f t="shared" si="54"/>
        <v>0</v>
      </c>
      <c r="R77" s="34">
        <f t="shared" si="55"/>
        <v>0</v>
      </c>
      <c r="S77" s="43">
        <f t="shared" si="5"/>
        <v>0</v>
      </c>
      <c r="T77" s="38">
        <f t="shared" si="56"/>
        <v>0</v>
      </c>
      <c r="U77" s="36">
        <f t="shared" si="57"/>
        <v>0</v>
      </c>
      <c r="V77" s="28"/>
      <c r="X77" s="12"/>
      <c r="Y77" s="14"/>
      <c r="Z77" s="14"/>
    </row>
    <row r="78" spans="2:26" ht="30.75" hidden="1" thickBot="1">
      <c r="B78" s="27"/>
      <c r="C78" s="39"/>
      <c r="D78" s="31">
        <f t="shared" si="7"/>
        <v>0</v>
      </c>
      <c r="E78" s="31">
        <f t="shared" si="46"/>
        <v>0</v>
      </c>
      <c r="F78" s="32">
        <f t="shared" si="47"/>
        <v>0</v>
      </c>
      <c r="G78" s="31">
        <f t="shared" si="0"/>
        <v>0</v>
      </c>
      <c r="H78" s="33">
        <f t="shared" si="48"/>
        <v>0</v>
      </c>
      <c r="I78" s="34">
        <f t="shared" si="49"/>
        <v>0</v>
      </c>
      <c r="J78" s="47">
        <f t="shared" si="1"/>
        <v>0</v>
      </c>
      <c r="K78" s="35">
        <f t="shared" si="50"/>
        <v>0</v>
      </c>
      <c r="L78" s="36">
        <f t="shared" si="51"/>
        <v>0</v>
      </c>
      <c r="M78" s="37">
        <f t="shared" si="2"/>
        <v>0</v>
      </c>
      <c r="N78" s="33">
        <f t="shared" si="52"/>
        <v>0</v>
      </c>
      <c r="O78" s="34">
        <f t="shared" si="53"/>
        <v>0</v>
      </c>
      <c r="P78" s="49">
        <f t="shared" si="3"/>
        <v>0</v>
      </c>
      <c r="Q78" s="38">
        <f t="shared" si="54"/>
        <v>0</v>
      </c>
      <c r="R78" s="34">
        <f t="shared" si="55"/>
        <v>0</v>
      </c>
      <c r="S78" s="50">
        <f t="shared" si="5"/>
        <v>0</v>
      </c>
      <c r="T78" s="38">
        <f t="shared" si="56"/>
        <v>0</v>
      </c>
      <c r="U78" s="36">
        <f t="shared" si="57"/>
        <v>0</v>
      </c>
      <c r="V78" s="28"/>
      <c r="X78" s="12"/>
      <c r="Y78" s="14"/>
      <c r="Z78" s="14"/>
    </row>
    <row r="79" spans="2:26" ht="30.75" hidden="1" thickBot="1">
      <c r="B79" s="24"/>
      <c r="C79" s="42"/>
      <c r="D79" s="31">
        <f t="shared" si="7"/>
        <v>0</v>
      </c>
      <c r="E79" s="31">
        <f t="shared" si="46"/>
        <v>0</v>
      </c>
      <c r="F79" s="32">
        <f t="shared" si="47"/>
        <v>0</v>
      </c>
      <c r="G79" s="31">
        <f t="shared" si="0"/>
        <v>0</v>
      </c>
      <c r="H79" s="33">
        <f t="shared" si="48"/>
        <v>0</v>
      </c>
      <c r="I79" s="34">
        <f t="shared" si="49"/>
        <v>0</v>
      </c>
      <c r="J79" s="47">
        <f t="shared" si="1"/>
        <v>0</v>
      </c>
      <c r="K79" s="35">
        <f t="shared" si="50"/>
        <v>0</v>
      </c>
      <c r="L79" s="36">
        <f t="shared" si="51"/>
        <v>0</v>
      </c>
      <c r="M79" s="37">
        <f t="shared" si="2"/>
        <v>0</v>
      </c>
      <c r="N79" s="33">
        <f t="shared" si="52"/>
        <v>0</v>
      </c>
      <c r="O79" s="34">
        <f t="shared" si="53"/>
        <v>0</v>
      </c>
      <c r="P79" s="44">
        <f t="shared" si="3"/>
        <v>0</v>
      </c>
      <c r="Q79" s="38">
        <f t="shared" si="54"/>
        <v>0</v>
      </c>
      <c r="R79" s="34">
        <f t="shared" si="55"/>
        <v>0</v>
      </c>
      <c r="S79" s="43">
        <f t="shared" si="5"/>
        <v>0</v>
      </c>
      <c r="T79" s="38">
        <f t="shared" si="56"/>
        <v>0</v>
      </c>
      <c r="U79" s="36">
        <f>ROUNDUP(T79,0)</f>
        <v>0</v>
      </c>
      <c r="V79" s="28"/>
      <c r="X79" s="12"/>
      <c r="Y79" s="14"/>
      <c r="Z79" s="14"/>
    </row>
    <row r="80" spans="2:26" ht="30.75" hidden="1" thickBot="1">
      <c r="B80" s="17"/>
      <c r="C80" s="39"/>
      <c r="D80" s="51">
        <f t="shared" si="7"/>
        <v>0</v>
      </c>
      <c r="E80" s="31">
        <f t="shared" si="46"/>
        <v>0</v>
      </c>
      <c r="F80" s="32">
        <f t="shared" si="47"/>
        <v>0</v>
      </c>
      <c r="G80" s="51">
        <f t="shared" si="0"/>
        <v>0</v>
      </c>
      <c r="H80" s="33">
        <f t="shared" si="48"/>
        <v>0</v>
      </c>
      <c r="I80" s="34">
        <f t="shared" si="49"/>
        <v>0</v>
      </c>
      <c r="J80" s="48">
        <f t="shared" si="1"/>
        <v>0</v>
      </c>
      <c r="K80" s="35">
        <f t="shared" si="50"/>
        <v>0</v>
      </c>
      <c r="L80" s="36">
        <f t="shared" si="51"/>
        <v>0</v>
      </c>
      <c r="M80" s="52">
        <f t="shared" si="2"/>
        <v>0</v>
      </c>
      <c r="N80" s="33">
        <f t="shared" si="52"/>
        <v>0</v>
      </c>
      <c r="O80" s="34">
        <f t="shared" si="53"/>
        <v>0</v>
      </c>
      <c r="P80" s="49">
        <f t="shared" si="3"/>
        <v>0</v>
      </c>
      <c r="Q80" s="38">
        <f t="shared" si="54"/>
        <v>0</v>
      </c>
      <c r="R80" s="34">
        <f t="shared" si="55"/>
        <v>0</v>
      </c>
      <c r="S80" s="50">
        <f t="shared" si="5"/>
        <v>0</v>
      </c>
      <c r="T80" s="38">
        <f t="shared" si="56"/>
        <v>0</v>
      </c>
      <c r="U80" s="36">
        <f t="shared" ref="U80:U82" si="58">ROUNDUP(T80,0)</f>
        <v>0</v>
      </c>
      <c r="V80" s="28"/>
    </row>
    <row r="81" spans="2:26" ht="30.75" hidden="1" thickBot="1">
      <c r="B81" s="15"/>
      <c r="C81" s="42"/>
      <c r="D81" s="53">
        <f t="shared" si="7"/>
        <v>0</v>
      </c>
      <c r="E81" s="31">
        <f t="shared" si="46"/>
        <v>0</v>
      </c>
      <c r="F81" s="32">
        <f t="shared" si="47"/>
        <v>0</v>
      </c>
      <c r="G81" s="54">
        <f t="shared" si="0"/>
        <v>0</v>
      </c>
      <c r="H81" s="33">
        <f t="shared" si="48"/>
        <v>0</v>
      </c>
      <c r="I81" s="34">
        <f t="shared" si="49"/>
        <v>0</v>
      </c>
      <c r="J81" s="48">
        <f t="shared" si="1"/>
        <v>0</v>
      </c>
      <c r="K81" s="35">
        <f t="shared" si="50"/>
        <v>0</v>
      </c>
      <c r="L81" s="55">
        <f t="shared" si="51"/>
        <v>0</v>
      </c>
      <c r="M81" s="54">
        <f t="shared" si="2"/>
        <v>0</v>
      </c>
      <c r="N81" s="33">
        <f t="shared" si="52"/>
        <v>0</v>
      </c>
      <c r="O81" s="34">
        <f t="shared" si="53"/>
        <v>0</v>
      </c>
      <c r="P81" s="44">
        <f t="shared" si="3"/>
        <v>0</v>
      </c>
      <c r="Q81" s="38">
        <f t="shared" si="54"/>
        <v>0</v>
      </c>
      <c r="R81" s="34">
        <f t="shared" si="55"/>
        <v>0</v>
      </c>
      <c r="S81" s="43">
        <f t="shared" si="5"/>
        <v>0</v>
      </c>
      <c r="T81" s="38">
        <f t="shared" si="56"/>
        <v>0</v>
      </c>
      <c r="U81" s="36">
        <f t="shared" si="58"/>
        <v>0</v>
      </c>
      <c r="V81" s="28"/>
    </row>
    <row r="82" spans="2:26" ht="30.75" hidden="1" thickBot="1">
      <c r="B82" s="18"/>
      <c r="C82" s="42"/>
      <c r="D82" s="53">
        <f t="shared" si="7"/>
        <v>0</v>
      </c>
      <c r="E82" s="31">
        <f t="shared" si="46"/>
        <v>0</v>
      </c>
      <c r="F82" s="32">
        <f t="shared" si="47"/>
        <v>0</v>
      </c>
      <c r="G82" s="54">
        <f t="shared" si="0"/>
        <v>0</v>
      </c>
      <c r="H82" s="33">
        <f t="shared" si="48"/>
        <v>0</v>
      </c>
      <c r="I82" s="34">
        <f t="shared" si="49"/>
        <v>0</v>
      </c>
      <c r="J82" s="48">
        <f t="shared" si="1"/>
        <v>0</v>
      </c>
      <c r="K82" s="35">
        <f t="shared" si="50"/>
        <v>0</v>
      </c>
      <c r="L82" s="36">
        <f t="shared" si="51"/>
        <v>0</v>
      </c>
      <c r="M82" s="54">
        <f t="shared" si="2"/>
        <v>0</v>
      </c>
      <c r="N82" s="33">
        <f t="shared" si="52"/>
        <v>0</v>
      </c>
      <c r="O82" s="34">
        <f t="shared" si="53"/>
        <v>0</v>
      </c>
      <c r="P82" s="44">
        <f t="shared" si="3"/>
        <v>0</v>
      </c>
      <c r="Q82" s="38">
        <f t="shared" si="54"/>
        <v>0</v>
      </c>
      <c r="R82" s="34">
        <f t="shared" si="55"/>
        <v>0</v>
      </c>
      <c r="S82" s="43">
        <f t="shared" si="5"/>
        <v>0</v>
      </c>
      <c r="T82" s="38">
        <f t="shared" si="56"/>
        <v>0</v>
      </c>
      <c r="U82" s="36">
        <f t="shared" si="58"/>
        <v>0</v>
      </c>
      <c r="V82" s="28"/>
    </row>
    <row r="83" spans="2:26" ht="30.75" hidden="1" thickBot="1">
      <c r="B83" s="25"/>
      <c r="C83" s="40"/>
      <c r="D83" s="31">
        <f t="shared" si="7"/>
        <v>0</v>
      </c>
      <c r="E83" s="31">
        <f t="shared" si="22"/>
        <v>0</v>
      </c>
      <c r="F83" s="32">
        <f t="shared" si="23"/>
        <v>0</v>
      </c>
      <c r="G83" s="31">
        <f t="shared" si="0"/>
        <v>0</v>
      </c>
      <c r="H83" s="33">
        <f t="shared" si="24"/>
        <v>0</v>
      </c>
      <c r="I83" s="34">
        <f t="shared" si="25"/>
        <v>0</v>
      </c>
      <c r="J83" s="48">
        <f t="shared" si="1"/>
        <v>0</v>
      </c>
      <c r="K83" s="35">
        <f t="shared" si="26"/>
        <v>0</v>
      </c>
      <c r="L83" s="36">
        <f t="shared" si="27"/>
        <v>0</v>
      </c>
      <c r="M83" s="37">
        <f t="shared" si="2"/>
        <v>0</v>
      </c>
      <c r="N83" s="33">
        <f t="shared" si="28"/>
        <v>0</v>
      </c>
      <c r="O83" s="34">
        <f t="shared" si="29"/>
        <v>0</v>
      </c>
      <c r="P83" s="45">
        <f t="shared" si="3"/>
        <v>0</v>
      </c>
      <c r="Q83" s="38">
        <f t="shared" si="30"/>
        <v>0</v>
      </c>
      <c r="R83" s="34">
        <f t="shared" si="31"/>
        <v>0</v>
      </c>
      <c r="S83" s="41">
        <f t="shared" si="5"/>
        <v>0</v>
      </c>
      <c r="T83" s="38">
        <f t="shared" si="32"/>
        <v>0</v>
      </c>
      <c r="U83" s="36">
        <f t="shared" si="33"/>
        <v>0</v>
      </c>
      <c r="V83" s="28"/>
      <c r="X83" s="12"/>
      <c r="Y83" s="14"/>
      <c r="Z83" s="14"/>
    </row>
    <row r="84" spans="2:26" ht="30.75" hidden="1" thickBot="1">
      <c r="B84" s="24"/>
      <c r="C84" s="42"/>
      <c r="D84" s="31">
        <f t="shared" si="7"/>
        <v>0</v>
      </c>
      <c r="E84" s="31">
        <f t="shared" si="22"/>
        <v>0</v>
      </c>
      <c r="F84" s="32">
        <f t="shared" si="23"/>
        <v>0</v>
      </c>
      <c r="G84" s="31">
        <f t="shared" si="0"/>
        <v>0</v>
      </c>
      <c r="H84" s="33">
        <f t="shared" si="24"/>
        <v>0</v>
      </c>
      <c r="I84" s="34">
        <f t="shared" si="25"/>
        <v>0</v>
      </c>
      <c r="J84" s="47">
        <f t="shared" si="1"/>
        <v>0</v>
      </c>
      <c r="K84" s="35">
        <f t="shared" si="26"/>
        <v>0</v>
      </c>
      <c r="L84" s="36">
        <f t="shared" si="27"/>
        <v>0</v>
      </c>
      <c r="M84" s="37">
        <f t="shared" si="2"/>
        <v>0</v>
      </c>
      <c r="N84" s="33">
        <f t="shared" si="28"/>
        <v>0</v>
      </c>
      <c r="O84" s="34">
        <f t="shared" si="29"/>
        <v>0</v>
      </c>
      <c r="P84" s="44">
        <f t="shared" si="3"/>
        <v>0</v>
      </c>
      <c r="Q84" s="38">
        <f t="shared" si="30"/>
        <v>0</v>
      </c>
      <c r="R84" s="34">
        <f t="shared" si="31"/>
        <v>0</v>
      </c>
      <c r="S84" s="43">
        <f t="shared" si="5"/>
        <v>0</v>
      </c>
      <c r="T84" s="38">
        <f t="shared" si="32"/>
        <v>0</v>
      </c>
      <c r="U84" s="36">
        <f t="shared" si="33"/>
        <v>0</v>
      </c>
      <c r="V84" s="28"/>
      <c r="X84" s="12"/>
      <c r="Y84" s="14"/>
      <c r="Z84" s="14"/>
    </row>
    <row r="85" spans="2:26" ht="30.75" hidden="1" thickBot="1">
      <c r="B85" s="27"/>
      <c r="C85" s="39"/>
      <c r="D85" s="31">
        <f t="shared" si="7"/>
        <v>0</v>
      </c>
      <c r="E85" s="31">
        <f t="shared" si="22"/>
        <v>0</v>
      </c>
      <c r="F85" s="32">
        <f t="shared" si="23"/>
        <v>0</v>
      </c>
      <c r="G85" s="31">
        <f t="shared" si="0"/>
        <v>0</v>
      </c>
      <c r="H85" s="33">
        <f t="shared" si="24"/>
        <v>0</v>
      </c>
      <c r="I85" s="34">
        <f t="shared" si="25"/>
        <v>0</v>
      </c>
      <c r="J85" s="47">
        <f t="shared" si="1"/>
        <v>0</v>
      </c>
      <c r="K85" s="35">
        <f t="shared" si="26"/>
        <v>0</v>
      </c>
      <c r="L85" s="36">
        <f t="shared" si="27"/>
        <v>0</v>
      </c>
      <c r="M85" s="37">
        <f t="shared" si="2"/>
        <v>0</v>
      </c>
      <c r="N85" s="33">
        <f t="shared" si="28"/>
        <v>0</v>
      </c>
      <c r="O85" s="34">
        <f t="shared" si="29"/>
        <v>0</v>
      </c>
      <c r="P85" s="49">
        <f t="shared" si="3"/>
        <v>0</v>
      </c>
      <c r="Q85" s="38">
        <f t="shared" si="30"/>
        <v>0</v>
      </c>
      <c r="R85" s="34">
        <f t="shared" si="31"/>
        <v>0</v>
      </c>
      <c r="S85" s="50">
        <f t="shared" si="5"/>
        <v>0</v>
      </c>
      <c r="T85" s="38">
        <f t="shared" si="32"/>
        <v>0</v>
      </c>
      <c r="U85" s="36">
        <f t="shared" si="33"/>
        <v>0</v>
      </c>
      <c r="V85" s="28"/>
      <c r="X85" s="12"/>
      <c r="Y85" s="14"/>
      <c r="Z85" s="14"/>
    </row>
    <row r="86" spans="2:26" ht="30.75" hidden="1" thickBot="1">
      <c r="B86" s="24"/>
      <c r="C86" s="42"/>
      <c r="D86" s="31">
        <f t="shared" si="7"/>
        <v>0</v>
      </c>
      <c r="E86" s="31">
        <f t="shared" si="8"/>
        <v>0</v>
      </c>
      <c r="F86" s="32">
        <f t="shared" si="9"/>
        <v>0</v>
      </c>
      <c r="G86" s="31">
        <f t="shared" si="0"/>
        <v>0</v>
      </c>
      <c r="H86" s="33">
        <f t="shared" si="10"/>
        <v>0</v>
      </c>
      <c r="I86" s="34">
        <f t="shared" si="11"/>
        <v>0</v>
      </c>
      <c r="J86" s="47">
        <f t="shared" si="1"/>
        <v>0</v>
      </c>
      <c r="K86" s="35">
        <f t="shared" si="12"/>
        <v>0</v>
      </c>
      <c r="L86" s="36">
        <f t="shared" si="13"/>
        <v>0</v>
      </c>
      <c r="M86" s="37">
        <f t="shared" si="2"/>
        <v>0</v>
      </c>
      <c r="N86" s="33">
        <f t="shared" si="14"/>
        <v>0</v>
      </c>
      <c r="O86" s="34">
        <f t="shared" si="15"/>
        <v>0</v>
      </c>
      <c r="P86" s="44">
        <f t="shared" si="3"/>
        <v>0</v>
      </c>
      <c r="Q86" s="38">
        <f t="shared" si="4"/>
        <v>0</v>
      </c>
      <c r="R86" s="34">
        <f t="shared" si="16"/>
        <v>0</v>
      </c>
      <c r="S86" s="43">
        <f t="shared" si="5"/>
        <v>0</v>
      </c>
      <c r="T86" s="38">
        <f t="shared" si="6"/>
        <v>0</v>
      </c>
      <c r="U86" s="36">
        <f>ROUNDUP(T86,0)</f>
        <v>0</v>
      </c>
      <c r="V86" s="28"/>
      <c r="X86" s="12"/>
      <c r="Y86" s="14"/>
      <c r="Z86" s="14"/>
    </row>
    <row r="87" spans="2:26" ht="30.75" hidden="1" thickBot="1">
      <c r="B87" s="17"/>
      <c r="C87" s="39"/>
      <c r="D87" s="51">
        <f t="shared" si="7"/>
        <v>0</v>
      </c>
      <c r="E87" s="31">
        <f t="shared" si="8"/>
        <v>0</v>
      </c>
      <c r="F87" s="32">
        <f t="shared" si="9"/>
        <v>0</v>
      </c>
      <c r="G87" s="51">
        <f t="shared" si="0"/>
        <v>0</v>
      </c>
      <c r="H87" s="33">
        <f t="shared" si="10"/>
        <v>0</v>
      </c>
      <c r="I87" s="34">
        <f t="shared" si="11"/>
        <v>0</v>
      </c>
      <c r="J87" s="48">
        <f t="shared" si="1"/>
        <v>0</v>
      </c>
      <c r="K87" s="35">
        <f t="shared" si="12"/>
        <v>0</v>
      </c>
      <c r="L87" s="36">
        <f t="shared" si="13"/>
        <v>0</v>
      </c>
      <c r="M87" s="52">
        <f t="shared" si="2"/>
        <v>0</v>
      </c>
      <c r="N87" s="33">
        <f t="shared" si="14"/>
        <v>0</v>
      </c>
      <c r="O87" s="34">
        <f t="shared" si="15"/>
        <v>0</v>
      </c>
      <c r="P87" s="49">
        <f t="shared" si="3"/>
        <v>0</v>
      </c>
      <c r="Q87" s="38">
        <f t="shared" si="4"/>
        <v>0</v>
      </c>
      <c r="R87" s="34">
        <f t="shared" si="16"/>
        <v>0</v>
      </c>
      <c r="S87" s="50">
        <f t="shared" si="5"/>
        <v>0</v>
      </c>
      <c r="T87" s="38">
        <f t="shared" si="6"/>
        <v>0</v>
      </c>
      <c r="U87" s="36">
        <f t="shared" si="17"/>
        <v>0</v>
      </c>
      <c r="V87" s="28"/>
    </row>
    <row r="88" spans="2:26" ht="30.75" hidden="1" thickBot="1">
      <c r="B88" s="15"/>
      <c r="C88" s="42"/>
      <c r="D88" s="53">
        <f t="shared" si="7"/>
        <v>0</v>
      </c>
      <c r="E88" s="31">
        <f t="shared" si="8"/>
        <v>0</v>
      </c>
      <c r="F88" s="32">
        <f t="shared" si="9"/>
        <v>0</v>
      </c>
      <c r="G88" s="54">
        <f t="shared" si="0"/>
        <v>0</v>
      </c>
      <c r="H88" s="33">
        <f t="shared" si="10"/>
        <v>0</v>
      </c>
      <c r="I88" s="34">
        <f t="shared" si="11"/>
        <v>0</v>
      </c>
      <c r="J88" s="48">
        <f t="shared" si="1"/>
        <v>0</v>
      </c>
      <c r="K88" s="35">
        <f t="shared" si="12"/>
        <v>0</v>
      </c>
      <c r="L88" s="55">
        <f t="shared" si="13"/>
        <v>0</v>
      </c>
      <c r="M88" s="54">
        <f t="shared" si="2"/>
        <v>0</v>
      </c>
      <c r="N88" s="33">
        <f t="shared" si="14"/>
        <v>0</v>
      </c>
      <c r="O88" s="34">
        <f t="shared" si="15"/>
        <v>0</v>
      </c>
      <c r="P88" s="44">
        <f t="shared" si="3"/>
        <v>0</v>
      </c>
      <c r="Q88" s="38">
        <f t="shared" si="4"/>
        <v>0</v>
      </c>
      <c r="R88" s="34">
        <f t="shared" si="16"/>
        <v>0</v>
      </c>
      <c r="S88" s="43">
        <f t="shared" si="5"/>
        <v>0</v>
      </c>
      <c r="T88" s="38">
        <f t="shared" si="6"/>
        <v>0</v>
      </c>
      <c r="U88" s="36">
        <f t="shared" si="17"/>
        <v>0</v>
      </c>
      <c r="V88" s="28"/>
    </row>
    <row r="89" spans="2:26" ht="30.75" hidden="1" thickBot="1">
      <c r="B89" s="18"/>
      <c r="C89" s="42"/>
      <c r="D89" s="53">
        <f t="shared" si="7"/>
        <v>0</v>
      </c>
      <c r="E89" s="31">
        <f t="shared" si="8"/>
        <v>0</v>
      </c>
      <c r="F89" s="32">
        <f t="shared" si="9"/>
        <v>0</v>
      </c>
      <c r="G89" s="54">
        <f t="shared" si="0"/>
        <v>0</v>
      </c>
      <c r="H89" s="33">
        <f t="shared" si="10"/>
        <v>0</v>
      </c>
      <c r="I89" s="34">
        <f t="shared" si="11"/>
        <v>0</v>
      </c>
      <c r="J89" s="48">
        <f t="shared" si="1"/>
        <v>0</v>
      </c>
      <c r="K89" s="35">
        <f t="shared" si="12"/>
        <v>0</v>
      </c>
      <c r="L89" s="36">
        <f t="shared" si="13"/>
        <v>0</v>
      </c>
      <c r="M89" s="54">
        <f t="shared" si="2"/>
        <v>0</v>
      </c>
      <c r="N89" s="33">
        <f t="shared" si="14"/>
        <v>0</v>
      </c>
      <c r="O89" s="34">
        <f t="shared" si="15"/>
        <v>0</v>
      </c>
      <c r="P89" s="44">
        <f t="shared" si="3"/>
        <v>0</v>
      </c>
      <c r="Q89" s="38">
        <f t="shared" si="4"/>
        <v>0</v>
      </c>
      <c r="R89" s="34">
        <f t="shared" si="16"/>
        <v>0</v>
      </c>
      <c r="S89" s="43">
        <f t="shared" si="5"/>
        <v>0</v>
      </c>
      <c r="T89" s="38">
        <f t="shared" si="6"/>
        <v>0</v>
      </c>
      <c r="U89" s="36">
        <f t="shared" si="17"/>
        <v>0</v>
      </c>
      <c r="V89" s="28"/>
    </row>
    <row r="90" spans="2:26" ht="30.75" hidden="1" thickBot="1">
      <c r="B90" s="19"/>
      <c r="C90" s="42"/>
      <c r="D90" s="53">
        <f t="shared" si="7"/>
        <v>0</v>
      </c>
      <c r="E90" s="56">
        <f t="shared" si="8"/>
        <v>0</v>
      </c>
      <c r="F90" s="32">
        <f t="shared" si="9"/>
        <v>0</v>
      </c>
      <c r="G90" s="54">
        <f t="shared" si="0"/>
        <v>0</v>
      </c>
      <c r="H90" s="33">
        <f t="shared" si="10"/>
        <v>0</v>
      </c>
      <c r="I90" s="34">
        <f t="shared" si="11"/>
        <v>0</v>
      </c>
      <c r="J90" s="48">
        <f t="shared" si="1"/>
        <v>0</v>
      </c>
      <c r="K90" s="35">
        <f t="shared" si="12"/>
        <v>0</v>
      </c>
      <c r="L90" s="57">
        <f t="shared" si="13"/>
        <v>0</v>
      </c>
      <c r="M90" s="54">
        <f t="shared" si="2"/>
        <v>0</v>
      </c>
      <c r="N90" s="33">
        <f t="shared" si="14"/>
        <v>0</v>
      </c>
      <c r="O90" s="34">
        <f t="shared" si="15"/>
        <v>0</v>
      </c>
      <c r="P90" s="44">
        <f t="shared" si="3"/>
        <v>0</v>
      </c>
      <c r="Q90" s="38">
        <f t="shared" si="4"/>
        <v>0</v>
      </c>
      <c r="R90" s="34">
        <f t="shared" si="16"/>
        <v>0</v>
      </c>
      <c r="S90" s="43">
        <f t="shared" si="5"/>
        <v>0</v>
      </c>
      <c r="T90" s="38">
        <f t="shared" si="6"/>
        <v>0</v>
      </c>
      <c r="U90" s="36">
        <f t="shared" si="17"/>
        <v>0</v>
      </c>
      <c r="V90" s="28"/>
    </row>
    <row r="91" spans="2:26" ht="33.75" thickBot="1">
      <c r="B91" s="30" t="s">
        <v>19</v>
      </c>
      <c r="C91" s="118">
        <f>SUM(C4:C90)</f>
        <v>0</v>
      </c>
      <c r="D91" s="116">
        <f t="shared" ref="D91:P91" si="59">SUM(D3:D90)</f>
        <v>0</v>
      </c>
      <c r="E91" s="117"/>
      <c r="F91" s="118">
        <f>SUM(F4:F90)</f>
        <v>0</v>
      </c>
      <c r="G91" s="117">
        <f t="shared" si="59"/>
        <v>0</v>
      </c>
      <c r="H91" s="117"/>
      <c r="I91" s="119">
        <f>SUM(I4:I90)</f>
        <v>0</v>
      </c>
      <c r="J91" s="120">
        <f t="shared" si="59"/>
        <v>0</v>
      </c>
      <c r="K91" s="121"/>
      <c r="L91" s="122">
        <f>SUM(L4:L90)</f>
        <v>0</v>
      </c>
      <c r="M91" s="117">
        <f t="shared" si="59"/>
        <v>0</v>
      </c>
      <c r="N91" s="117"/>
      <c r="O91" s="119">
        <f>SUM(O4:O90)</f>
        <v>0</v>
      </c>
      <c r="P91" s="123">
        <f t="shared" si="59"/>
        <v>0</v>
      </c>
      <c r="Q91" s="124"/>
      <c r="R91" s="118">
        <f>SUM(R4:R90)</f>
        <v>0</v>
      </c>
      <c r="S91" s="125">
        <f>SUM(S6:S90)</f>
        <v>0</v>
      </c>
      <c r="T91" s="125"/>
      <c r="U91" s="126">
        <f>SUM(U4:U90)</f>
        <v>0</v>
      </c>
      <c r="V91" s="28"/>
    </row>
    <row r="92" spans="2:26" ht="33.75" customHeight="1" thickBot="1">
      <c r="B92" s="30" t="s">
        <v>20</v>
      </c>
      <c r="C92" s="115"/>
      <c r="D92" s="116">
        <f>MAX(計量表!C$10:C$92)</f>
        <v>0</v>
      </c>
      <c r="E92" s="117"/>
      <c r="F92" s="118">
        <v>2</v>
      </c>
      <c r="G92" s="116">
        <f>MAX(計量表!L$10:L$92)</f>
        <v>0</v>
      </c>
      <c r="H92" s="117"/>
      <c r="I92" s="127">
        <v>2</v>
      </c>
      <c r="J92" s="120">
        <f>MAX(計量表!S$10:S$92)</f>
        <v>0</v>
      </c>
      <c r="K92" s="121"/>
      <c r="L92" s="127">
        <v>2</v>
      </c>
      <c r="M92" s="117">
        <f>MAX(計量表!Z$10:Z$92)</f>
        <v>0</v>
      </c>
      <c r="N92" s="117"/>
      <c r="O92" s="127">
        <v>2</v>
      </c>
      <c r="P92" s="123">
        <f>MAX(計量表!AG$10:AG$92)</f>
        <v>0</v>
      </c>
      <c r="Q92" s="124"/>
      <c r="R92" s="127">
        <v>2</v>
      </c>
      <c r="S92" s="125">
        <f>MAX(計量表!AN$10:AN$92)</f>
        <v>0</v>
      </c>
      <c r="T92" s="125"/>
      <c r="U92" s="133">
        <v>2</v>
      </c>
      <c r="V92" s="28"/>
    </row>
    <row r="93" spans="2:26" ht="33.75" customHeight="1" thickBot="1">
      <c r="B93" s="30" t="s">
        <v>21</v>
      </c>
      <c r="C93" s="115"/>
      <c r="D93" s="116">
        <f>SUM(D4:D91)</f>
        <v>0</v>
      </c>
      <c r="E93" s="117"/>
      <c r="F93" s="118">
        <v>5</v>
      </c>
      <c r="G93" s="117">
        <f>SUM(G4:G91)</f>
        <v>0</v>
      </c>
      <c r="H93" s="117"/>
      <c r="I93" s="119">
        <v>5</v>
      </c>
      <c r="J93" s="120">
        <f>SUM(J4:J91)</f>
        <v>0</v>
      </c>
      <c r="K93" s="121"/>
      <c r="L93" s="122">
        <v>5</v>
      </c>
      <c r="M93" s="117">
        <f>SUM(M4:M91)</f>
        <v>0</v>
      </c>
      <c r="N93" s="117"/>
      <c r="O93" s="119">
        <v>5</v>
      </c>
      <c r="P93" s="123">
        <f>SUM(P4:P91)</f>
        <v>0</v>
      </c>
      <c r="Q93" s="124"/>
      <c r="R93" s="118">
        <v>5</v>
      </c>
      <c r="S93" s="125">
        <f>SUM(S7:S91)</f>
        <v>0</v>
      </c>
      <c r="T93" s="125"/>
      <c r="U93" s="126">
        <v>5</v>
      </c>
      <c r="V93" s="28"/>
    </row>
    <row r="94" spans="2:26" ht="33.75" thickBot="1">
      <c r="B94" s="30" t="s">
        <v>35</v>
      </c>
      <c r="C94" s="115"/>
      <c r="D94" s="232" t="s">
        <v>23</v>
      </c>
      <c r="E94" s="117"/>
      <c r="F94" s="127">
        <v>0</v>
      </c>
      <c r="G94" s="232" t="s">
        <v>23</v>
      </c>
      <c r="H94" s="117"/>
      <c r="I94" s="127">
        <v>0</v>
      </c>
      <c r="J94" s="120" t="s">
        <v>22</v>
      </c>
      <c r="K94" s="121"/>
      <c r="L94" s="127">
        <v>0</v>
      </c>
      <c r="M94" s="117" t="s">
        <v>22</v>
      </c>
      <c r="N94" s="117"/>
      <c r="O94" s="127">
        <v>0</v>
      </c>
      <c r="P94" s="123" t="s">
        <v>22</v>
      </c>
      <c r="Q94" s="124"/>
      <c r="R94" s="127">
        <v>0</v>
      </c>
      <c r="S94" s="125" t="s">
        <v>22</v>
      </c>
      <c r="T94" s="125"/>
      <c r="U94" s="126">
        <v>0</v>
      </c>
      <c r="V94" s="28"/>
    </row>
    <row r="95" spans="2:26" ht="33.75" thickBot="1">
      <c r="B95" s="30" t="s">
        <v>25</v>
      </c>
      <c r="C95" s="115"/>
      <c r="D95" s="116">
        <v>1</v>
      </c>
      <c r="E95" s="117"/>
      <c r="F95" s="127" t="s">
        <v>23</v>
      </c>
      <c r="G95" s="117"/>
      <c r="H95" s="117"/>
      <c r="I95" s="127" t="s">
        <v>23</v>
      </c>
      <c r="J95" s="120"/>
      <c r="K95" s="121"/>
      <c r="L95" s="127" t="s">
        <v>23</v>
      </c>
      <c r="M95" s="117"/>
      <c r="N95" s="117"/>
      <c r="O95" s="127" t="s">
        <v>23</v>
      </c>
      <c r="P95" s="123"/>
      <c r="Q95" s="124"/>
      <c r="R95" s="127" t="s">
        <v>23</v>
      </c>
      <c r="S95" s="125"/>
      <c r="T95" s="125"/>
      <c r="U95" s="126" t="s">
        <v>22</v>
      </c>
      <c r="V95" s="28"/>
    </row>
    <row r="96" spans="2:26" ht="33.75" thickBot="1">
      <c r="B96" s="30" t="s">
        <v>26</v>
      </c>
      <c r="C96" s="115"/>
      <c r="D96" s="116">
        <v>1</v>
      </c>
      <c r="E96" s="117"/>
      <c r="F96" s="127" t="s">
        <v>23</v>
      </c>
      <c r="G96" s="117"/>
      <c r="H96" s="117"/>
      <c r="I96" s="127" t="s">
        <v>23</v>
      </c>
      <c r="J96" s="120"/>
      <c r="K96" s="121"/>
      <c r="L96" s="127" t="s">
        <v>23</v>
      </c>
      <c r="M96" s="117"/>
      <c r="N96" s="117"/>
      <c r="O96" s="127" t="s">
        <v>23</v>
      </c>
      <c r="P96" s="123"/>
      <c r="Q96" s="124"/>
      <c r="R96" s="127" t="s">
        <v>23</v>
      </c>
      <c r="S96" s="125"/>
      <c r="T96" s="125"/>
      <c r="U96" s="126" t="s">
        <v>22</v>
      </c>
      <c r="V96" s="28"/>
    </row>
    <row r="97" spans="2:22" ht="33.75" thickBot="1">
      <c r="B97" s="30" t="s">
        <v>27</v>
      </c>
      <c r="C97" s="115"/>
      <c r="D97" s="116">
        <v>1</v>
      </c>
      <c r="E97" s="117"/>
      <c r="F97" s="127" t="s">
        <v>23</v>
      </c>
      <c r="G97" s="117"/>
      <c r="H97" s="117"/>
      <c r="I97" s="127" t="s">
        <v>23</v>
      </c>
      <c r="J97" s="120"/>
      <c r="K97" s="121"/>
      <c r="L97" s="127" t="s">
        <v>23</v>
      </c>
      <c r="M97" s="117"/>
      <c r="N97" s="117"/>
      <c r="O97" s="127" t="s">
        <v>23</v>
      </c>
      <c r="P97" s="123"/>
      <c r="Q97" s="124"/>
      <c r="R97" s="127" t="s">
        <v>23</v>
      </c>
      <c r="S97" s="125"/>
      <c r="T97" s="125"/>
      <c r="U97" s="126" t="s">
        <v>22</v>
      </c>
      <c r="V97" s="28"/>
    </row>
    <row r="98" spans="2:22" ht="33.75" thickBot="1">
      <c r="B98" s="30" t="s">
        <v>24</v>
      </c>
      <c r="C98" s="115"/>
      <c r="D98" s="116">
        <f>D91+SUM(D95:E97)+D92*F92+D93*F93</f>
        <v>3</v>
      </c>
      <c r="E98" s="117"/>
      <c r="F98" s="127" t="s">
        <v>23</v>
      </c>
      <c r="G98" s="117">
        <f>G91+SUM(G95:H97)+G92*I92+G93*I93</f>
        <v>0</v>
      </c>
      <c r="H98" s="117"/>
      <c r="I98" s="127" t="s">
        <v>23</v>
      </c>
      <c r="J98" s="120">
        <f>J91+SUM(J95:K97)+J92*L92+J93*L93</f>
        <v>0</v>
      </c>
      <c r="K98" s="121"/>
      <c r="L98" s="127" t="s">
        <v>23</v>
      </c>
      <c r="M98" s="117">
        <f>M91+SUM(M95:N97)+M92*O92+M93*O93</f>
        <v>0</v>
      </c>
      <c r="N98" s="117"/>
      <c r="O98" s="127" t="s">
        <v>23</v>
      </c>
      <c r="P98" s="123">
        <f>P91+SUM(P95:Q97)+P92*R92+P93*R93</f>
        <v>0</v>
      </c>
      <c r="Q98" s="124"/>
      <c r="R98" s="127" t="s">
        <v>23</v>
      </c>
      <c r="S98" s="125">
        <f>S91+SUM(S95:T97)+S92*U92+S93*U93</f>
        <v>0</v>
      </c>
      <c r="T98" s="125"/>
      <c r="U98" s="126" t="s">
        <v>22</v>
      </c>
      <c r="V98" s="28"/>
    </row>
  </sheetData>
  <mergeCells count="2">
    <mergeCell ref="AA24:AA25"/>
    <mergeCell ref="AA27:AA28"/>
  </mergeCells>
  <phoneticPr fontId="1"/>
  <pageMargins left="0.23622047244094491" right="0.23622047244094491" top="0.74803149606299213" bottom="0.74803149606299213" header="0.31496062992125984" footer="0.31496062992125984"/>
  <pageSetup paperSize="8" scale="56" fitToHeight="0" orientation="portrait" r:id="rId1"/>
  <rowBreaks count="1" manualBreakCount="1">
    <brk id="99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7160-BB8C-4695-A763-5F3A376B576A}">
  <sheetPr>
    <pageSetUpPr fitToPage="1"/>
  </sheetPr>
  <dimension ref="A1:AK102"/>
  <sheetViews>
    <sheetView view="pageBreakPreview" zoomScale="60" zoomScaleNormal="70" workbookViewId="0"/>
  </sheetViews>
  <sheetFormatPr defaultRowHeight="18.75"/>
  <cols>
    <col min="1" max="1" width="9" customWidth="1"/>
    <col min="2" max="2" width="52.375" hidden="1" customWidth="1"/>
    <col min="3" max="3" width="12" hidden="1" customWidth="1"/>
    <col min="4" max="4" width="15.625" style="1" hidden="1" customWidth="1"/>
    <col min="5" max="5" width="9" style="1" hidden="1" customWidth="1"/>
    <col min="6" max="6" width="9.5" style="21" hidden="1" customWidth="1"/>
    <col min="7" max="7" width="15.625" style="1" hidden="1" customWidth="1"/>
    <col min="8" max="8" width="9" style="1" hidden="1" customWidth="1"/>
    <col min="9" max="9" width="9.5" style="21" hidden="1" customWidth="1"/>
    <col min="10" max="10" width="15.625" style="1" hidden="1" customWidth="1"/>
    <col min="11" max="11" width="9" style="1" hidden="1" customWidth="1"/>
    <col min="12" max="12" width="9.5" style="21" hidden="1" customWidth="1"/>
    <col min="13" max="13" width="15.625" style="1" hidden="1" customWidth="1"/>
    <col min="14" max="14" width="9" style="1" hidden="1" customWidth="1"/>
    <col min="15" max="15" width="9.5" style="21" hidden="1" customWidth="1"/>
    <col min="16" max="16" width="15.625" style="1" hidden="1" customWidth="1"/>
    <col min="17" max="17" width="9" style="1" hidden="1" customWidth="1"/>
    <col min="18" max="18" width="9.5" style="21" hidden="1" customWidth="1"/>
    <col min="19" max="19" width="15.625" style="1" hidden="1" customWidth="1"/>
    <col min="20" max="20" width="9" style="1" hidden="1" customWidth="1"/>
    <col min="21" max="21" width="9.5" style="21" hidden="1" customWidth="1"/>
    <col min="22" max="22" width="9" hidden="1" customWidth="1"/>
    <col min="23" max="23" width="60.625" customWidth="1"/>
    <col min="24" max="24" width="34.125" style="2" bestFit="1" customWidth="1"/>
    <col min="25" max="31" width="34.125" style="2" hidden="1" customWidth="1"/>
    <col min="32" max="33" width="40.625" style="3" customWidth="1"/>
    <col min="34" max="34" width="9" customWidth="1"/>
    <col min="35" max="35" width="10.5" bestFit="1" customWidth="1"/>
  </cols>
  <sheetData>
    <row r="1" spans="1:37" ht="42.75" thickBot="1">
      <c r="B1" s="29" t="s">
        <v>16</v>
      </c>
      <c r="W1" s="29" t="s">
        <v>16</v>
      </c>
      <c r="Y1" s="241">
        <f>MAX(計量表!C10:C91)</f>
        <v>0</v>
      </c>
    </row>
    <row r="2" spans="1:37" ht="24.75" hidden="1" thickBot="1">
      <c r="A2" s="6"/>
      <c r="B2" s="7" t="s">
        <v>16</v>
      </c>
      <c r="C2" s="6"/>
      <c r="D2" s="8"/>
      <c r="E2" s="8">
        <v>1000</v>
      </c>
      <c r="F2" s="20"/>
      <c r="G2" s="8"/>
      <c r="H2" s="8">
        <v>1000</v>
      </c>
      <c r="I2" s="20"/>
      <c r="J2" s="8"/>
      <c r="K2" s="8">
        <v>1000</v>
      </c>
      <c r="L2" s="20"/>
      <c r="M2" s="8"/>
      <c r="N2" s="8">
        <v>1000</v>
      </c>
      <c r="O2" s="20"/>
      <c r="P2" s="8"/>
      <c r="Q2" s="8">
        <v>1000</v>
      </c>
      <c r="R2" s="20"/>
      <c r="S2" s="8"/>
      <c r="T2" s="8">
        <v>1000</v>
      </c>
      <c r="U2" s="20"/>
      <c r="V2" s="6"/>
      <c r="W2" s="6"/>
      <c r="X2" s="9"/>
      <c r="Y2" s="9"/>
      <c r="Z2" s="9"/>
      <c r="AA2" s="9"/>
      <c r="AB2" s="9"/>
      <c r="AC2" s="9"/>
      <c r="AD2" s="9"/>
      <c r="AE2" s="9"/>
      <c r="AF2" s="10"/>
      <c r="AG2" s="10"/>
    </row>
    <row r="3" spans="1:37" ht="24.95" customHeight="1" thickBot="1">
      <c r="A3" s="6"/>
      <c r="B3" s="16"/>
      <c r="C3" s="58" t="s">
        <v>3</v>
      </c>
      <c r="D3" s="59" t="s">
        <v>2</v>
      </c>
      <c r="E3" s="60"/>
      <c r="F3" s="61" t="s">
        <v>17</v>
      </c>
      <c r="G3" s="62" t="s">
        <v>13</v>
      </c>
      <c r="H3" s="60"/>
      <c r="I3" s="61" t="s">
        <v>17</v>
      </c>
      <c r="J3" s="63" t="s">
        <v>14</v>
      </c>
      <c r="K3" s="64"/>
      <c r="L3" s="65" t="s">
        <v>17</v>
      </c>
      <c r="M3" s="66" t="s">
        <v>15</v>
      </c>
      <c r="N3" s="60"/>
      <c r="O3" s="61" t="s">
        <v>17</v>
      </c>
      <c r="P3" s="67" t="s">
        <v>12</v>
      </c>
      <c r="Q3" s="68"/>
      <c r="R3" s="61" t="s">
        <v>17</v>
      </c>
      <c r="S3" s="69" t="s">
        <v>4</v>
      </c>
      <c r="T3" s="68"/>
      <c r="U3" s="65" t="s">
        <v>17</v>
      </c>
      <c r="V3" s="27"/>
      <c r="Y3" s="241">
        <f>INDEX(計量表!B10:B91, MATCH(材料配分!Y1, 計量表!C10:C91, 0))</f>
        <v>0</v>
      </c>
    </row>
    <row r="4" spans="1:37" ht="24.95" customHeight="1" thickTop="1">
      <c r="A4" s="6"/>
      <c r="B4" s="84"/>
      <c r="C4" s="129"/>
      <c r="D4" s="86">
        <f>D$2*$C4</f>
        <v>0</v>
      </c>
      <c r="E4" s="86">
        <f>D4/E$2</f>
        <v>0</v>
      </c>
      <c r="F4" s="87">
        <f>ROUNDUP(E4,0)</f>
        <v>0</v>
      </c>
      <c r="G4" s="86">
        <f t="shared" ref="G4:G95" si="0">G$2*$C4</f>
        <v>0</v>
      </c>
      <c r="H4" s="88">
        <f>G4/H$2</f>
        <v>0</v>
      </c>
      <c r="I4" s="89">
        <f>ROUNDUP(H4,0)</f>
        <v>0</v>
      </c>
      <c r="J4" s="90">
        <f t="shared" ref="J4:J95" si="1">J$2*$C4</f>
        <v>0</v>
      </c>
      <c r="K4" s="91">
        <f>J4/K$2</f>
        <v>0</v>
      </c>
      <c r="L4" s="92">
        <f>ROUNDUP(K4,0)</f>
        <v>0</v>
      </c>
      <c r="M4" s="93">
        <f t="shared" ref="M4:M95" si="2">M$2*$C4</f>
        <v>0</v>
      </c>
      <c r="N4" s="88">
        <f>M4/N$2</f>
        <v>0</v>
      </c>
      <c r="O4" s="89">
        <f>ROUNDUP(N4,0)</f>
        <v>0</v>
      </c>
      <c r="P4" s="94">
        <f t="shared" ref="P4:P95" si="3">P$2*$C4</f>
        <v>0</v>
      </c>
      <c r="Q4" s="95">
        <f t="shared" ref="Q4:Q95" si="4">P4/Q$2</f>
        <v>0</v>
      </c>
      <c r="R4" s="89">
        <f>ROUNDUP(Q4,0)</f>
        <v>0</v>
      </c>
      <c r="S4" s="95">
        <f t="shared" ref="S4:S95" si="5">S$2*$C4</f>
        <v>0</v>
      </c>
      <c r="T4" s="95">
        <f t="shared" ref="T4:T95" si="6">S4/T$2</f>
        <v>0</v>
      </c>
      <c r="U4" s="92">
        <f>ROUNDUP(T4,0)</f>
        <v>0</v>
      </c>
      <c r="V4" s="27"/>
      <c r="Y4" s="241">
        <f>INDEX(計量表!I10:I91, MATCH(材料配分!Y1, 計量表!C10:C91, 0))</f>
        <v>0</v>
      </c>
    </row>
    <row r="5" spans="1:37" ht="35.1" customHeight="1">
      <c r="A5" s="6"/>
      <c r="B5" s="96"/>
      <c r="C5" s="85"/>
      <c r="D5" s="86">
        <f t="shared" ref="D5:D95" si="7">D$2*$C5</f>
        <v>0</v>
      </c>
      <c r="E5" s="86">
        <f t="shared" ref="E5:E95" si="8">D5/E$2</f>
        <v>0</v>
      </c>
      <c r="F5" s="87">
        <f t="shared" ref="F5:F95" si="9">ROUNDUP(E5,0)</f>
        <v>0</v>
      </c>
      <c r="G5" s="86">
        <f t="shared" si="0"/>
        <v>0</v>
      </c>
      <c r="H5" s="88">
        <f t="shared" ref="H5:H95" si="10">G5/H$2</f>
        <v>0</v>
      </c>
      <c r="I5" s="89">
        <f t="shared" ref="I5:I95" si="11">ROUNDUP(H5,0)</f>
        <v>0</v>
      </c>
      <c r="J5" s="90">
        <f t="shared" si="1"/>
        <v>0</v>
      </c>
      <c r="K5" s="91">
        <f t="shared" ref="K5:K95" si="12">J5/K$2</f>
        <v>0</v>
      </c>
      <c r="L5" s="92">
        <f t="shared" ref="L5:L95" si="13">ROUNDUP(K5,0)</f>
        <v>0</v>
      </c>
      <c r="M5" s="93">
        <f t="shared" si="2"/>
        <v>0</v>
      </c>
      <c r="N5" s="88">
        <f t="shared" ref="N5:N95" si="14">M5/N$2</f>
        <v>0</v>
      </c>
      <c r="O5" s="89">
        <f t="shared" ref="O5:O95" si="15">ROUNDUP(N5,0)</f>
        <v>0</v>
      </c>
      <c r="P5" s="94">
        <f t="shared" si="3"/>
        <v>0</v>
      </c>
      <c r="Q5" s="95">
        <f t="shared" si="4"/>
        <v>0</v>
      </c>
      <c r="R5" s="89">
        <f t="shared" ref="R5:R95" si="16">ROUNDUP(Q5,0)</f>
        <v>0</v>
      </c>
      <c r="S5" s="95">
        <f t="shared" si="5"/>
        <v>0</v>
      </c>
      <c r="T5" s="95">
        <f t="shared" si="6"/>
        <v>0</v>
      </c>
      <c r="U5" s="92">
        <f t="shared" ref="U5:U95" si="17">ROUNDUP(T5,0)</f>
        <v>0</v>
      </c>
      <c r="V5" s="27"/>
      <c r="W5" s="184"/>
      <c r="X5" s="185"/>
      <c r="Y5" s="242" t="e">
        <f>Y3*3/Y4</f>
        <v>#DIV/0!</v>
      </c>
      <c r="Z5" s="185"/>
      <c r="AA5" s="185"/>
      <c r="AB5" s="185"/>
      <c r="AC5" s="185"/>
      <c r="AD5" s="185"/>
      <c r="AE5" s="185"/>
      <c r="AF5" s="192" t="s">
        <v>30</v>
      </c>
      <c r="AG5" s="186">
        <v>1</v>
      </c>
    </row>
    <row r="6" spans="1:37" ht="35.1" customHeight="1" thickBot="1">
      <c r="A6" s="6"/>
      <c r="B6" s="96"/>
      <c r="C6" s="85"/>
      <c r="D6" s="86">
        <f t="shared" si="7"/>
        <v>0</v>
      </c>
      <c r="E6" s="86">
        <f t="shared" si="8"/>
        <v>0</v>
      </c>
      <c r="F6" s="87">
        <f t="shared" si="9"/>
        <v>0</v>
      </c>
      <c r="G6" s="86">
        <f t="shared" si="0"/>
        <v>0</v>
      </c>
      <c r="H6" s="88">
        <f t="shared" si="10"/>
        <v>0</v>
      </c>
      <c r="I6" s="89">
        <f t="shared" si="11"/>
        <v>0</v>
      </c>
      <c r="J6" s="90">
        <f t="shared" si="1"/>
        <v>0</v>
      </c>
      <c r="K6" s="91">
        <f t="shared" si="12"/>
        <v>0</v>
      </c>
      <c r="L6" s="92">
        <f t="shared" si="13"/>
        <v>0</v>
      </c>
      <c r="M6" s="93">
        <f t="shared" si="2"/>
        <v>0</v>
      </c>
      <c r="N6" s="88">
        <f t="shared" si="14"/>
        <v>0</v>
      </c>
      <c r="O6" s="89">
        <f t="shared" si="15"/>
        <v>0</v>
      </c>
      <c r="P6" s="94">
        <f t="shared" si="3"/>
        <v>0</v>
      </c>
      <c r="Q6" s="95">
        <f t="shared" si="4"/>
        <v>0</v>
      </c>
      <c r="R6" s="89">
        <f t="shared" si="16"/>
        <v>0</v>
      </c>
      <c r="S6" s="95">
        <f t="shared" si="5"/>
        <v>0</v>
      </c>
      <c r="T6" s="95">
        <f t="shared" si="6"/>
        <v>0</v>
      </c>
      <c r="U6" s="92">
        <f t="shared" si="17"/>
        <v>0</v>
      </c>
      <c r="V6" s="27"/>
      <c r="W6" s="195" t="s">
        <v>6</v>
      </c>
      <c r="X6" s="194" t="s">
        <v>36</v>
      </c>
      <c r="Y6" s="194" t="s">
        <v>20</v>
      </c>
      <c r="Z6" s="194" t="s">
        <v>38</v>
      </c>
      <c r="AA6" s="194" t="s">
        <v>39</v>
      </c>
      <c r="AB6" s="194" t="s">
        <v>42</v>
      </c>
      <c r="AC6" s="194" t="s">
        <v>37</v>
      </c>
      <c r="AD6" s="194" t="s">
        <v>40</v>
      </c>
      <c r="AE6" s="194" t="s">
        <v>41</v>
      </c>
      <c r="AF6" s="193" t="s">
        <v>28</v>
      </c>
      <c r="AG6" s="193" t="s">
        <v>29</v>
      </c>
      <c r="AH6" s="11"/>
      <c r="AI6" s="11"/>
      <c r="AJ6" s="4"/>
      <c r="AK6" s="4"/>
    </row>
    <row r="7" spans="1:37" ht="35.1" customHeight="1" thickTop="1">
      <c r="A7" s="6"/>
      <c r="B7" s="97"/>
      <c r="C7" s="85"/>
      <c r="D7" s="86">
        <f t="shared" si="7"/>
        <v>0</v>
      </c>
      <c r="E7" s="86">
        <f t="shared" si="8"/>
        <v>0</v>
      </c>
      <c r="F7" s="87">
        <f t="shared" si="9"/>
        <v>0</v>
      </c>
      <c r="G7" s="86">
        <f t="shared" si="0"/>
        <v>0</v>
      </c>
      <c r="H7" s="88">
        <f t="shared" si="10"/>
        <v>0</v>
      </c>
      <c r="I7" s="89">
        <f t="shared" si="11"/>
        <v>0</v>
      </c>
      <c r="J7" s="90">
        <f t="shared" si="1"/>
        <v>0</v>
      </c>
      <c r="K7" s="91">
        <f t="shared" si="12"/>
        <v>0</v>
      </c>
      <c r="L7" s="92">
        <f t="shared" si="13"/>
        <v>0</v>
      </c>
      <c r="M7" s="93">
        <f t="shared" si="2"/>
        <v>0</v>
      </c>
      <c r="N7" s="88">
        <f t="shared" si="14"/>
        <v>0</v>
      </c>
      <c r="O7" s="89">
        <f t="shared" si="15"/>
        <v>0</v>
      </c>
      <c r="P7" s="94">
        <f t="shared" si="3"/>
        <v>0</v>
      </c>
      <c r="Q7" s="95">
        <f t="shared" si="4"/>
        <v>0</v>
      </c>
      <c r="R7" s="89">
        <f t="shared" si="16"/>
        <v>0</v>
      </c>
      <c r="S7" s="95">
        <f t="shared" si="5"/>
        <v>0</v>
      </c>
      <c r="T7" s="95">
        <f t="shared" si="6"/>
        <v>0</v>
      </c>
      <c r="U7" s="92">
        <f t="shared" si="17"/>
        <v>0</v>
      </c>
      <c r="V7" s="27"/>
      <c r="W7" s="196"/>
      <c r="X7" s="239"/>
      <c r="Y7" s="239">
        <f>IF(X7, X7*$Y$5*合数一覧!$F$92, 0)</f>
        <v>0</v>
      </c>
      <c r="Z7" s="239">
        <f>X7*10</f>
        <v>0</v>
      </c>
      <c r="AA7" s="239">
        <f>Z7*5</f>
        <v>0</v>
      </c>
      <c r="AB7" s="239">
        <f>X7*合数一覧!$F$94</f>
        <v>0</v>
      </c>
      <c r="AC7" s="239">
        <f>X7*合数一覧!$C$95</f>
        <v>0</v>
      </c>
      <c r="AD7" s="239">
        <f>X7*合数一覧!$C$96</f>
        <v>0</v>
      </c>
      <c r="AE7" s="239">
        <f>X7*合数一覧!$C$97</f>
        <v>0</v>
      </c>
      <c r="AF7" s="200">
        <f>IF(X7, X7*合数一覧!$C$91*3+SUM(Y7,AA7,AB7,AC7,AD7,AE7), 0)</f>
        <v>0</v>
      </c>
      <c r="AG7" s="200">
        <f>AF7*$AG$5</f>
        <v>0</v>
      </c>
      <c r="AH7" s="11"/>
      <c r="AI7" s="11">
        <f t="shared" ref="AI7:AI21" si="18">IFERROR(X7/$X$22, 0)</f>
        <v>0</v>
      </c>
      <c r="AJ7" s="4"/>
      <c r="AK7" s="4"/>
    </row>
    <row r="8" spans="1:37" ht="35.1" customHeight="1">
      <c r="A8" s="6"/>
      <c r="B8" s="97"/>
      <c r="C8" s="98"/>
      <c r="D8" s="86">
        <f t="shared" si="7"/>
        <v>0</v>
      </c>
      <c r="E8" s="86">
        <f t="shared" si="8"/>
        <v>0</v>
      </c>
      <c r="F8" s="87">
        <f t="shared" si="9"/>
        <v>0</v>
      </c>
      <c r="G8" s="86">
        <f t="shared" si="0"/>
        <v>0</v>
      </c>
      <c r="H8" s="88">
        <f t="shared" si="10"/>
        <v>0</v>
      </c>
      <c r="I8" s="89">
        <f t="shared" si="11"/>
        <v>0</v>
      </c>
      <c r="J8" s="90">
        <f t="shared" si="1"/>
        <v>0</v>
      </c>
      <c r="K8" s="91">
        <f t="shared" si="12"/>
        <v>0</v>
      </c>
      <c r="L8" s="92">
        <f t="shared" si="13"/>
        <v>0</v>
      </c>
      <c r="M8" s="93">
        <f t="shared" si="2"/>
        <v>0</v>
      </c>
      <c r="N8" s="88">
        <f t="shared" si="14"/>
        <v>0</v>
      </c>
      <c r="O8" s="89">
        <f t="shared" si="15"/>
        <v>0</v>
      </c>
      <c r="P8" s="94">
        <f t="shared" si="3"/>
        <v>0</v>
      </c>
      <c r="Q8" s="95">
        <f t="shared" si="4"/>
        <v>0</v>
      </c>
      <c r="R8" s="89">
        <f t="shared" si="16"/>
        <v>0</v>
      </c>
      <c r="S8" s="95">
        <f t="shared" si="5"/>
        <v>0</v>
      </c>
      <c r="T8" s="95">
        <f t="shared" si="6"/>
        <v>0</v>
      </c>
      <c r="U8" s="92">
        <f t="shared" si="17"/>
        <v>0</v>
      </c>
      <c r="V8" s="27"/>
      <c r="W8" s="197"/>
      <c r="X8" s="240"/>
      <c r="Y8" s="240">
        <f>IF(X8, X8*$Y$5*合数一覧!$F$92, 0)</f>
        <v>0</v>
      </c>
      <c r="Z8" s="240">
        <f t="shared" ref="Z8:Z21" si="19">X8*10</f>
        <v>0</v>
      </c>
      <c r="AA8" s="240">
        <f t="shared" ref="AA8:AA21" si="20">Z8*5</f>
        <v>0</v>
      </c>
      <c r="AB8" s="240">
        <f>X8*合数一覧!$F$94</f>
        <v>0</v>
      </c>
      <c r="AC8" s="240">
        <f>X8*合数一覧!$C$95</f>
        <v>0</v>
      </c>
      <c r="AD8" s="240">
        <f>X8*合数一覧!$C$96</f>
        <v>0</v>
      </c>
      <c r="AE8" s="240">
        <f>X8*合数一覧!$C$97</f>
        <v>0</v>
      </c>
      <c r="AF8" s="201">
        <f>IF(X8, X8*合数一覧!$C$91*3+SUM(Y8,AA8,AB8,AC8,AD8,AE8), 0)</f>
        <v>0</v>
      </c>
      <c r="AG8" s="201">
        <f t="shared" ref="AG8:AG22" si="21">AF8*$AG$5</f>
        <v>0</v>
      </c>
      <c r="AH8" s="4"/>
      <c r="AI8" s="11">
        <f t="shared" si="18"/>
        <v>0</v>
      </c>
      <c r="AJ8" s="4"/>
      <c r="AK8" s="4"/>
    </row>
    <row r="9" spans="1:37" ht="35.1" customHeight="1">
      <c r="A9" s="6"/>
      <c r="B9" s="97"/>
      <c r="C9" s="99"/>
      <c r="D9" s="86">
        <f t="shared" si="7"/>
        <v>0</v>
      </c>
      <c r="E9" s="86">
        <f t="shared" si="8"/>
        <v>0</v>
      </c>
      <c r="F9" s="87">
        <f t="shared" si="9"/>
        <v>0</v>
      </c>
      <c r="G9" s="86">
        <f t="shared" si="0"/>
        <v>0</v>
      </c>
      <c r="H9" s="88">
        <f t="shared" si="10"/>
        <v>0</v>
      </c>
      <c r="I9" s="89">
        <f t="shared" si="11"/>
        <v>0</v>
      </c>
      <c r="J9" s="90">
        <f t="shared" si="1"/>
        <v>0</v>
      </c>
      <c r="K9" s="91">
        <f t="shared" si="12"/>
        <v>0</v>
      </c>
      <c r="L9" s="92">
        <f t="shared" si="13"/>
        <v>0</v>
      </c>
      <c r="M9" s="93">
        <f t="shared" si="2"/>
        <v>0</v>
      </c>
      <c r="N9" s="88">
        <f t="shared" si="14"/>
        <v>0</v>
      </c>
      <c r="O9" s="89">
        <f t="shared" si="15"/>
        <v>0</v>
      </c>
      <c r="P9" s="94">
        <f t="shared" si="3"/>
        <v>0</v>
      </c>
      <c r="Q9" s="95">
        <f t="shared" si="4"/>
        <v>0</v>
      </c>
      <c r="R9" s="89">
        <f t="shared" si="16"/>
        <v>0</v>
      </c>
      <c r="S9" s="100">
        <f t="shared" si="5"/>
        <v>0</v>
      </c>
      <c r="T9" s="95">
        <f t="shared" si="6"/>
        <v>0</v>
      </c>
      <c r="U9" s="92">
        <f t="shared" si="17"/>
        <v>0</v>
      </c>
      <c r="V9" s="27"/>
      <c r="W9" s="197"/>
      <c r="X9" s="240"/>
      <c r="Y9" s="240">
        <f>IF(X9, X9*$Y$5*合数一覧!$F$92, 0)</f>
        <v>0</v>
      </c>
      <c r="Z9" s="240">
        <f t="shared" si="19"/>
        <v>0</v>
      </c>
      <c r="AA9" s="240">
        <f t="shared" si="20"/>
        <v>0</v>
      </c>
      <c r="AB9" s="240">
        <f>X9*合数一覧!$F$94</f>
        <v>0</v>
      </c>
      <c r="AC9" s="240">
        <f>X9*合数一覧!$C$95</f>
        <v>0</v>
      </c>
      <c r="AD9" s="240">
        <f>X9*合数一覧!$C$96</f>
        <v>0</v>
      </c>
      <c r="AE9" s="240">
        <f>X9*合数一覧!$C$97</f>
        <v>0</v>
      </c>
      <c r="AF9" s="201">
        <f>IF(X9, X9*合数一覧!$C$91*3+SUM(Y9,AA9,AB9,AC9,AD9,AE9), 0)</f>
        <v>0</v>
      </c>
      <c r="AG9" s="201">
        <f t="shared" si="21"/>
        <v>0</v>
      </c>
      <c r="AH9" s="4"/>
      <c r="AI9" s="4">
        <f t="shared" si="18"/>
        <v>0</v>
      </c>
      <c r="AJ9" s="4"/>
      <c r="AK9" s="4"/>
    </row>
    <row r="10" spans="1:37" ht="35.1" customHeight="1">
      <c r="A10" s="6"/>
      <c r="B10" s="96"/>
      <c r="C10" s="101"/>
      <c r="D10" s="86">
        <f t="shared" si="7"/>
        <v>0</v>
      </c>
      <c r="E10" s="86">
        <f t="shared" si="8"/>
        <v>0</v>
      </c>
      <c r="F10" s="87">
        <f t="shared" si="9"/>
        <v>0</v>
      </c>
      <c r="G10" s="86">
        <f t="shared" si="0"/>
        <v>0</v>
      </c>
      <c r="H10" s="88">
        <f t="shared" si="10"/>
        <v>0</v>
      </c>
      <c r="I10" s="89">
        <f t="shared" si="11"/>
        <v>0</v>
      </c>
      <c r="J10" s="90">
        <f t="shared" si="1"/>
        <v>0</v>
      </c>
      <c r="K10" s="91">
        <f t="shared" si="12"/>
        <v>0</v>
      </c>
      <c r="L10" s="92">
        <f t="shared" si="13"/>
        <v>0</v>
      </c>
      <c r="M10" s="93">
        <f t="shared" si="2"/>
        <v>0</v>
      </c>
      <c r="N10" s="88">
        <f t="shared" si="14"/>
        <v>0</v>
      </c>
      <c r="O10" s="89">
        <f t="shared" si="15"/>
        <v>0</v>
      </c>
      <c r="P10" s="94">
        <f t="shared" si="3"/>
        <v>0</v>
      </c>
      <c r="Q10" s="95">
        <f t="shared" si="4"/>
        <v>0</v>
      </c>
      <c r="R10" s="89">
        <f t="shared" si="16"/>
        <v>0</v>
      </c>
      <c r="S10" s="102">
        <f t="shared" si="5"/>
        <v>0</v>
      </c>
      <c r="T10" s="95">
        <f t="shared" si="6"/>
        <v>0</v>
      </c>
      <c r="U10" s="92">
        <f t="shared" si="17"/>
        <v>0</v>
      </c>
      <c r="V10" s="27"/>
      <c r="W10" s="197"/>
      <c r="X10" s="240"/>
      <c r="Y10" s="240">
        <f>IF(X10, X10*$Y$5*合数一覧!$F$92, 0)</f>
        <v>0</v>
      </c>
      <c r="Z10" s="240">
        <f t="shared" si="19"/>
        <v>0</v>
      </c>
      <c r="AA10" s="240">
        <f t="shared" si="20"/>
        <v>0</v>
      </c>
      <c r="AB10" s="240">
        <f>X10*合数一覧!$F$94</f>
        <v>0</v>
      </c>
      <c r="AC10" s="240">
        <f>X10*合数一覧!$C$95</f>
        <v>0</v>
      </c>
      <c r="AD10" s="240">
        <f>X10*合数一覧!$C$96</f>
        <v>0</v>
      </c>
      <c r="AE10" s="240">
        <f>X10*合数一覧!$C$97</f>
        <v>0</v>
      </c>
      <c r="AF10" s="201">
        <f>IF(X10, X10*合数一覧!$C$91*3+SUM(Y10,AA10,AB10,AC10,AD10,AE10), 0)</f>
        <v>0</v>
      </c>
      <c r="AG10" s="201">
        <f t="shared" si="21"/>
        <v>0</v>
      </c>
      <c r="AH10" s="4"/>
      <c r="AI10" s="4">
        <f t="shared" si="18"/>
        <v>0</v>
      </c>
      <c r="AJ10" s="4"/>
      <c r="AK10" s="4"/>
    </row>
    <row r="11" spans="1:37" ht="35.1" customHeight="1">
      <c r="A11" s="6"/>
      <c r="B11" s="97"/>
      <c r="C11" s="101"/>
      <c r="D11" s="86">
        <f t="shared" si="7"/>
        <v>0</v>
      </c>
      <c r="E11" s="86">
        <f t="shared" si="8"/>
        <v>0</v>
      </c>
      <c r="F11" s="87">
        <f t="shared" si="9"/>
        <v>0</v>
      </c>
      <c r="G11" s="86">
        <f t="shared" si="0"/>
        <v>0</v>
      </c>
      <c r="H11" s="88">
        <f t="shared" si="10"/>
        <v>0</v>
      </c>
      <c r="I11" s="89">
        <f t="shared" si="11"/>
        <v>0</v>
      </c>
      <c r="J11" s="90">
        <f t="shared" si="1"/>
        <v>0</v>
      </c>
      <c r="K11" s="91">
        <f t="shared" si="12"/>
        <v>0</v>
      </c>
      <c r="L11" s="92">
        <f t="shared" si="13"/>
        <v>0</v>
      </c>
      <c r="M11" s="93">
        <f t="shared" si="2"/>
        <v>0</v>
      </c>
      <c r="N11" s="88">
        <f t="shared" si="14"/>
        <v>0</v>
      </c>
      <c r="O11" s="89">
        <f t="shared" si="15"/>
        <v>0</v>
      </c>
      <c r="P11" s="94">
        <f t="shared" si="3"/>
        <v>0</v>
      </c>
      <c r="Q11" s="95">
        <f t="shared" si="4"/>
        <v>0</v>
      </c>
      <c r="R11" s="89">
        <f t="shared" si="16"/>
        <v>0</v>
      </c>
      <c r="S11" s="102">
        <f t="shared" si="5"/>
        <v>0</v>
      </c>
      <c r="T11" s="95">
        <f t="shared" si="6"/>
        <v>0</v>
      </c>
      <c r="U11" s="92">
        <f t="shared" si="17"/>
        <v>0</v>
      </c>
      <c r="V11" s="27"/>
      <c r="W11" s="197"/>
      <c r="X11" s="240"/>
      <c r="Y11" s="240">
        <f>IF(X11, X11*$Y$5*合数一覧!$F$92, 0)</f>
        <v>0</v>
      </c>
      <c r="Z11" s="240">
        <f t="shared" si="19"/>
        <v>0</v>
      </c>
      <c r="AA11" s="240">
        <f t="shared" si="20"/>
        <v>0</v>
      </c>
      <c r="AB11" s="240">
        <f>X11*合数一覧!$F$94</f>
        <v>0</v>
      </c>
      <c r="AC11" s="240">
        <f>X11*合数一覧!$C$95</f>
        <v>0</v>
      </c>
      <c r="AD11" s="240">
        <f>X11*合数一覧!$C$96</f>
        <v>0</v>
      </c>
      <c r="AE11" s="240">
        <f>X11*合数一覧!$C$97</f>
        <v>0</v>
      </c>
      <c r="AF11" s="201">
        <f>IF(X11, X11*合数一覧!$C$91*3+SUM(Y11,AA11,AB11,AC11,AD11,AE11), 0)</f>
        <v>0</v>
      </c>
      <c r="AG11" s="201">
        <f t="shared" si="21"/>
        <v>0</v>
      </c>
      <c r="AH11" s="4"/>
      <c r="AI11" s="132">
        <f t="shared" si="18"/>
        <v>0</v>
      </c>
    </row>
    <row r="12" spans="1:37" ht="35.1" customHeight="1">
      <c r="A12" s="6"/>
      <c r="B12" s="97"/>
      <c r="C12" s="101"/>
      <c r="D12" s="86">
        <f t="shared" si="7"/>
        <v>0</v>
      </c>
      <c r="E12" s="86">
        <f t="shared" si="8"/>
        <v>0</v>
      </c>
      <c r="F12" s="87">
        <f t="shared" si="9"/>
        <v>0</v>
      </c>
      <c r="G12" s="86">
        <f t="shared" si="0"/>
        <v>0</v>
      </c>
      <c r="H12" s="88">
        <f t="shared" si="10"/>
        <v>0</v>
      </c>
      <c r="I12" s="89">
        <f t="shared" si="11"/>
        <v>0</v>
      </c>
      <c r="J12" s="90">
        <f t="shared" si="1"/>
        <v>0</v>
      </c>
      <c r="K12" s="91">
        <f t="shared" si="12"/>
        <v>0</v>
      </c>
      <c r="L12" s="92">
        <f t="shared" si="13"/>
        <v>0</v>
      </c>
      <c r="M12" s="93">
        <f t="shared" si="2"/>
        <v>0</v>
      </c>
      <c r="N12" s="88">
        <f t="shared" si="14"/>
        <v>0</v>
      </c>
      <c r="O12" s="89">
        <f t="shared" si="15"/>
        <v>0</v>
      </c>
      <c r="P12" s="94">
        <f t="shared" si="3"/>
        <v>0</v>
      </c>
      <c r="Q12" s="95">
        <f t="shared" si="4"/>
        <v>0</v>
      </c>
      <c r="R12" s="89">
        <f t="shared" si="16"/>
        <v>0</v>
      </c>
      <c r="S12" s="102">
        <f t="shared" si="5"/>
        <v>0</v>
      </c>
      <c r="T12" s="95">
        <f t="shared" si="6"/>
        <v>0</v>
      </c>
      <c r="U12" s="92">
        <f t="shared" si="17"/>
        <v>0</v>
      </c>
      <c r="V12" s="27"/>
      <c r="W12" s="197"/>
      <c r="X12" s="240"/>
      <c r="Y12" s="240">
        <f>IF(X12, X12*$Y$5*合数一覧!$F$92, 0)</f>
        <v>0</v>
      </c>
      <c r="Z12" s="240">
        <f t="shared" si="19"/>
        <v>0</v>
      </c>
      <c r="AA12" s="240">
        <f t="shared" si="20"/>
        <v>0</v>
      </c>
      <c r="AB12" s="240">
        <f>X12*合数一覧!$F$94</f>
        <v>0</v>
      </c>
      <c r="AC12" s="240">
        <f>X12*合数一覧!$C$95</f>
        <v>0</v>
      </c>
      <c r="AD12" s="240">
        <f>X12*合数一覧!$C$96</f>
        <v>0</v>
      </c>
      <c r="AE12" s="240">
        <f>X12*合数一覧!$C$97</f>
        <v>0</v>
      </c>
      <c r="AF12" s="201">
        <f>IF(X12, X12*合数一覧!$C$91*3+SUM(Y12,AA12,AB12,AC12,AD12,AE12), 0)</f>
        <v>0</v>
      </c>
      <c r="AG12" s="201">
        <f t="shared" si="21"/>
        <v>0</v>
      </c>
      <c r="AH12" s="5"/>
      <c r="AI12" s="132">
        <f t="shared" si="18"/>
        <v>0</v>
      </c>
    </row>
    <row r="13" spans="1:37" ht="35.1" customHeight="1">
      <c r="A13" s="6"/>
      <c r="B13" s="97"/>
      <c r="C13" s="101"/>
      <c r="D13" s="86">
        <f t="shared" si="7"/>
        <v>0</v>
      </c>
      <c r="E13" s="86">
        <f t="shared" si="8"/>
        <v>0</v>
      </c>
      <c r="F13" s="87">
        <f t="shared" si="9"/>
        <v>0</v>
      </c>
      <c r="G13" s="86">
        <f t="shared" si="0"/>
        <v>0</v>
      </c>
      <c r="H13" s="88">
        <f t="shared" si="10"/>
        <v>0</v>
      </c>
      <c r="I13" s="89">
        <f t="shared" si="11"/>
        <v>0</v>
      </c>
      <c r="J13" s="90">
        <f t="shared" si="1"/>
        <v>0</v>
      </c>
      <c r="K13" s="91">
        <f t="shared" si="12"/>
        <v>0</v>
      </c>
      <c r="L13" s="92">
        <f t="shared" si="13"/>
        <v>0</v>
      </c>
      <c r="M13" s="93">
        <f t="shared" si="2"/>
        <v>0</v>
      </c>
      <c r="N13" s="88">
        <f t="shared" si="14"/>
        <v>0</v>
      </c>
      <c r="O13" s="89">
        <f t="shared" si="15"/>
        <v>0</v>
      </c>
      <c r="P13" s="94">
        <f t="shared" si="3"/>
        <v>0</v>
      </c>
      <c r="Q13" s="95">
        <f t="shared" si="4"/>
        <v>0</v>
      </c>
      <c r="R13" s="89">
        <f t="shared" si="16"/>
        <v>0</v>
      </c>
      <c r="S13" s="102">
        <f t="shared" si="5"/>
        <v>0</v>
      </c>
      <c r="T13" s="95">
        <f t="shared" si="6"/>
        <v>0</v>
      </c>
      <c r="U13" s="92">
        <f t="shared" si="17"/>
        <v>0</v>
      </c>
      <c r="V13" s="27"/>
      <c r="W13" s="197"/>
      <c r="X13" s="240"/>
      <c r="Y13" s="240">
        <f>IF(X13, X13*$Y$5*合数一覧!$F$92, 0)</f>
        <v>0</v>
      </c>
      <c r="Z13" s="240">
        <f t="shared" si="19"/>
        <v>0</v>
      </c>
      <c r="AA13" s="240">
        <f t="shared" si="20"/>
        <v>0</v>
      </c>
      <c r="AB13" s="240">
        <f>X13*合数一覧!$F$94</f>
        <v>0</v>
      </c>
      <c r="AC13" s="240">
        <f>X13*合数一覧!$C$95</f>
        <v>0</v>
      </c>
      <c r="AD13" s="240">
        <f>X13*合数一覧!$C$96</f>
        <v>0</v>
      </c>
      <c r="AE13" s="240">
        <f>X13*合数一覧!$C$97</f>
        <v>0</v>
      </c>
      <c r="AF13" s="201">
        <f>IF(X13, X13*合数一覧!$C$91*3+SUM(Y13,AA13,AB13,AC13,AD13,AE13), 0)</f>
        <v>0</v>
      </c>
      <c r="AG13" s="201">
        <f t="shared" si="21"/>
        <v>0</v>
      </c>
      <c r="AH13" s="5"/>
      <c r="AI13" s="132">
        <f t="shared" si="18"/>
        <v>0</v>
      </c>
    </row>
    <row r="14" spans="1:37" ht="35.1" customHeight="1">
      <c r="A14" s="6"/>
      <c r="B14" s="97"/>
      <c r="C14" s="101"/>
      <c r="D14" s="86">
        <f t="shared" si="7"/>
        <v>0</v>
      </c>
      <c r="E14" s="86">
        <f t="shared" si="8"/>
        <v>0</v>
      </c>
      <c r="F14" s="87">
        <f t="shared" si="9"/>
        <v>0</v>
      </c>
      <c r="G14" s="86">
        <f t="shared" si="0"/>
        <v>0</v>
      </c>
      <c r="H14" s="88">
        <f t="shared" si="10"/>
        <v>0</v>
      </c>
      <c r="I14" s="89">
        <f t="shared" si="11"/>
        <v>0</v>
      </c>
      <c r="J14" s="90">
        <f t="shared" si="1"/>
        <v>0</v>
      </c>
      <c r="K14" s="91">
        <f t="shared" si="12"/>
        <v>0</v>
      </c>
      <c r="L14" s="92">
        <f t="shared" si="13"/>
        <v>0</v>
      </c>
      <c r="M14" s="93">
        <f t="shared" si="2"/>
        <v>0</v>
      </c>
      <c r="N14" s="88">
        <f t="shared" si="14"/>
        <v>0</v>
      </c>
      <c r="O14" s="89">
        <f t="shared" si="15"/>
        <v>0</v>
      </c>
      <c r="P14" s="94">
        <f t="shared" si="3"/>
        <v>0</v>
      </c>
      <c r="Q14" s="95">
        <f t="shared" si="4"/>
        <v>0</v>
      </c>
      <c r="R14" s="89">
        <f t="shared" si="16"/>
        <v>0</v>
      </c>
      <c r="S14" s="102">
        <f t="shared" si="5"/>
        <v>0</v>
      </c>
      <c r="T14" s="95">
        <f t="shared" si="6"/>
        <v>0</v>
      </c>
      <c r="U14" s="92">
        <f t="shared" si="17"/>
        <v>0</v>
      </c>
      <c r="V14" s="27"/>
      <c r="W14" s="197"/>
      <c r="X14" s="240"/>
      <c r="Y14" s="240">
        <f>IF(X14, X14*$Y$5*合数一覧!$F$92, 0)</f>
        <v>0</v>
      </c>
      <c r="Z14" s="240">
        <f t="shared" si="19"/>
        <v>0</v>
      </c>
      <c r="AA14" s="240">
        <f t="shared" si="20"/>
        <v>0</v>
      </c>
      <c r="AB14" s="240">
        <f>X14*合数一覧!$F$94</f>
        <v>0</v>
      </c>
      <c r="AC14" s="240">
        <f>X14*合数一覧!$C$95</f>
        <v>0</v>
      </c>
      <c r="AD14" s="240">
        <f>X14*合数一覧!$C$96</f>
        <v>0</v>
      </c>
      <c r="AE14" s="240">
        <f>X14*合数一覧!$C$97</f>
        <v>0</v>
      </c>
      <c r="AF14" s="201">
        <f>IF(X14, X14*合数一覧!$C$91*3+SUM(Y14,AA14,AB14,AC14,AD14,AE14), 0)</f>
        <v>0</v>
      </c>
      <c r="AG14" s="201">
        <f t="shared" si="21"/>
        <v>0</v>
      </c>
      <c r="AI14" s="132">
        <f t="shared" si="18"/>
        <v>0</v>
      </c>
    </row>
    <row r="15" spans="1:37" ht="35.1" customHeight="1">
      <c r="A15" s="6"/>
      <c r="B15" s="97"/>
      <c r="C15" s="101"/>
      <c r="D15" s="86">
        <f t="shared" si="7"/>
        <v>0</v>
      </c>
      <c r="E15" s="86">
        <f t="shared" si="8"/>
        <v>0</v>
      </c>
      <c r="F15" s="87">
        <f t="shared" si="9"/>
        <v>0</v>
      </c>
      <c r="G15" s="86">
        <f t="shared" si="0"/>
        <v>0</v>
      </c>
      <c r="H15" s="88">
        <f t="shared" si="10"/>
        <v>0</v>
      </c>
      <c r="I15" s="89">
        <f t="shared" si="11"/>
        <v>0</v>
      </c>
      <c r="J15" s="90">
        <f t="shared" si="1"/>
        <v>0</v>
      </c>
      <c r="K15" s="91">
        <f t="shared" si="12"/>
        <v>0</v>
      </c>
      <c r="L15" s="92">
        <f t="shared" si="13"/>
        <v>0</v>
      </c>
      <c r="M15" s="93">
        <f t="shared" si="2"/>
        <v>0</v>
      </c>
      <c r="N15" s="88">
        <f t="shared" si="14"/>
        <v>0</v>
      </c>
      <c r="O15" s="89">
        <f t="shared" si="15"/>
        <v>0</v>
      </c>
      <c r="P15" s="94">
        <f t="shared" si="3"/>
        <v>0</v>
      </c>
      <c r="Q15" s="95">
        <f t="shared" si="4"/>
        <v>0</v>
      </c>
      <c r="R15" s="89">
        <f t="shared" si="16"/>
        <v>0</v>
      </c>
      <c r="S15" s="102">
        <f t="shared" si="5"/>
        <v>0</v>
      </c>
      <c r="T15" s="95">
        <f t="shared" si="6"/>
        <v>0</v>
      </c>
      <c r="U15" s="92">
        <f t="shared" si="17"/>
        <v>0</v>
      </c>
      <c r="V15" s="27"/>
      <c r="W15" s="197"/>
      <c r="X15" s="240"/>
      <c r="Y15" s="240">
        <f>IF(X15, X15*$Y$5*合数一覧!$F$92, 0)</f>
        <v>0</v>
      </c>
      <c r="Z15" s="240">
        <f t="shared" si="19"/>
        <v>0</v>
      </c>
      <c r="AA15" s="240">
        <f t="shared" si="20"/>
        <v>0</v>
      </c>
      <c r="AB15" s="240">
        <f>X15*合数一覧!$F$94</f>
        <v>0</v>
      </c>
      <c r="AC15" s="240">
        <f>X15*合数一覧!$C$95</f>
        <v>0</v>
      </c>
      <c r="AD15" s="240">
        <f>X15*合数一覧!$C$96</f>
        <v>0</v>
      </c>
      <c r="AE15" s="240">
        <f>X15*合数一覧!$C$97</f>
        <v>0</v>
      </c>
      <c r="AF15" s="201">
        <f>IF(X15, X15*合数一覧!$C$91*3+SUM(Y15,AA15,AB15,AC15,AD15,AE15), 0)</f>
        <v>0</v>
      </c>
      <c r="AG15" s="201">
        <f t="shared" si="21"/>
        <v>0</v>
      </c>
      <c r="AI15" s="132">
        <f t="shared" si="18"/>
        <v>0</v>
      </c>
    </row>
    <row r="16" spans="1:37" ht="35.1" customHeight="1">
      <c r="A16" s="6"/>
      <c r="B16" s="97"/>
      <c r="C16" s="101"/>
      <c r="D16" s="86">
        <f t="shared" si="7"/>
        <v>0</v>
      </c>
      <c r="E16" s="86">
        <f t="shared" si="8"/>
        <v>0</v>
      </c>
      <c r="F16" s="87">
        <f t="shared" si="9"/>
        <v>0</v>
      </c>
      <c r="G16" s="86">
        <f t="shared" si="0"/>
        <v>0</v>
      </c>
      <c r="H16" s="88">
        <f t="shared" si="10"/>
        <v>0</v>
      </c>
      <c r="I16" s="89">
        <f t="shared" si="11"/>
        <v>0</v>
      </c>
      <c r="J16" s="90">
        <f t="shared" si="1"/>
        <v>0</v>
      </c>
      <c r="K16" s="91">
        <f t="shared" si="12"/>
        <v>0</v>
      </c>
      <c r="L16" s="92">
        <f t="shared" si="13"/>
        <v>0</v>
      </c>
      <c r="M16" s="93">
        <f t="shared" si="2"/>
        <v>0</v>
      </c>
      <c r="N16" s="88">
        <f t="shared" si="14"/>
        <v>0</v>
      </c>
      <c r="O16" s="89">
        <f t="shared" si="15"/>
        <v>0</v>
      </c>
      <c r="P16" s="94">
        <f t="shared" si="3"/>
        <v>0</v>
      </c>
      <c r="Q16" s="95">
        <f t="shared" si="4"/>
        <v>0</v>
      </c>
      <c r="R16" s="89">
        <f t="shared" si="16"/>
        <v>0</v>
      </c>
      <c r="S16" s="102">
        <f t="shared" si="5"/>
        <v>0</v>
      </c>
      <c r="T16" s="95">
        <f t="shared" si="6"/>
        <v>0</v>
      </c>
      <c r="U16" s="92">
        <f t="shared" si="17"/>
        <v>0</v>
      </c>
      <c r="V16" s="27"/>
      <c r="W16" s="197"/>
      <c r="X16" s="240"/>
      <c r="Y16" s="240">
        <f>IF(X16, X16*$Y$5*合数一覧!$F$92, 0)</f>
        <v>0</v>
      </c>
      <c r="Z16" s="240">
        <f t="shared" si="19"/>
        <v>0</v>
      </c>
      <c r="AA16" s="240">
        <f t="shared" si="20"/>
        <v>0</v>
      </c>
      <c r="AB16" s="240">
        <f>X16*合数一覧!$F$94</f>
        <v>0</v>
      </c>
      <c r="AC16" s="240">
        <f>X16*合数一覧!$C$95</f>
        <v>0</v>
      </c>
      <c r="AD16" s="240">
        <f>X16*合数一覧!$C$96</f>
        <v>0</v>
      </c>
      <c r="AE16" s="240">
        <f>X16*合数一覧!$C$97</f>
        <v>0</v>
      </c>
      <c r="AF16" s="201">
        <f>IF(X16, X16*合数一覧!$C$91*3+SUM(Y16,AA16,AB16,AC16,AD16,AE16), 0)</f>
        <v>0</v>
      </c>
      <c r="AG16" s="201">
        <f t="shared" si="21"/>
        <v>0</v>
      </c>
      <c r="AI16" s="132">
        <f t="shared" si="18"/>
        <v>0</v>
      </c>
    </row>
    <row r="17" spans="1:35" ht="35.1" customHeight="1">
      <c r="A17" s="6"/>
      <c r="B17" s="96"/>
      <c r="C17" s="85"/>
      <c r="D17" s="86">
        <f t="shared" si="7"/>
        <v>0</v>
      </c>
      <c r="E17" s="86">
        <f t="shared" si="8"/>
        <v>0</v>
      </c>
      <c r="F17" s="87">
        <f t="shared" si="9"/>
        <v>0</v>
      </c>
      <c r="G17" s="86">
        <f t="shared" si="0"/>
        <v>0</v>
      </c>
      <c r="H17" s="88">
        <f t="shared" si="10"/>
        <v>0</v>
      </c>
      <c r="I17" s="89">
        <f t="shared" si="11"/>
        <v>0</v>
      </c>
      <c r="J17" s="90">
        <f t="shared" si="1"/>
        <v>0</v>
      </c>
      <c r="K17" s="91">
        <f t="shared" si="12"/>
        <v>0</v>
      </c>
      <c r="L17" s="92">
        <f t="shared" si="13"/>
        <v>0</v>
      </c>
      <c r="M17" s="93">
        <f t="shared" si="2"/>
        <v>0</v>
      </c>
      <c r="N17" s="88">
        <f t="shared" si="14"/>
        <v>0</v>
      </c>
      <c r="O17" s="89">
        <f t="shared" si="15"/>
        <v>0</v>
      </c>
      <c r="P17" s="94">
        <f t="shared" si="3"/>
        <v>0</v>
      </c>
      <c r="Q17" s="95">
        <f t="shared" si="4"/>
        <v>0</v>
      </c>
      <c r="R17" s="89">
        <f t="shared" si="16"/>
        <v>0</v>
      </c>
      <c r="S17" s="95">
        <f t="shared" si="5"/>
        <v>0</v>
      </c>
      <c r="T17" s="95">
        <f t="shared" si="6"/>
        <v>0</v>
      </c>
      <c r="U17" s="92">
        <f t="shared" si="17"/>
        <v>0</v>
      </c>
      <c r="V17" s="27"/>
      <c r="W17" s="197"/>
      <c r="X17" s="240"/>
      <c r="Y17" s="240">
        <f>IF(X17, X17*$Y$5*合数一覧!$F$92, 0)</f>
        <v>0</v>
      </c>
      <c r="Z17" s="240">
        <f t="shared" si="19"/>
        <v>0</v>
      </c>
      <c r="AA17" s="240">
        <f t="shared" si="20"/>
        <v>0</v>
      </c>
      <c r="AB17" s="240">
        <f>X17*合数一覧!$F$94</f>
        <v>0</v>
      </c>
      <c r="AC17" s="240">
        <f>X17*合数一覧!$C$95</f>
        <v>0</v>
      </c>
      <c r="AD17" s="240">
        <f>X17*合数一覧!$C$96</f>
        <v>0</v>
      </c>
      <c r="AE17" s="240">
        <f>X17*合数一覧!$C$97</f>
        <v>0</v>
      </c>
      <c r="AF17" s="201">
        <f>IF(X17, X17*合数一覧!$C$91*3+SUM(Y17,AA17,AB17,AC17,AD17,AE17), 0)</f>
        <v>0</v>
      </c>
      <c r="AG17" s="201">
        <f t="shared" si="21"/>
        <v>0</v>
      </c>
      <c r="AI17" s="132">
        <f t="shared" si="18"/>
        <v>0</v>
      </c>
    </row>
    <row r="18" spans="1:35" ht="35.1" customHeight="1">
      <c r="A18" s="6"/>
      <c r="B18" s="96"/>
      <c r="C18" s="101"/>
      <c r="D18" s="86">
        <f t="shared" si="7"/>
        <v>0</v>
      </c>
      <c r="E18" s="86">
        <f t="shared" si="8"/>
        <v>0</v>
      </c>
      <c r="F18" s="87">
        <f t="shared" si="9"/>
        <v>0</v>
      </c>
      <c r="G18" s="86">
        <f t="shared" si="0"/>
        <v>0</v>
      </c>
      <c r="H18" s="88">
        <f t="shared" si="10"/>
        <v>0</v>
      </c>
      <c r="I18" s="89">
        <f t="shared" si="11"/>
        <v>0</v>
      </c>
      <c r="J18" s="90">
        <f t="shared" si="1"/>
        <v>0</v>
      </c>
      <c r="K18" s="91">
        <f t="shared" si="12"/>
        <v>0</v>
      </c>
      <c r="L18" s="92">
        <f t="shared" si="13"/>
        <v>0</v>
      </c>
      <c r="M18" s="93">
        <f t="shared" si="2"/>
        <v>0</v>
      </c>
      <c r="N18" s="88">
        <f t="shared" si="14"/>
        <v>0</v>
      </c>
      <c r="O18" s="89">
        <f t="shared" si="15"/>
        <v>0</v>
      </c>
      <c r="P18" s="94">
        <f t="shared" si="3"/>
        <v>0</v>
      </c>
      <c r="Q18" s="95">
        <f t="shared" si="4"/>
        <v>0</v>
      </c>
      <c r="R18" s="89">
        <f t="shared" si="16"/>
        <v>0</v>
      </c>
      <c r="S18" s="95">
        <f t="shared" si="5"/>
        <v>0</v>
      </c>
      <c r="T18" s="95">
        <f t="shared" si="6"/>
        <v>0</v>
      </c>
      <c r="U18" s="92">
        <f t="shared" si="17"/>
        <v>0</v>
      </c>
      <c r="V18" s="27"/>
      <c r="W18" s="197"/>
      <c r="X18" s="240"/>
      <c r="Y18" s="240">
        <f>IF(X18, X18*$Y$5*合数一覧!$F$92, 0)</f>
        <v>0</v>
      </c>
      <c r="Z18" s="240">
        <f t="shared" si="19"/>
        <v>0</v>
      </c>
      <c r="AA18" s="240">
        <f t="shared" si="20"/>
        <v>0</v>
      </c>
      <c r="AB18" s="240">
        <f>X18*合数一覧!$F$94</f>
        <v>0</v>
      </c>
      <c r="AC18" s="240">
        <f>X18*合数一覧!$C$95</f>
        <v>0</v>
      </c>
      <c r="AD18" s="240">
        <f>X18*合数一覧!$C$96</f>
        <v>0</v>
      </c>
      <c r="AE18" s="240">
        <f>X18*合数一覧!$C$97</f>
        <v>0</v>
      </c>
      <c r="AF18" s="201">
        <f>IF(X18, X18*合数一覧!$C$91*3+SUM(Y18,AA18,AB18,AC18,AD18,AE18), 0)</f>
        <v>0</v>
      </c>
      <c r="AG18" s="201">
        <f t="shared" si="21"/>
        <v>0</v>
      </c>
      <c r="AI18" s="132">
        <f t="shared" si="18"/>
        <v>0</v>
      </c>
    </row>
    <row r="19" spans="1:35" ht="35.1" customHeight="1">
      <c r="A19" s="6"/>
      <c r="B19" s="103"/>
      <c r="C19" s="101"/>
      <c r="D19" s="86">
        <f t="shared" si="7"/>
        <v>0</v>
      </c>
      <c r="E19" s="86">
        <f t="shared" si="8"/>
        <v>0</v>
      </c>
      <c r="F19" s="87">
        <f t="shared" si="9"/>
        <v>0</v>
      </c>
      <c r="G19" s="86">
        <f t="shared" si="0"/>
        <v>0</v>
      </c>
      <c r="H19" s="88">
        <f t="shared" si="10"/>
        <v>0</v>
      </c>
      <c r="I19" s="89">
        <f t="shared" si="11"/>
        <v>0</v>
      </c>
      <c r="J19" s="90">
        <f t="shared" si="1"/>
        <v>0</v>
      </c>
      <c r="K19" s="91">
        <f t="shared" si="12"/>
        <v>0</v>
      </c>
      <c r="L19" s="92">
        <f t="shared" si="13"/>
        <v>0</v>
      </c>
      <c r="M19" s="93">
        <f t="shared" si="2"/>
        <v>0</v>
      </c>
      <c r="N19" s="88">
        <f t="shared" si="14"/>
        <v>0</v>
      </c>
      <c r="O19" s="89">
        <f t="shared" si="15"/>
        <v>0</v>
      </c>
      <c r="P19" s="94">
        <f t="shared" si="3"/>
        <v>0</v>
      </c>
      <c r="Q19" s="95">
        <f t="shared" si="4"/>
        <v>0</v>
      </c>
      <c r="R19" s="89">
        <f t="shared" si="16"/>
        <v>0</v>
      </c>
      <c r="S19" s="102">
        <f t="shared" si="5"/>
        <v>0</v>
      </c>
      <c r="T19" s="95">
        <f t="shared" si="6"/>
        <v>0</v>
      </c>
      <c r="U19" s="92">
        <f t="shared" si="17"/>
        <v>0</v>
      </c>
      <c r="V19" s="27"/>
      <c r="W19" s="197"/>
      <c r="X19" s="240"/>
      <c r="Y19" s="240">
        <f>IF(X19, X19*$Y$5*合数一覧!$F$92, 0)</f>
        <v>0</v>
      </c>
      <c r="Z19" s="240">
        <f t="shared" si="19"/>
        <v>0</v>
      </c>
      <c r="AA19" s="240">
        <f t="shared" si="20"/>
        <v>0</v>
      </c>
      <c r="AB19" s="240">
        <f>X19*合数一覧!$F$94</f>
        <v>0</v>
      </c>
      <c r="AC19" s="240">
        <f>X19*合数一覧!$C$95</f>
        <v>0</v>
      </c>
      <c r="AD19" s="240">
        <f>X19*合数一覧!$C$96</f>
        <v>0</v>
      </c>
      <c r="AE19" s="240">
        <f>X19*合数一覧!$C$97</f>
        <v>0</v>
      </c>
      <c r="AF19" s="201">
        <f>IF(X19, X19*合数一覧!$C$91*3+SUM(Y19,AA19,AB19,AC19,AD19,AE19), 0)</f>
        <v>0</v>
      </c>
      <c r="AG19" s="201">
        <f t="shared" si="21"/>
        <v>0</v>
      </c>
      <c r="AI19" s="132">
        <f t="shared" si="18"/>
        <v>0</v>
      </c>
    </row>
    <row r="20" spans="1:35" ht="35.1" customHeight="1">
      <c r="A20" s="6"/>
      <c r="B20" s="97"/>
      <c r="C20" s="101"/>
      <c r="D20" s="86">
        <f t="shared" si="7"/>
        <v>0</v>
      </c>
      <c r="E20" s="86">
        <f t="shared" si="8"/>
        <v>0</v>
      </c>
      <c r="F20" s="87">
        <f t="shared" si="9"/>
        <v>0</v>
      </c>
      <c r="G20" s="86">
        <f t="shared" si="0"/>
        <v>0</v>
      </c>
      <c r="H20" s="88">
        <f t="shared" si="10"/>
        <v>0</v>
      </c>
      <c r="I20" s="89">
        <f t="shared" si="11"/>
        <v>0</v>
      </c>
      <c r="J20" s="90">
        <f t="shared" si="1"/>
        <v>0</v>
      </c>
      <c r="K20" s="91">
        <f t="shared" si="12"/>
        <v>0</v>
      </c>
      <c r="L20" s="92">
        <f t="shared" si="13"/>
        <v>0</v>
      </c>
      <c r="M20" s="93">
        <f t="shared" si="2"/>
        <v>0</v>
      </c>
      <c r="N20" s="88">
        <f t="shared" si="14"/>
        <v>0</v>
      </c>
      <c r="O20" s="89">
        <f t="shared" si="15"/>
        <v>0</v>
      </c>
      <c r="P20" s="94">
        <f t="shared" si="3"/>
        <v>0</v>
      </c>
      <c r="Q20" s="95">
        <f t="shared" si="4"/>
        <v>0</v>
      </c>
      <c r="R20" s="89">
        <f t="shared" si="16"/>
        <v>0</v>
      </c>
      <c r="S20" s="102">
        <f t="shared" si="5"/>
        <v>0</v>
      </c>
      <c r="T20" s="95">
        <f t="shared" si="6"/>
        <v>0</v>
      </c>
      <c r="U20" s="92">
        <f t="shared" si="17"/>
        <v>0</v>
      </c>
      <c r="V20" s="27"/>
      <c r="W20" s="197"/>
      <c r="X20" s="240"/>
      <c r="Y20" s="240">
        <f>IF(X20, X20*$Y$5*合数一覧!$F$92, 0)</f>
        <v>0</v>
      </c>
      <c r="Z20" s="240">
        <f t="shared" si="19"/>
        <v>0</v>
      </c>
      <c r="AA20" s="240">
        <f t="shared" si="20"/>
        <v>0</v>
      </c>
      <c r="AB20" s="240">
        <f>X20*合数一覧!$F$94</f>
        <v>0</v>
      </c>
      <c r="AC20" s="240">
        <f>X20*合数一覧!$C$95</f>
        <v>0</v>
      </c>
      <c r="AD20" s="240">
        <f>X20*合数一覧!$C$96</f>
        <v>0</v>
      </c>
      <c r="AE20" s="240">
        <f>X20*合数一覧!$C$97</f>
        <v>0</v>
      </c>
      <c r="AF20" s="201">
        <f>IF(X20, X20*合数一覧!$C$91*3+SUM(Y20,AA20,AB20,AC20,AD20,AE20), 0)</f>
        <v>0</v>
      </c>
      <c r="AG20" s="201">
        <f t="shared" si="21"/>
        <v>0</v>
      </c>
      <c r="AI20" s="132">
        <f t="shared" si="18"/>
        <v>0</v>
      </c>
    </row>
    <row r="21" spans="1:35" ht="35.1" customHeight="1">
      <c r="A21" s="6"/>
      <c r="B21" s="97"/>
      <c r="C21" s="99"/>
      <c r="D21" s="86">
        <f t="shared" si="7"/>
        <v>0</v>
      </c>
      <c r="E21" s="86">
        <f t="shared" si="8"/>
        <v>0</v>
      </c>
      <c r="F21" s="87">
        <f t="shared" si="9"/>
        <v>0</v>
      </c>
      <c r="G21" s="86">
        <f t="shared" si="0"/>
        <v>0</v>
      </c>
      <c r="H21" s="88">
        <f t="shared" si="10"/>
        <v>0</v>
      </c>
      <c r="I21" s="89">
        <f t="shared" si="11"/>
        <v>0</v>
      </c>
      <c r="J21" s="104">
        <f t="shared" si="1"/>
        <v>0</v>
      </c>
      <c r="K21" s="91">
        <f t="shared" si="12"/>
        <v>0</v>
      </c>
      <c r="L21" s="92">
        <f t="shared" si="13"/>
        <v>0</v>
      </c>
      <c r="M21" s="93">
        <f t="shared" si="2"/>
        <v>0</v>
      </c>
      <c r="N21" s="88">
        <f t="shared" si="14"/>
        <v>0</v>
      </c>
      <c r="O21" s="89">
        <f t="shared" si="15"/>
        <v>0</v>
      </c>
      <c r="P21" s="94">
        <f t="shared" si="3"/>
        <v>0</v>
      </c>
      <c r="Q21" s="95">
        <f t="shared" si="4"/>
        <v>0</v>
      </c>
      <c r="R21" s="89">
        <f t="shared" si="16"/>
        <v>0</v>
      </c>
      <c r="S21" s="102">
        <f t="shared" si="5"/>
        <v>0</v>
      </c>
      <c r="T21" s="95">
        <f t="shared" si="6"/>
        <v>0</v>
      </c>
      <c r="U21" s="92">
        <f t="shared" si="17"/>
        <v>0</v>
      </c>
      <c r="V21" s="27"/>
      <c r="W21" s="197"/>
      <c r="X21" s="240"/>
      <c r="Y21" s="240">
        <f>IF(X21, X21*$Y$5*合数一覧!$F$92, 0)</f>
        <v>0</v>
      </c>
      <c r="Z21" s="240">
        <f t="shared" si="19"/>
        <v>0</v>
      </c>
      <c r="AA21" s="240">
        <f t="shared" si="20"/>
        <v>0</v>
      </c>
      <c r="AB21" s="240">
        <f>X21*合数一覧!$F$94</f>
        <v>0</v>
      </c>
      <c r="AC21" s="240">
        <f>X21*合数一覧!$C$95</f>
        <v>0</v>
      </c>
      <c r="AD21" s="240">
        <f>X21*合数一覧!$C$96</f>
        <v>0</v>
      </c>
      <c r="AE21" s="240">
        <f>X21*合数一覧!$C$97</f>
        <v>0</v>
      </c>
      <c r="AF21" s="201">
        <f>IF(X21, X21*合数一覧!$C$91*3+SUM(Y21,AA21,AB21,AC21,AD21,AE21), 0)</f>
        <v>0</v>
      </c>
      <c r="AG21" s="201">
        <f t="shared" si="21"/>
        <v>0</v>
      </c>
      <c r="AI21" s="132">
        <f t="shared" si="18"/>
        <v>0</v>
      </c>
    </row>
    <row r="22" spans="1:35" ht="35.1" customHeight="1">
      <c r="A22" s="6"/>
      <c r="B22" s="97"/>
      <c r="C22" s="101"/>
      <c r="D22" s="86">
        <f t="shared" si="7"/>
        <v>0</v>
      </c>
      <c r="E22" s="86">
        <f t="shared" si="8"/>
        <v>0</v>
      </c>
      <c r="F22" s="87">
        <f t="shared" si="9"/>
        <v>0</v>
      </c>
      <c r="G22" s="86">
        <f t="shared" si="0"/>
        <v>0</v>
      </c>
      <c r="H22" s="88">
        <f t="shared" si="10"/>
        <v>0</v>
      </c>
      <c r="I22" s="89">
        <f t="shared" si="11"/>
        <v>0</v>
      </c>
      <c r="J22" s="104">
        <f t="shared" si="1"/>
        <v>0</v>
      </c>
      <c r="K22" s="91">
        <f t="shared" si="12"/>
        <v>0</v>
      </c>
      <c r="L22" s="92">
        <f t="shared" si="13"/>
        <v>0</v>
      </c>
      <c r="M22" s="93">
        <f t="shared" si="2"/>
        <v>0</v>
      </c>
      <c r="N22" s="88">
        <f t="shared" si="14"/>
        <v>0</v>
      </c>
      <c r="O22" s="89">
        <f t="shared" si="15"/>
        <v>0</v>
      </c>
      <c r="P22" s="94">
        <f t="shared" si="3"/>
        <v>0</v>
      </c>
      <c r="Q22" s="95">
        <f t="shared" si="4"/>
        <v>0</v>
      </c>
      <c r="R22" s="89">
        <f t="shared" si="16"/>
        <v>0</v>
      </c>
      <c r="S22" s="102">
        <f t="shared" si="5"/>
        <v>0</v>
      </c>
      <c r="T22" s="95">
        <f t="shared" si="6"/>
        <v>0</v>
      </c>
      <c r="U22" s="92">
        <f t="shared" si="17"/>
        <v>0</v>
      </c>
      <c r="V22" s="27"/>
      <c r="W22" s="184"/>
      <c r="X22" s="199"/>
      <c r="Y22" s="199"/>
      <c r="Z22" s="199"/>
      <c r="AA22" s="199"/>
      <c r="AB22" s="199"/>
      <c r="AC22" s="199"/>
      <c r="AD22" s="199"/>
      <c r="AE22" s="199"/>
      <c r="AF22" s="198">
        <f>SUM(AF7:AF21)</f>
        <v>0</v>
      </c>
      <c r="AG22" s="198">
        <f t="shared" si="21"/>
        <v>0</v>
      </c>
    </row>
    <row r="23" spans="1:35" ht="24.95" customHeight="1">
      <c r="A23" s="6"/>
      <c r="B23" s="97"/>
      <c r="C23" s="101"/>
      <c r="D23" s="86">
        <f t="shared" si="7"/>
        <v>0</v>
      </c>
      <c r="E23" s="86">
        <f t="shared" si="8"/>
        <v>0</v>
      </c>
      <c r="F23" s="87">
        <f t="shared" si="9"/>
        <v>0</v>
      </c>
      <c r="G23" s="86">
        <f t="shared" si="0"/>
        <v>0</v>
      </c>
      <c r="H23" s="88">
        <f t="shared" si="10"/>
        <v>0</v>
      </c>
      <c r="I23" s="89">
        <f t="shared" si="11"/>
        <v>0</v>
      </c>
      <c r="J23" s="104">
        <f t="shared" si="1"/>
        <v>0</v>
      </c>
      <c r="K23" s="91">
        <f t="shared" si="12"/>
        <v>0</v>
      </c>
      <c r="L23" s="92">
        <f t="shared" si="13"/>
        <v>0</v>
      </c>
      <c r="M23" s="93">
        <f t="shared" si="2"/>
        <v>0</v>
      </c>
      <c r="N23" s="88">
        <f t="shared" si="14"/>
        <v>0</v>
      </c>
      <c r="O23" s="89">
        <f t="shared" si="15"/>
        <v>0</v>
      </c>
      <c r="P23" s="94">
        <f t="shared" si="3"/>
        <v>0</v>
      </c>
      <c r="Q23" s="95">
        <f t="shared" si="4"/>
        <v>0</v>
      </c>
      <c r="R23" s="89">
        <f t="shared" si="16"/>
        <v>0</v>
      </c>
      <c r="S23" s="102">
        <f t="shared" si="5"/>
        <v>0</v>
      </c>
      <c r="T23" s="95">
        <f t="shared" si="6"/>
        <v>0</v>
      </c>
      <c r="U23" s="92">
        <f t="shared" si="17"/>
        <v>0</v>
      </c>
      <c r="V23" s="27"/>
      <c r="W23" s="184"/>
      <c r="X23" s="185"/>
      <c r="Y23" s="185"/>
      <c r="Z23" s="185"/>
      <c r="AA23" s="185"/>
      <c r="AB23" s="185"/>
      <c r="AC23" s="185"/>
      <c r="AD23" s="185"/>
      <c r="AE23" s="185"/>
      <c r="AF23" s="187"/>
      <c r="AG23" s="187"/>
      <c r="AH23" s="11"/>
    </row>
    <row r="24" spans="1:35" ht="24.95" customHeight="1">
      <c r="A24" s="6"/>
      <c r="B24" s="96"/>
      <c r="C24" s="85"/>
      <c r="D24" s="86">
        <f t="shared" si="7"/>
        <v>0</v>
      </c>
      <c r="E24" s="86">
        <f t="shared" si="8"/>
        <v>0</v>
      </c>
      <c r="F24" s="87">
        <f t="shared" si="9"/>
        <v>0</v>
      </c>
      <c r="G24" s="86">
        <f t="shared" si="0"/>
        <v>0</v>
      </c>
      <c r="H24" s="88">
        <f t="shared" si="10"/>
        <v>0</v>
      </c>
      <c r="I24" s="89">
        <f t="shared" si="11"/>
        <v>0</v>
      </c>
      <c r="J24" s="104">
        <f t="shared" si="1"/>
        <v>0</v>
      </c>
      <c r="K24" s="91">
        <f t="shared" si="12"/>
        <v>0</v>
      </c>
      <c r="L24" s="92">
        <f t="shared" si="13"/>
        <v>0</v>
      </c>
      <c r="M24" s="93">
        <f t="shared" si="2"/>
        <v>0</v>
      </c>
      <c r="N24" s="88">
        <f t="shared" si="14"/>
        <v>0</v>
      </c>
      <c r="O24" s="89">
        <f t="shared" si="15"/>
        <v>0</v>
      </c>
      <c r="P24" s="94">
        <f t="shared" si="3"/>
        <v>0</v>
      </c>
      <c r="Q24" s="95">
        <f t="shared" si="4"/>
        <v>0</v>
      </c>
      <c r="R24" s="89">
        <f t="shared" si="16"/>
        <v>0</v>
      </c>
      <c r="S24" s="102">
        <f t="shared" si="5"/>
        <v>0</v>
      </c>
      <c r="T24" s="95">
        <f t="shared" si="6"/>
        <v>0</v>
      </c>
      <c r="U24" s="92">
        <f t="shared" si="17"/>
        <v>0</v>
      </c>
      <c r="V24" s="27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243"/>
    </row>
    <row r="25" spans="1:35" ht="35.1" customHeight="1">
      <c r="A25" s="6"/>
      <c r="B25" s="96"/>
      <c r="C25" s="85"/>
      <c r="D25" s="86">
        <f t="shared" si="7"/>
        <v>0</v>
      </c>
      <c r="E25" s="86">
        <f t="shared" si="8"/>
        <v>0</v>
      </c>
      <c r="F25" s="87">
        <f t="shared" si="9"/>
        <v>0</v>
      </c>
      <c r="G25" s="86">
        <f t="shared" si="0"/>
        <v>0</v>
      </c>
      <c r="H25" s="88">
        <f t="shared" si="10"/>
        <v>0</v>
      </c>
      <c r="I25" s="89">
        <f t="shared" si="11"/>
        <v>0</v>
      </c>
      <c r="J25" s="104">
        <f t="shared" si="1"/>
        <v>0</v>
      </c>
      <c r="K25" s="91">
        <f t="shared" si="12"/>
        <v>0</v>
      </c>
      <c r="L25" s="92">
        <f t="shared" si="13"/>
        <v>0</v>
      </c>
      <c r="M25" s="93">
        <f t="shared" si="2"/>
        <v>0</v>
      </c>
      <c r="N25" s="88">
        <f t="shared" si="14"/>
        <v>0</v>
      </c>
      <c r="O25" s="89">
        <f t="shared" si="15"/>
        <v>0</v>
      </c>
      <c r="P25" s="94">
        <f t="shared" si="3"/>
        <v>0</v>
      </c>
      <c r="Q25" s="95">
        <f t="shared" si="4"/>
        <v>0</v>
      </c>
      <c r="R25" s="89">
        <f t="shared" si="16"/>
        <v>0</v>
      </c>
      <c r="S25" s="102">
        <f t="shared" si="5"/>
        <v>0</v>
      </c>
      <c r="T25" s="95">
        <f t="shared" si="6"/>
        <v>0</v>
      </c>
      <c r="U25" s="92">
        <f t="shared" si="17"/>
        <v>0</v>
      </c>
      <c r="V25" s="27"/>
      <c r="W25" s="196"/>
      <c r="X25" s="239"/>
      <c r="Y25" s="239"/>
      <c r="Z25" s="239">
        <f>X25*10</f>
        <v>0</v>
      </c>
      <c r="AA25" s="239">
        <f>Z25*5</f>
        <v>0</v>
      </c>
      <c r="AB25" s="239">
        <f>X25*合数一覧!$F$94</f>
        <v>0</v>
      </c>
      <c r="AC25" s="239">
        <f>X25*合数一覧!$C$95</f>
        <v>0</v>
      </c>
      <c r="AD25" s="239">
        <f>X25*合数一覧!$C$96</f>
        <v>0</v>
      </c>
      <c r="AE25" s="239">
        <f>X25*合数一覧!$C$97</f>
        <v>0</v>
      </c>
      <c r="AF25" s="200">
        <f>IF(X25, X25*合数一覧!$C$91*3+SUM(Y25,AA25,AB25,AC25,AD25,AE25), 0)</f>
        <v>0</v>
      </c>
      <c r="AG25" s="200">
        <f t="shared" ref="AG25:AG35" si="22">AF25*$AG$5</f>
        <v>0</v>
      </c>
      <c r="AH25" s="243"/>
    </row>
    <row r="26" spans="1:35" ht="35.1" customHeight="1">
      <c r="A26" s="6"/>
      <c r="B26" s="96"/>
      <c r="C26" s="85"/>
      <c r="D26" s="86">
        <f t="shared" si="7"/>
        <v>0</v>
      </c>
      <c r="E26" s="86">
        <f t="shared" ref="E26:E30" si="23">D26/E$2</f>
        <v>0</v>
      </c>
      <c r="F26" s="87">
        <f t="shared" ref="F26:F30" si="24">ROUNDUP(E26,0)</f>
        <v>0</v>
      </c>
      <c r="G26" s="86">
        <f t="shared" si="0"/>
        <v>0</v>
      </c>
      <c r="H26" s="88">
        <f t="shared" ref="H26:H30" si="25">G26/H$2</f>
        <v>0</v>
      </c>
      <c r="I26" s="89">
        <f t="shared" ref="I26:I30" si="26">ROUNDUP(H26,0)</f>
        <v>0</v>
      </c>
      <c r="J26" s="104">
        <f t="shared" si="1"/>
        <v>0</v>
      </c>
      <c r="K26" s="91">
        <f t="shared" ref="K26:K30" si="27">J26/K$2</f>
        <v>0</v>
      </c>
      <c r="L26" s="92">
        <f t="shared" ref="L26:L30" si="28">ROUNDUP(K26,0)</f>
        <v>0</v>
      </c>
      <c r="M26" s="93">
        <f t="shared" si="2"/>
        <v>0</v>
      </c>
      <c r="N26" s="88">
        <f t="shared" ref="N26:N30" si="29">M26/N$2</f>
        <v>0</v>
      </c>
      <c r="O26" s="89">
        <f t="shared" ref="O26:O30" si="30">ROUNDUP(N26,0)</f>
        <v>0</v>
      </c>
      <c r="P26" s="94">
        <f t="shared" si="3"/>
        <v>0</v>
      </c>
      <c r="Q26" s="95">
        <f t="shared" ref="Q26:Q30" si="31">P26/Q$2</f>
        <v>0</v>
      </c>
      <c r="R26" s="89">
        <f t="shared" ref="R26:R30" si="32">ROUNDUP(Q26,0)</f>
        <v>0</v>
      </c>
      <c r="S26" s="102">
        <f t="shared" si="5"/>
        <v>0</v>
      </c>
      <c r="T26" s="95">
        <f t="shared" ref="T26:T30" si="33">S26/T$2</f>
        <v>0</v>
      </c>
      <c r="U26" s="92">
        <f t="shared" ref="U26:U30" si="34">ROUNDUP(T26,0)</f>
        <v>0</v>
      </c>
      <c r="V26" s="27"/>
      <c r="W26" s="197"/>
      <c r="X26" s="240"/>
      <c r="Y26" s="240"/>
      <c r="Z26" s="240">
        <f t="shared" ref="Z26:Z35" si="35">X26*10</f>
        <v>0</v>
      </c>
      <c r="AA26" s="240">
        <f t="shared" ref="AA26:AA35" si="36">Z26*5</f>
        <v>0</v>
      </c>
      <c r="AB26" s="240">
        <f>X26*合数一覧!$F$94</f>
        <v>0</v>
      </c>
      <c r="AC26" s="240">
        <f>X26*合数一覧!$C$95</f>
        <v>0</v>
      </c>
      <c r="AD26" s="240">
        <f>X26*合数一覧!$C$96</f>
        <v>0</v>
      </c>
      <c r="AE26" s="240">
        <f>X26*合数一覧!$C$97</f>
        <v>0</v>
      </c>
      <c r="AF26" s="201">
        <f>IF(X26, X26*合数一覧!$C$91*3+SUM(Y26,AA26,AB26,AC26,AD26,AE26), 0)</f>
        <v>0</v>
      </c>
      <c r="AG26" s="201">
        <f t="shared" ref="AG26:AG30" si="37">AF26*$AG$5</f>
        <v>0</v>
      </c>
      <c r="AH26" s="11"/>
    </row>
    <row r="27" spans="1:35" ht="35.1" hidden="1" customHeight="1">
      <c r="A27" s="6"/>
      <c r="B27" s="97"/>
      <c r="C27" s="101"/>
      <c r="D27" s="86">
        <f t="shared" si="7"/>
        <v>0</v>
      </c>
      <c r="E27" s="86">
        <f t="shared" si="23"/>
        <v>0</v>
      </c>
      <c r="F27" s="87">
        <f t="shared" si="24"/>
        <v>0</v>
      </c>
      <c r="G27" s="86">
        <f t="shared" si="0"/>
        <v>0</v>
      </c>
      <c r="H27" s="88">
        <f t="shared" si="25"/>
        <v>0</v>
      </c>
      <c r="I27" s="89">
        <f t="shared" si="26"/>
        <v>0</v>
      </c>
      <c r="J27" s="104">
        <f t="shared" si="1"/>
        <v>0</v>
      </c>
      <c r="K27" s="91">
        <f t="shared" si="27"/>
        <v>0</v>
      </c>
      <c r="L27" s="92">
        <f t="shared" si="28"/>
        <v>0</v>
      </c>
      <c r="M27" s="93">
        <f t="shared" si="2"/>
        <v>0</v>
      </c>
      <c r="N27" s="88">
        <f t="shared" si="29"/>
        <v>0</v>
      </c>
      <c r="O27" s="89">
        <f t="shared" si="30"/>
        <v>0</v>
      </c>
      <c r="P27" s="94">
        <f t="shared" si="3"/>
        <v>0</v>
      </c>
      <c r="Q27" s="95">
        <f t="shared" si="31"/>
        <v>0</v>
      </c>
      <c r="R27" s="89">
        <f t="shared" si="32"/>
        <v>0</v>
      </c>
      <c r="S27" s="102">
        <f t="shared" si="5"/>
        <v>0</v>
      </c>
      <c r="T27" s="95">
        <f t="shared" si="33"/>
        <v>0</v>
      </c>
      <c r="U27" s="92">
        <f t="shared" si="34"/>
        <v>0</v>
      </c>
      <c r="V27" s="27"/>
      <c r="W27" s="197"/>
      <c r="X27" s="240"/>
      <c r="Y27" s="240"/>
      <c r="Z27" s="240">
        <f t="shared" si="35"/>
        <v>0</v>
      </c>
      <c r="AA27" s="240">
        <f t="shared" si="36"/>
        <v>0</v>
      </c>
      <c r="AB27" s="240">
        <f>X27*合数一覧!$F$94</f>
        <v>0</v>
      </c>
      <c r="AC27" s="240">
        <f>X27*合数一覧!$C$95</f>
        <v>0</v>
      </c>
      <c r="AD27" s="240">
        <f>X27*合数一覧!$C$96</f>
        <v>0</v>
      </c>
      <c r="AE27" s="240">
        <f>X27*合数一覧!$C$97</f>
        <v>0</v>
      </c>
      <c r="AF27" s="201">
        <f>IF(X27, X27*合数一覧!$C$91*3+SUM(Y27,AA27,AB27,AC27,AD27,AE27), 0)</f>
        <v>0</v>
      </c>
      <c r="AG27" s="201">
        <f t="shared" si="37"/>
        <v>0</v>
      </c>
      <c r="AH27" s="243"/>
    </row>
    <row r="28" spans="1:35" ht="35.1" hidden="1" customHeight="1">
      <c r="A28" s="6"/>
      <c r="B28" s="97"/>
      <c r="C28" s="101"/>
      <c r="D28" s="86">
        <f t="shared" si="7"/>
        <v>0</v>
      </c>
      <c r="E28" s="86">
        <f t="shared" si="23"/>
        <v>0</v>
      </c>
      <c r="F28" s="87">
        <f t="shared" si="24"/>
        <v>0</v>
      </c>
      <c r="G28" s="86">
        <f t="shared" si="0"/>
        <v>0</v>
      </c>
      <c r="H28" s="88">
        <f t="shared" si="25"/>
        <v>0</v>
      </c>
      <c r="I28" s="89">
        <f t="shared" si="26"/>
        <v>0</v>
      </c>
      <c r="J28" s="104">
        <f t="shared" si="1"/>
        <v>0</v>
      </c>
      <c r="K28" s="91">
        <f t="shared" si="27"/>
        <v>0</v>
      </c>
      <c r="L28" s="92">
        <f t="shared" si="28"/>
        <v>0</v>
      </c>
      <c r="M28" s="93">
        <f t="shared" si="2"/>
        <v>0</v>
      </c>
      <c r="N28" s="88">
        <f t="shared" si="29"/>
        <v>0</v>
      </c>
      <c r="O28" s="89">
        <f t="shared" si="30"/>
        <v>0</v>
      </c>
      <c r="P28" s="94">
        <f t="shared" si="3"/>
        <v>0</v>
      </c>
      <c r="Q28" s="95">
        <f t="shared" si="31"/>
        <v>0</v>
      </c>
      <c r="R28" s="89">
        <f t="shared" si="32"/>
        <v>0</v>
      </c>
      <c r="S28" s="102">
        <f t="shared" si="5"/>
        <v>0</v>
      </c>
      <c r="T28" s="95">
        <f t="shared" si="33"/>
        <v>0</v>
      </c>
      <c r="U28" s="92">
        <f t="shared" si="34"/>
        <v>0</v>
      </c>
      <c r="V28" s="27"/>
      <c r="W28" s="197"/>
      <c r="X28" s="240"/>
      <c r="Y28" s="240"/>
      <c r="Z28" s="240">
        <f t="shared" si="35"/>
        <v>0</v>
      </c>
      <c r="AA28" s="240">
        <f t="shared" si="36"/>
        <v>0</v>
      </c>
      <c r="AB28" s="240">
        <f>X28*合数一覧!$F$94</f>
        <v>0</v>
      </c>
      <c r="AC28" s="240">
        <f>X28*合数一覧!$C$95</f>
        <v>0</v>
      </c>
      <c r="AD28" s="240">
        <f>X28*合数一覧!$C$96</f>
        <v>0</v>
      </c>
      <c r="AE28" s="240">
        <f>X28*合数一覧!$C$97</f>
        <v>0</v>
      </c>
      <c r="AF28" s="201">
        <f>IF(X28, X28*合数一覧!$C$91*3+SUM(Y28,AA28,AB28,AC28,AD28,AE28), 0)</f>
        <v>0</v>
      </c>
      <c r="AG28" s="201">
        <f t="shared" si="37"/>
        <v>0</v>
      </c>
      <c r="AH28" s="243"/>
    </row>
    <row r="29" spans="1:35" ht="35.1" hidden="1" customHeight="1">
      <c r="A29" s="6"/>
      <c r="B29" s="97"/>
      <c r="C29" s="101"/>
      <c r="D29" s="86">
        <f t="shared" si="7"/>
        <v>0</v>
      </c>
      <c r="E29" s="86">
        <f t="shared" si="23"/>
        <v>0</v>
      </c>
      <c r="F29" s="87">
        <f t="shared" si="24"/>
        <v>0</v>
      </c>
      <c r="G29" s="86">
        <f t="shared" si="0"/>
        <v>0</v>
      </c>
      <c r="H29" s="88">
        <f t="shared" si="25"/>
        <v>0</v>
      </c>
      <c r="I29" s="89">
        <f t="shared" si="26"/>
        <v>0</v>
      </c>
      <c r="J29" s="104">
        <f t="shared" si="1"/>
        <v>0</v>
      </c>
      <c r="K29" s="91">
        <f t="shared" si="27"/>
        <v>0</v>
      </c>
      <c r="L29" s="92">
        <f t="shared" si="28"/>
        <v>0</v>
      </c>
      <c r="M29" s="93">
        <f t="shared" si="2"/>
        <v>0</v>
      </c>
      <c r="N29" s="88">
        <f t="shared" si="29"/>
        <v>0</v>
      </c>
      <c r="O29" s="89">
        <f t="shared" si="30"/>
        <v>0</v>
      </c>
      <c r="P29" s="94">
        <f t="shared" si="3"/>
        <v>0</v>
      </c>
      <c r="Q29" s="95">
        <f t="shared" si="31"/>
        <v>0</v>
      </c>
      <c r="R29" s="89">
        <f t="shared" si="32"/>
        <v>0</v>
      </c>
      <c r="S29" s="102">
        <f t="shared" si="5"/>
        <v>0</v>
      </c>
      <c r="T29" s="95">
        <f t="shared" si="33"/>
        <v>0</v>
      </c>
      <c r="U29" s="92">
        <f t="shared" si="34"/>
        <v>0</v>
      </c>
      <c r="V29" s="27"/>
      <c r="W29" s="197"/>
      <c r="X29" s="240"/>
      <c r="Y29" s="240"/>
      <c r="Z29" s="240">
        <f t="shared" si="35"/>
        <v>0</v>
      </c>
      <c r="AA29" s="240">
        <f t="shared" si="36"/>
        <v>0</v>
      </c>
      <c r="AB29" s="240">
        <f>X29*合数一覧!$F$94</f>
        <v>0</v>
      </c>
      <c r="AC29" s="240">
        <f>X29*合数一覧!$C$95</f>
        <v>0</v>
      </c>
      <c r="AD29" s="240">
        <f>X29*合数一覧!$C$96</f>
        <v>0</v>
      </c>
      <c r="AE29" s="240">
        <f>X29*合数一覧!$C$97</f>
        <v>0</v>
      </c>
      <c r="AF29" s="201">
        <f>IF(X29, X29*合数一覧!$C$91*3+SUM(Y29,AA29,AB29,AC29,AD29,AE29), 0)</f>
        <v>0</v>
      </c>
      <c r="AG29" s="201">
        <f t="shared" si="37"/>
        <v>0</v>
      </c>
    </row>
    <row r="30" spans="1:35" ht="35.1" hidden="1" customHeight="1">
      <c r="A30" s="6"/>
      <c r="B30" s="97"/>
      <c r="C30" s="101"/>
      <c r="D30" s="86">
        <f t="shared" si="7"/>
        <v>0</v>
      </c>
      <c r="E30" s="86">
        <f t="shared" si="23"/>
        <v>0</v>
      </c>
      <c r="F30" s="87">
        <f t="shared" si="24"/>
        <v>0</v>
      </c>
      <c r="G30" s="86">
        <f t="shared" si="0"/>
        <v>0</v>
      </c>
      <c r="H30" s="88">
        <f t="shared" si="25"/>
        <v>0</v>
      </c>
      <c r="I30" s="89">
        <f t="shared" si="26"/>
        <v>0</v>
      </c>
      <c r="J30" s="90">
        <f t="shared" si="1"/>
        <v>0</v>
      </c>
      <c r="K30" s="91">
        <f t="shared" si="27"/>
        <v>0</v>
      </c>
      <c r="L30" s="92">
        <f t="shared" si="28"/>
        <v>0</v>
      </c>
      <c r="M30" s="93">
        <f t="shared" si="2"/>
        <v>0</v>
      </c>
      <c r="N30" s="88">
        <f t="shared" si="29"/>
        <v>0</v>
      </c>
      <c r="O30" s="89">
        <f t="shared" si="30"/>
        <v>0</v>
      </c>
      <c r="P30" s="94">
        <f t="shared" si="3"/>
        <v>0</v>
      </c>
      <c r="Q30" s="95">
        <f t="shared" si="31"/>
        <v>0</v>
      </c>
      <c r="R30" s="89">
        <f t="shared" si="32"/>
        <v>0</v>
      </c>
      <c r="S30" s="95">
        <f t="shared" si="5"/>
        <v>0</v>
      </c>
      <c r="T30" s="95">
        <f t="shared" si="33"/>
        <v>0</v>
      </c>
      <c r="U30" s="92">
        <f t="shared" si="34"/>
        <v>0</v>
      </c>
      <c r="V30" s="27"/>
      <c r="W30" s="197"/>
      <c r="X30" s="240"/>
      <c r="Y30" s="240"/>
      <c r="Z30" s="240">
        <f t="shared" si="35"/>
        <v>0</v>
      </c>
      <c r="AA30" s="240">
        <f t="shared" si="36"/>
        <v>0</v>
      </c>
      <c r="AB30" s="240">
        <f>X30*合数一覧!$F$94</f>
        <v>0</v>
      </c>
      <c r="AC30" s="240">
        <f>X30*合数一覧!$C$95</f>
        <v>0</v>
      </c>
      <c r="AD30" s="240">
        <f>X30*合数一覧!$C$96</f>
        <v>0</v>
      </c>
      <c r="AE30" s="240">
        <f>X30*合数一覧!$C$97</f>
        <v>0</v>
      </c>
      <c r="AF30" s="201">
        <f>IF(X30, X30*合数一覧!$C$91*3+SUM(Y30,AA30,AB30,AC30,AD30,AE30), 0)</f>
        <v>0</v>
      </c>
      <c r="AG30" s="201">
        <f t="shared" si="37"/>
        <v>0</v>
      </c>
    </row>
    <row r="31" spans="1:35" ht="35.1" hidden="1" customHeight="1">
      <c r="A31" s="6"/>
      <c r="B31" s="96"/>
      <c r="C31" s="85"/>
      <c r="D31" s="86">
        <f t="shared" si="7"/>
        <v>0</v>
      </c>
      <c r="E31" s="86">
        <f t="shared" si="8"/>
        <v>0</v>
      </c>
      <c r="F31" s="87">
        <f t="shared" si="9"/>
        <v>0</v>
      </c>
      <c r="G31" s="86">
        <f t="shared" si="0"/>
        <v>0</v>
      </c>
      <c r="H31" s="88">
        <f t="shared" si="10"/>
        <v>0</v>
      </c>
      <c r="I31" s="89">
        <f t="shared" si="11"/>
        <v>0</v>
      </c>
      <c r="J31" s="104">
        <f t="shared" si="1"/>
        <v>0</v>
      </c>
      <c r="K31" s="91">
        <f t="shared" si="12"/>
        <v>0</v>
      </c>
      <c r="L31" s="92">
        <f t="shared" si="13"/>
        <v>0</v>
      </c>
      <c r="M31" s="93">
        <f t="shared" si="2"/>
        <v>0</v>
      </c>
      <c r="N31" s="88">
        <f t="shared" si="14"/>
        <v>0</v>
      </c>
      <c r="O31" s="89">
        <f t="shared" si="15"/>
        <v>0</v>
      </c>
      <c r="P31" s="94">
        <f t="shared" si="3"/>
        <v>0</v>
      </c>
      <c r="Q31" s="95">
        <f t="shared" si="4"/>
        <v>0</v>
      </c>
      <c r="R31" s="89">
        <f t="shared" si="16"/>
        <v>0</v>
      </c>
      <c r="S31" s="102">
        <f t="shared" si="5"/>
        <v>0</v>
      </c>
      <c r="T31" s="95">
        <f t="shared" si="6"/>
        <v>0</v>
      </c>
      <c r="U31" s="92">
        <f t="shared" si="17"/>
        <v>0</v>
      </c>
      <c r="V31" s="27"/>
      <c r="W31" s="197"/>
      <c r="X31" s="240"/>
      <c r="Y31" s="240"/>
      <c r="Z31" s="240">
        <f t="shared" si="35"/>
        <v>0</v>
      </c>
      <c r="AA31" s="240">
        <f t="shared" si="36"/>
        <v>0</v>
      </c>
      <c r="AB31" s="240">
        <f>X31*合数一覧!$F$94</f>
        <v>0</v>
      </c>
      <c r="AC31" s="240">
        <f>X31*合数一覧!$C$95</f>
        <v>0</v>
      </c>
      <c r="AD31" s="240">
        <f>X31*合数一覧!$C$96</f>
        <v>0</v>
      </c>
      <c r="AE31" s="240">
        <f>X31*合数一覧!$C$97</f>
        <v>0</v>
      </c>
      <c r="AF31" s="201">
        <f>IF(X31, X31*合数一覧!$C$91*3+SUM(Y31,AA31,AB31,AC31,AD31,AE31), 0)</f>
        <v>0</v>
      </c>
      <c r="AG31" s="201">
        <f t="shared" si="22"/>
        <v>0</v>
      </c>
      <c r="AH31" s="11"/>
    </row>
    <row r="32" spans="1:35" ht="35.1" hidden="1" customHeight="1">
      <c r="A32" s="6"/>
      <c r="B32" s="97"/>
      <c r="C32" s="101"/>
      <c r="D32" s="86">
        <f t="shared" si="7"/>
        <v>0</v>
      </c>
      <c r="E32" s="86">
        <f t="shared" si="8"/>
        <v>0</v>
      </c>
      <c r="F32" s="87">
        <f t="shared" si="9"/>
        <v>0</v>
      </c>
      <c r="G32" s="86">
        <f t="shared" si="0"/>
        <v>0</v>
      </c>
      <c r="H32" s="88">
        <f t="shared" si="10"/>
        <v>0</v>
      </c>
      <c r="I32" s="89">
        <f t="shared" si="11"/>
        <v>0</v>
      </c>
      <c r="J32" s="104">
        <f t="shared" si="1"/>
        <v>0</v>
      </c>
      <c r="K32" s="91">
        <f t="shared" si="12"/>
        <v>0</v>
      </c>
      <c r="L32" s="92">
        <f t="shared" si="13"/>
        <v>0</v>
      </c>
      <c r="M32" s="93">
        <f t="shared" si="2"/>
        <v>0</v>
      </c>
      <c r="N32" s="88">
        <f t="shared" si="14"/>
        <v>0</v>
      </c>
      <c r="O32" s="89">
        <f t="shared" si="15"/>
        <v>0</v>
      </c>
      <c r="P32" s="94">
        <f t="shared" si="3"/>
        <v>0</v>
      </c>
      <c r="Q32" s="95">
        <f t="shared" si="4"/>
        <v>0</v>
      </c>
      <c r="R32" s="89">
        <f t="shared" si="16"/>
        <v>0</v>
      </c>
      <c r="S32" s="102">
        <f t="shared" si="5"/>
        <v>0</v>
      </c>
      <c r="T32" s="95">
        <f t="shared" si="6"/>
        <v>0</v>
      </c>
      <c r="U32" s="92">
        <f t="shared" si="17"/>
        <v>0</v>
      </c>
      <c r="V32" s="27"/>
      <c r="W32" s="197"/>
      <c r="X32" s="240"/>
      <c r="Y32" s="240"/>
      <c r="Z32" s="240">
        <f t="shared" si="35"/>
        <v>0</v>
      </c>
      <c r="AA32" s="240">
        <f t="shared" si="36"/>
        <v>0</v>
      </c>
      <c r="AB32" s="240">
        <f>X32*合数一覧!$F$94</f>
        <v>0</v>
      </c>
      <c r="AC32" s="240">
        <f>X32*合数一覧!$C$95</f>
        <v>0</v>
      </c>
      <c r="AD32" s="240">
        <f>X32*合数一覧!$C$96</f>
        <v>0</v>
      </c>
      <c r="AE32" s="240">
        <f>X32*合数一覧!$C$97</f>
        <v>0</v>
      </c>
      <c r="AF32" s="201">
        <f>IF(X32, X32*合数一覧!$C$91*3+SUM(Y32,AA32,AB32,AC32,AD32,AE32), 0)</f>
        <v>0</v>
      </c>
      <c r="AG32" s="201">
        <f t="shared" si="22"/>
        <v>0</v>
      </c>
      <c r="AH32" s="243"/>
    </row>
    <row r="33" spans="1:34" ht="35.1" hidden="1" customHeight="1">
      <c r="A33" s="6"/>
      <c r="B33" s="97"/>
      <c r="C33" s="101"/>
      <c r="D33" s="86">
        <f t="shared" si="7"/>
        <v>0</v>
      </c>
      <c r="E33" s="86">
        <f t="shared" si="8"/>
        <v>0</v>
      </c>
      <c r="F33" s="87">
        <f t="shared" si="9"/>
        <v>0</v>
      </c>
      <c r="G33" s="86">
        <f t="shared" si="0"/>
        <v>0</v>
      </c>
      <c r="H33" s="88">
        <f t="shared" si="10"/>
        <v>0</v>
      </c>
      <c r="I33" s="89">
        <f t="shared" si="11"/>
        <v>0</v>
      </c>
      <c r="J33" s="104">
        <f t="shared" si="1"/>
        <v>0</v>
      </c>
      <c r="K33" s="91">
        <f t="shared" si="12"/>
        <v>0</v>
      </c>
      <c r="L33" s="92">
        <f t="shared" si="13"/>
        <v>0</v>
      </c>
      <c r="M33" s="93">
        <f t="shared" si="2"/>
        <v>0</v>
      </c>
      <c r="N33" s="88">
        <f t="shared" si="14"/>
        <v>0</v>
      </c>
      <c r="O33" s="89">
        <f t="shared" si="15"/>
        <v>0</v>
      </c>
      <c r="P33" s="94">
        <f t="shared" si="3"/>
        <v>0</v>
      </c>
      <c r="Q33" s="95">
        <f t="shared" si="4"/>
        <v>0</v>
      </c>
      <c r="R33" s="89">
        <f t="shared" si="16"/>
        <v>0</v>
      </c>
      <c r="S33" s="102">
        <f t="shared" si="5"/>
        <v>0</v>
      </c>
      <c r="T33" s="95">
        <f t="shared" si="6"/>
        <v>0</v>
      </c>
      <c r="U33" s="92">
        <f t="shared" si="17"/>
        <v>0</v>
      </c>
      <c r="V33" s="27"/>
      <c r="W33" s="197"/>
      <c r="X33" s="240"/>
      <c r="Y33" s="240"/>
      <c r="Z33" s="240">
        <f t="shared" si="35"/>
        <v>0</v>
      </c>
      <c r="AA33" s="240">
        <f t="shared" si="36"/>
        <v>0</v>
      </c>
      <c r="AB33" s="240">
        <f>X33*合数一覧!$F$94</f>
        <v>0</v>
      </c>
      <c r="AC33" s="240">
        <f>X33*合数一覧!$C$95</f>
        <v>0</v>
      </c>
      <c r="AD33" s="240">
        <f>X33*合数一覧!$C$96</f>
        <v>0</v>
      </c>
      <c r="AE33" s="240">
        <f>X33*合数一覧!$C$97</f>
        <v>0</v>
      </c>
      <c r="AF33" s="201">
        <f>IF(X33, X33*合数一覧!$C$91*3+SUM(Y33,AA33,AB33,AC33,AD33,AE33), 0)</f>
        <v>0</v>
      </c>
      <c r="AG33" s="201">
        <f t="shared" si="22"/>
        <v>0</v>
      </c>
      <c r="AH33" s="243"/>
    </row>
    <row r="34" spans="1:34" ht="35.1" hidden="1" customHeight="1">
      <c r="A34" s="6"/>
      <c r="B34" s="97"/>
      <c r="C34" s="101"/>
      <c r="D34" s="86">
        <f t="shared" si="7"/>
        <v>0</v>
      </c>
      <c r="E34" s="86">
        <f t="shared" si="8"/>
        <v>0</v>
      </c>
      <c r="F34" s="87">
        <f t="shared" si="9"/>
        <v>0</v>
      </c>
      <c r="G34" s="86">
        <f t="shared" si="0"/>
        <v>0</v>
      </c>
      <c r="H34" s="88">
        <f t="shared" si="10"/>
        <v>0</v>
      </c>
      <c r="I34" s="89">
        <f t="shared" si="11"/>
        <v>0</v>
      </c>
      <c r="J34" s="104">
        <f t="shared" si="1"/>
        <v>0</v>
      </c>
      <c r="K34" s="91">
        <f t="shared" si="12"/>
        <v>0</v>
      </c>
      <c r="L34" s="92">
        <f t="shared" si="13"/>
        <v>0</v>
      </c>
      <c r="M34" s="93">
        <f t="shared" si="2"/>
        <v>0</v>
      </c>
      <c r="N34" s="88">
        <f t="shared" si="14"/>
        <v>0</v>
      </c>
      <c r="O34" s="89">
        <f t="shared" si="15"/>
        <v>0</v>
      </c>
      <c r="P34" s="94">
        <f t="shared" si="3"/>
        <v>0</v>
      </c>
      <c r="Q34" s="95">
        <f t="shared" si="4"/>
        <v>0</v>
      </c>
      <c r="R34" s="89">
        <f t="shared" si="16"/>
        <v>0</v>
      </c>
      <c r="S34" s="102">
        <f t="shared" si="5"/>
        <v>0</v>
      </c>
      <c r="T34" s="95">
        <f t="shared" si="6"/>
        <v>0</v>
      </c>
      <c r="U34" s="92">
        <f t="shared" si="17"/>
        <v>0</v>
      </c>
      <c r="V34" s="27"/>
      <c r="W34" s="197"/>
      <c r="X34" s="240"/>
      <c r="Y34" s="240"/>
      <c r="Z34" s="240">
        <f t="shared" si="35"/>
        <v>0</v>
      </c>
      <c r="AA34" s="240">
        <f t="shared" si="36"/>
        <v>0</v>
      </c>
      <c r="AB34" s="240">
        <f>X34*合数一覧!$F$94</f>
        <v>0</v>
      </c>
      <c r="AC34" s="240">
        <f>X34*合数一覧!$C$95</f>
        <v>0</v>
      </c>
      <c r="AD34" s="240">
        <f>X34*合数一覧!$C$96</f>
        <v>0</v>
      </c>
      <c r="AE34" s="240">
        <f>X34*合数一覧!$C$97</f>
        <v>0</v>
      </c>
      <c r="AF34" s="201">
        <f>IF(X34, X34*合数一覧!$C$91*3+SUM(Y34,AA34,AB34,AC34,AD34,AE34), 0)</f>
        <v>0</v>
      </c>
      <c r="AG34" s="201">
        <f t="shared" si="22"/>
        <v>0</v>
      </c>
    </row>
    <row r="35" spans="1:34" ht="35.1" hidden="1" customHeight="1">
      <c r="A35" s="6"/>
      <c r="B35" s="97"/>
      <c r="C35" s="101"/>
      <c r="D35" s="86">
        <f t="shared" si="7"/>
        <v>0</v>
      </c>
      <c r="E35" s="86">
        <f t="shared" si="8"/>
        <v>0</v>
      </c>
      <c r="F35" s="87">
        <f t="shared" si="9"/>
        <v>0</v>
      </c>
      <c r="G35" s="86">
        <f t="shared" si="0"/>
        <v>0</v>
      </c>
      <c r="H35" s="88">
        <f t="shared" si="10"/>
        <v>0</v>
      </c>
      <c r="I35" s="89">
        <f t="shared" si="11"/>
        <v>0</v>
      </c>
      <c r="J35" s="90">
        <f t="shared" si="1"/>
        <v>0</v>
      </c>
      <c r="K35" s="91">
        <f t="shared" si="12"/>
        <v>0</v>
      </c>
      <c r="L35" s="92">
        <f t="shared" si="13"/>
        <v>0</v>
      </c>
      <c r="M35" s="93">
        <f t="shared" si="2"/>
        <v>0</v>
      </c>
      <c r="N35" s="88">
        <f t="shared" si="14"/>
        <v>0</v>
      </c>
      <c r="O35" s="89">
        <f t="shared" si="15"/>
        <v>0</v>
      </c>
      <c r="P35" s="94">
        <f t="shared" si="3"/>
        <v>0</v>
      </c>
      <c r="Q35" s="95">
        <f t="shared" si="4"/>
        <v>0</v>
      </c>
      <c r="R35" s="89">
        <f t="shared" si="16"/>
        <v>0</v>
      </c>
      <c r="S35" s="95">
        <f t="shared" si="5"/>
        <v>0</v>
      </c>
      <c r="T35" s="95">
        <f t="shared" si="6"/>
        <v>0</v>
      </c>
      <c r="U35" s="92">
        <f t="shared" si="17"/>
        <v>0</v>
      </c>
      <c r="V35" s="27"/>
      <c r="W35" s="197"/>
      <c r="X35" s="240"/>
      <c r="Y35" s="240"/>
      <c r="Z35" s="240">
        <f t="shared" si="35"/>
        <v>0</v>
      </c>
      <c r="AA35" s="240">
        <f t="shared" si="36"/>
        <v>0</v>
      </c>
      <c r="AB35" s="240">
        <f>X35*合数一覧!$F$94</f>
        <v>0</v>
      </c>
      <c r="AC35" s="240">
        <f>X35*合数一覧!$C$95</f>
        <v>0</v>
      </c>
      <c r="AD35" s="240">
        <f>X35*合数一覧!$C$96</f>
        <v>0</v>
      </c>
      <c r="AE35" s="240">
        <f>X35*合数一覧!$C$97</f>
        <v>0</v>
      </c>
      <c r="AF35" s="201">
        <f>IF(X35, X35*合数一覧!$C$91*3+SUM(Y35,AA35,AB35,AC35,AD35,AE35), 0)</f>
        <v>0</v>
      </c>
      <c r="AG35" s="201">
        <f t="shared" si="22"/>
        <v>0</v>
      </c>
    </row>
    <row r="36" spans="1:34" ht="24.95" customHeight="1">
      <c r="B36" s="97"/>
      <c r="C36" s="101"/>
      <c r="D36" s="86">
        <f t="shared" si="7"/>
        <v>0</v>
      </c>
      <c r="E36" s="86">
        <f t="shared" si="8"/>
        <v>0</v>
      </c>
      <c r="F36" s="87">
        <f t="shared" si="9"/>
        <v>0</v>
      </c>
      <c r="G36" s="86">
        <f t="shared" si="0"/>
        <v>0</v>
      </c>
      <c r="H36" s="88">
        <f t="shared" si="10"/>
        <v>0</v>
      </c>
      <c r="I36" s="89">
        <f t="shared" si="11"/>
        <v>0</v>
      </c>
      <c r="J36" s="90">
        <f t="shared" si="1"/>
        <v>0</v>
      </c>
      <c r="K36" s="91">
        <f t="shared" si="12"/>
        <v>0</v>
      </c>
      <c r="L36" s="92">
        <f t="shared" si="13"/>
        <v>0</v>
      </c>
      <c r="M36" s="93">
        <f t="shared" si="2"/>
        <v>0</v>
      </c>
      <c r="N36" s="88">
        <f t="shared" si="14"/>
        <v>0</v>
      </c>
      <c r="O36" s="89">
        <f t="shared" si="15"/>
        <v>0</v>
      </c>
      <c r="P36" s="94">
        <f t="shared" si="3"/>
        <v>0</v>
      </c>
      <c r="Q36" s="95">
        <f t="shared" si="4"/>
        <v>0</v>
      </c>
      <c r="R36" s="89">
        <f t="shared" si="16"/>
        <v>0</v>
      </c>
      <c r="S36" s="95">
        <f t="shared" si="5"/>
        <v>0</v>
      </c>
      <c r="T36" s="95">
        <f t="shared" si="6"/>
        <v>0</v>
      </c>
      <c r="U36" s="92">
        <f t="shared" si="17"/>
        <v>0</v>
      </c>
      <c r="V36" s="27"/>
      <c r="X36"/>
      <c r="Y36"/>
      <c r="Z36"/>
      <c r="AA36"/>
      <c r="AB36"/>
      <c r="AC36"/>
      <c r="AD36"/>
      <c r="AE36"/>
      <c r="AF36"/>
      <c r="AG36"/>
    </row>
    <row r="37" spans="1:34" ht="24.95" customHeight="1">
      <c r="A37" s="6"/>
      <c r="B37" s="97"/>
      <c r="C37" s="101"/>
      <c r="D37" s="86">
        <f t="shared" si="7"/>
        <v>0</v>
      </c>
      <c r="E37" s="86">
        <f t="shared" si="8"/>
        <v>0</v>
      </c>
      <c r="F37" s="87">
        <f t="shared" si="9"/>
        <v>0</v>
      </c>
      <c r="G37" s="86">
        <f t="shared" si="0"/>
        <v>0</v>
      </c>
      <c r="H37" s="88">
        <f t="shared" si="10"/>
        <v>0</v>
      </c>
      <c r="I37" s="89">
        <f t="shared" si="11"/>
        <v>0</v>
      </c>
      <c r="J37" s="90">
        <f t="shared" si="1"/>
        <v>0</v>
      </c>
      <c r="K37" s="91">
        <f t="shared" si="12"/>
        <v>0</v>
      </c>
      <c r="L37" s="92">
        <f t="shared" si="13"/>
        <v>0</v>
      </c>
      <c r="M37" s="93">
        <f t="shared" si="2"/>
        <v>0</v>
      </c>
      <c r="N37" s="88">
        <f t="shared" si="14"/>
        <v>0</v>
      </c>
      <c r="O37" s="89">
        <f t="shared" si="15"/>
        <v>0</v>
      </c>
      <c r="P37" s="105">
        <f t="shared" si="3"/>
        <v>0</v>
      </c>
      <c r="Q37" s="95">
        <f t="shared" si="4"/>
        <v>0</v>
      </c>
      <c r="R37" s="89">
        <f t="shared" si="16"/>
        <v>0</v>
      </c>
      <c r="S37" s="102">
        <f t="shared" si="5"/>
        <v>0</v>
      </c>
      <c r="T37" s="95">
        <f t="shared" si="6"/>
        <v>0</v>
      </c>
      <c r="U37" s="92">
        <f t="shared" si="17"/>
        <v>0</v>
      </c>
      <c r="V37" s="27"/>
      <c r="W37" s="6"/>
      <c r="X37" s="12"/>
      <c r="Y37" s="12"/>
      <c r="Z37" s="12"/>
      <c r="AA37" s="12"/>
      <c r="AB37" s="12"/>
      <c r="AC37" s="12"/>
      <c r="AD37" s="12"/>
      <c r="AE37" s="12"/>
      <c r="AF37" s="13"/>
      <c r="AG37" s="13"/>
    </row>
    <row r="38" spans="1:34" ht="24.95" customHeight="1">
      <c r="A38" s="6"/>
      <c r="B38" s="106"/>
      <c r="C38" s="98"/>
      <c r="D38" s="86">
        <f t="shared" si="7"/>
        <v>0</v>
      </c>
      <c r="E38" s="86">
        <f t="shared" si="8"/>
        <v>0</v>
      </c>
      <c r="F38" s="87">
        <f t="shared" si="9"/>
        <v>0</v>
      </c>
      <c r="G38" s="86">
        <f t="shared" si="0"/>
        <v>0</v>
      </c>
      <c r="H38" s="88">
        <f t="shared" si="10"/>
        <v>0</v>
      </c>
      <c r="I38" s="89">
        <f t="shared" si="11"/>
        <v>0</v>
      </c>
      <c r="J38" s="90">
        <f t="shared" si="1"/>
        <v>0</v>
      </c>
      <c r="K38" s="91">
        <f t="shared" si="12"/>
        <v>0</v>
      </c>
      <c r="L38" s="92">
        <f t="shared" si="13"/>
        <v>0</v>
      </c>
      <c r="M38" s="93">
        <f t="shared" si="2"/>
        <v>0</v>
      </c>
      <c r="N38" s="88">
        <f t="shared" si="14"/>
        <v>0</v>
      </c>
      <c r="O38" s="89">
        <f t="shared" si="15"/>
        <v>0</v>
      </c>
      <c r="P38" s="105">
        <f t="shared" si="3"/>
        <v>0</v>
      </c>
      <c r="Q38" s="95">
        <f t="shared" si="4"/>
        <v>0</v>
      </c>
      <c r="R38" s="89">
        <f t="shared" si="16"/>
        <v>0</v>
      </c>
      <c r="S38" s="102">
        <f t="shared" si="5"/>
        <v>0</v>
      </c>
      <c r="T38" s="95">
        <f t="shared" si="6"/>
        <v>0</v>
      </c>
      <c r="U38" s="92">
        <f t="shared" si="17"/>
        <v>0</v>
      </c>
      <c r="V38" s="28"/>
      <c r="X38" s="12"/>
      <c r="Y38" s="12"/>
      <c r="Z38" s="12"/>
      <c r="AA38" s="12"/>
      <c r="AB38" s="12"/>
      <c r="AC38" s="12"/>
      <c r="AD38" s="12"/>
      <c r="AE38" s="12"/>
      <c r="AF38" s="14"/>
      <c r="AG38" s="14"/>
    </row>
    <row r="39" spans="1:34" ht="24.95" customHeight="1">
      <c r="A39" s="6"/>
      <c r="B39" s="97"/>
      <c r="C39" s="101"/>
      <c r="D39" s="86">
        <f t="shared" si="7"/>
        <v>0</v>
      </c>
      <c r="E39" s="86">
        <f t="shared" si="8"/>
        <v>0</v>
      </c>
      <c r="F39" s="87">
        <f t="shared" si="9"/>
        <v>0</v>
      </c>
      <c r="G39" s="86">
        <f t="shared" si="0"/>
        <v>0</v>
      </c>
      <c r="H39" s="88">
        <f t="shared" si="10"/>
        <v>0</v>
      </c>
      <c r="I39" s="89">
        <f t="shared" si="11"/>
        <v>0</v>
      </c>
      <c r="J39" s="90">
        <f t="shared" si="1"/>
        <v>0</v>
      </c>
      <c r="K39" s="91">
        <f t="shared" si="12"/>
        <v>0</v>
      </c>
      <c r="L39" s="92">
        <f t="shared" si="13"/>
        <v>0</v>
      </c>
      <c r="M39" s="93">
        <f t="shared" si="2"/>
        <v>0</v>
      </c>
      <c r="N39" s="88">
        <f t="shared" si="14"/>
        <v>0</v>
      </c>
      <c r="O39" s="89">
        <f t="shared" si="15"/>
        <v>0</v>
      </c>
      <c r="P39" s="94">
        <f t="shared" si="3"/>
        <v>0</v>
      </c>
      <c r="Q39" s="95">
        <f t="shared" si="4"/>
        <v>0</v>
      </c>
      <c r="R39" s="89">
        <f t="shared" si="16"/>
        <v>0</v>
      </c>
      <c r="S39" s="95">
        <f t="shared" si="5"/>
        <v>0</v>
      </c>
      <c r="T39" s="95">
        <f t="shared" si="6"/>
        <v>0</v>
      </c>
      <c r="U39" s="92">
        <f t="shared" si="17"/>
        <v>0</v>
      </c>
      <c r="V39" s="27"/>
      <c r="X39" s="12"/>
      <c r="Y39" s="12"/>
      <c r="Z39" s="12"/>
      <c r="AA39" s="12"/>
      <c r="AB39" s="12"/>
      <c r="AC39" s="12"/>
      <c r="AD39" s="12"/>
      <c r="AE39" s="12"/>
      <c r="AF39" s="14"/>
      <c r="AG39" s="14"/>
    </row>
    <row r="40" spans="1:34" ht="24.95" customHeight="1">
      <c r="B40" s="97"/>
      <c r="C40" s="101"/>
      <c r="D40" s="86">
        <f t="shared" si="7"/>
        <v>0</v>
      </c>
      <c r="E40" s="86">
        <f t="shared" si="8"/>
        <v>0</v>
      </c>
      <c r="F40" s="87">
        <f t="shared" si="9"/>
        <v>0</v>
      </c>
      <c r="G40" s="86">
        <f t="shared" si="0"/>
        <v>0</v>
      </c>
      <c r="H40" s="88">
        <f t="shared" si="10"/>
        <v>0</v>
      </c>
      <c r="I40" s="89">
        <f t="shared" si="11"/>
        <v>0</v>
      </c>
      <c r="J40" s="90">
        <f t="shared" si="1"/>
        <v>0</v>
      </c>
      <c r="K40" s="91">
        <f t="shared" si="12"/>
        <v>0</v>
      </c>
      <c r="L40" s="92">
        <f t="shared" si="13"/>
        <v>0</v>
      </c>
      <c r="M40" s="93">
        <f t="shared" si="2"/>
        <v>0</v>
      </c>
      <c r="N40" s="88">
        <f t="shared" si="14"/>
        <v>0</v>
      </c>
      <c r="O40" s="89">
        <f t="shared" si="15"/>
        <v>0</v>
      </c>
      <c r="P40" s="94">
        <f t="shared" si="3"/>
        <v>0</v>
      </c>
      <c r="Q40" s="95">
        <f t="shared" si="4"/>
        <v>0</v>
      </c>
      <c r="R40" s="89">
        <f t="shared" si="16"/>
        <v>0</v>
      </c>
      <c r="S40" s="95">
        <f t="shared" si="5"/>
        <v>0</v>
      </c>
      <c r="T40" s="95">
        <f t="shared" si="6"/>
        <v>0</v>
      </c>
      <c r="U40" s="92">
        <f t="shared" si="17"/>
        <v>0</v>
      </c>
      <c r="V40" s="27"/>
      <c r="X40" s="12"/>
      <c r="Y40" s="12"/>
      <c r="Z40" s="12"/>
      <c r="AA40" s="12"/>
      <c r="AB40" s="12"/>
      <c r="AC40" s="12"/>
      <c r="AD40" s="12"/>
      <c r="AE40" s="12"/>
      <c r="AF40" s="14"/>
      <c r="AG40" s="14"/>
    </row>
    <row r="41" spans="1:34" ht="24.95" customHeight="1">
      <c r="B41" s="107"/>
      <c r="C41" s="99"/>
      <c r="D41" s="86">
        <f t="shared" si="7"/>
        <v>0</v>
      </c>
      <c r="E41" s="86">
        <f t="shared" si="8"/>
        <v>0</v>
      </c>
      <c r="F41" s="87">
        <f t="shared" si="9"/>
        <v>0</v>
      </c>
      <c r="G41" s="86">
        <f t="shared" si="0"/>
        <v>0</v>
      </c>
      <c r="H41" s="88">
        <f t="shared" si="10"/>
        <v>0</v>
      </c>
      <c r="I41" s="89">
        <f t="shared" si="11"/>
        <v>0</v>
      </c>
      <c r="J41" s="90">
        <f t="shared" si="1"/>
        <v>0</v>
      </c>
      <c r="K41" s="91">
        <f t="shared" si="12"/>
        <v>0</v>
      </c>
      <c r="L41" s="92">
        <f t="shared" si="13"/>
        <v>0</v>
      </c>
      <c r="M41" s="93">
        <f t="shared" si="2"/>
        <v>0</v>
      </c>
      <c r="N41" s="88">
        <f t="shared" si="14"/>
        <v>0</v>
      </c>
      <c r="O41" s="89">
        <f t="shared" si="15"/>
        <v>0</v>
      </c>
      <c r="P41" s="108">
        <f t="shared" si="3"/>
        <v>0</v>
      </c>
      <c r="Q41" s="95">
        <f t="shared" si="4"/>
        <v>0</v>
      </c>
      <c r="R41" s="89">
        <f t="shared" si="16"/>
        <v>0</v>
      </c>
      <c r="S41" s="100">
        <f t="shared" si="5"/>
        <v>0</v>
      </c>
      <c r="T41" s="95">
        <f t="shared" si="6"/>
        <v>0</v>
      </c>
      <c r="U41" s="92">
        <f t="shared" si="17"/>
        <v>0</v>
      </c>
      <c r="V41" s="27"/>
      <c r="X41" s="12"/>
      <c r="Y41" s="12"/>
      <c r="Z41" s="12"/>
      <c r="AA41" s="12"/>
      <c r="AB41" s="12"/>
      <c r="AC41" s="12"/>
      <c r="AD41" s="12"/>
      <c r="AE41" s="12"/>
      <c r="AF41" s="14"/>
      <c r="AG41" s="14"/>
    </row>
    <row r="42" spans="1:34" ht="24.95" customHeight="1">
      <c r="B42" s="107"/>
      <c r="C42" s="99"/>
      <c r="D42" s="86">
        <f t="shared" si="7"/>
        <v>0</v>
      </c>
      <c r="E42" s="86">
        <f t="shared" si="8"/>
        <v>0</v>
      </c>
      <c r="F42" s="87">
        <f t="shared" si="9"/>
        <v>0</v>
      </c>
      <c r="G42" s="86">
        <f t="shared" si="0"/>
        <v>0</v>
      </c>
      <c r="H42" s="88">
        <f t="shared" si="10"/>
        <v>0</v>
      </c>
      <c r="I42" s="89">
        <f t="shared" si="11"/>
        <v>0</v>
      </c>
      <c r="J42" s="109">
        <f t="shared" si="1"/>
        <v>0</v>
      </c>
      <c r="K42" s="91">
        <f t="shared" si="12"/>
        <v>0</v>
      </c>
      <c r="L42" s="92">
        <f t="shared" si="13"/>
        <v>0</v>
      </c>
      <c r="M42" s="93">
        <f t="shared" si="2"/>
        <v>0</v>
      </c>
      <c r="N42" s="88">
        <f t="shared" si="14"/>
        <v>0</v>
      </c>
      <c r="O42" s="89">
        <f t="shared" si="15"/>
        <v>0</v>
      </c>
      <c r="P42" s="108">
        <f t="shared" si="3"/>
        <v>0</v>
      </c>
      <c r="Q42" s="95">
        <f t="shared" si="4"/>
        <v>0</v>
      </c>
      <c r="R42" s="89">
        <f t="shared" si="16"/>
        <v>0</v>
      </c>
      <c r="S42" s="100">
        <f t="shared" si="5"/>
        <v>0</v>
      </c>
      <c r="T42" s="95">
        <f t="shared" si="6"/>
        <v>0</v>
      </c>
      <c r="U42" s="92">
        <f t="shared" si="17"/>
        <v>0</v>
      </c>
      <c r="V42" s="28"/>
      <c r="X42" s="12"/>
      <c r="Y42" s="12"/>
      <c r="Z42" s="12"/>
      <c r="AA42" s="12"/>
      <c r="AB42" s="12"/>
      <c r="AC42" s="12"/>
      <c r="AD42" s="12"/>
      <c r="AE42" s="12"/>
      <c r="AF42" s="14"/>
      <c r="AG42" s="14"/>
    </row>
    <row r="43" spans="1:34" ht="24.95" customHeight="1">
      <c r="B43" s="97"/>
      <c r="C43" s="101"/>
      <c r="D43" s="86">
        <f t="shared" si="7"/>
        <v>0</v>
      </c>
      <c r="E43" s="86">
        <f t="shared" si="8"/>
        <v>0</v>
      </c>
      <c r="F43" s="87">
        <f t="shared" si="9"/>
        <v>0</v>
      </c>
      <c r="G43" s="86">
        <f t="shared" si="0"/>
        <v>0</v>
      </c>
      <c r="H43" s="88">
        <f t="shared" si="10"/>
        <v>0</v>
      </c>
      <c r="I43" s="89">
        <f t="shared" si="11"/>
        <v>0</v>
      </c>
      <c r="J43" s="109">
        <f t="shared" si="1"/>
        <v>0</v>
      </c>
      <c r="K43" s="91">
        <f t="shared" si="12"/>
        <v>0</v>
      </c>
      <c r="L43" s="92">
        <f t="shared" si="13"/>
        <v>0</v>
      </c>
      <c r="M43" s="93">
        <f t="shared" si="2"/>
        <v>0</v>
      </c>
      <c r="N43" s="88">
        <f t="shared" si="14"/>
        <v>0</v>
      </c>
      <c r="O43" s="89">
        <f t="shared" si="15"/>
        <v>0</v>
      </c>
      <c r="P43" s="108">
        <f t="shared" si="3"/>
        <v>0</v>
      </c>
      <c r="Q43" s="95">
        <f t="shared" si="4"/>
        <v>0</v>
      </c>
      <c r="R43" s="89">
        <f t="shared" si="16"/>
        <v>0</v>
      </c>
      <c r="S43" s="100">
        <f t="shared" si="5"/>
        <v>0</v>
      </c>
      <c r="T43" s="95">
        <f t="shared" si="6"/>
        <v>0</v>
      </c>
      <c r="U43" s="92">
        <f t="shared" si="17"/>
        <v>0</v>
      </c>
      <c r="V43" s="28"/>
      <c r="X43" s="12"/>
      <c r="Y43" s="12"/>
      <c r="Z43" s="12"/>
      <c r="AA43" s="12"/>
      <c r="AB43" s="12"/>
      <c r="AC43" s="12"/>
      <c r="AD43" s="12"/>
      <c r="AE43" s="12"/>
      <c r="AF43" s="14"/>
      <c r="AG43" s="14"/>
    </row>
    <row r="44" spans="1:34" ht="24.95" customHeight="1">
      <c r="B44" s="97"/>
      <c r="C44" s="101"/>
      <c r="D44" s="86">
        <f t="shared" si="7"/>
        <v>0</v>
      </c>
      <c r="E44" s="86">
        <f t="shared" si="8"/>
        <v>0</v>
      </c>
      <c r="F44" s="87">
        <f t="shared" si="9"/>
        <v>0</v>
      </c>
      <c r="G44" s="86">
        <f t="shared" si="0"/>
        <v>0</v>
      </c>
      <c r="H44" s="88">
        <f t="shared" si="10"/>
        <v>0</v>
      </c>
      <c r="I44" s="89">
        <f t="shared" si="11"/>
        <v>0</v>
      </c>
      <c r="J44" s="109">
        <f t="shared" si="1"/>
        <v>0</v>
      </c>
      <c r="K44" s="91">
        <f t="shared" si="12"/>
        <v>0</v>
      </c>
      <c r="L44" s="92">
        <f t="shared" si="13"/>
        <v>0</v>
      </c>
      <c r="M44" s="93">
        <f t="shared" si="2"/>
        <v>0</v>
      </c>
      <c r="N44" s="88">
        <f t="shared" si="14"/>
        <v>0</v>
      </c>
      <c r="O44" s="89">
        <f t="shared" si="15"/>
        <v>0</v>
      </c>
      <c r="P44" s="108">
        <f t="shared" si="3"/>
        <v>0</v>
      </c>
      <c r="Q44" s="95">
        <f t="shared" si="4"/>
        <v>0</v>
      </c>
      <c r="R44" s="89">
        <f t="shared" si="16"/>
        <v>0</v>
      </c>
      <c r="S44" s="100">
        <f t="shared" si="5"/>
        <v>0</v>
      </c>
      <c r="T44" s="95">
        <f t="shared" si="6"/>
        <v>0</v>
      </c>
      <c r="U44" s="92">
        <f t="shared" si="17"/>
        <v>0</v>
      </c>
      <c r="V44" s="28"/>
      <c r="X44" s="12"/>
      <c r="Y44" s="12"/>
      <c r="Z44" s="12"/>
      <c r="AA44" s="12"/>
      <c r="AB44" s="12"/>
      <c r="AC44" s="12"/>
      <c r="AD44" s="12"/>
      <c r="AE44" s="12"/>
      <c r="AF44" s="14"/>
      <c r="AG44" s="14"/>
    </row>
    <row r="45" spans="1:34" ht="24.95" customHeight="1">
      <c r="B45" s="107"/>
      <c r="C45" s="99"/>
      <c r="D45" s="86">
        <f t="shared" si="7"/>
        <v>0</v>
      </c>
      <c r="E45" s="86">
        <f t="shared" si="8"/>
        <v>0</v>
      </c>
      <c r="F45" s="87">
        <f t="shared" si="9"/>
        <v>0</v>
      </c>
      <c r="G45" s="86">
        <f t="shared" si="0"/>
        <v>0</v>
      </c>
      <c r="H45" s="88">
        <f t="shared" si="10"/>
        <v>0</v>
      </c>
      <c r="I45" s="89">
        <f t="shared" si="11"/>
        <v>0</v>
      </c>
      <c r="J45" s="109">
        <f t="shared" si="1"/>
        <v>0</v>
      </c>
      <c r="K45" s="91">
        <f t="shared" si="12"/>
        <v>0</v>
      </c>
      <c r="L45" s="92">
        <f t="shared" si="13"/>
        <v>0</v>
      </c>
      <c r="M45" s="93">
        <f t="shared" si="2"/>
        <v>0</v>
      </c>
      <c r="N45" s="88">
        <f t="shared" si="14"/>
        <v>0</v>
      </c>
      <c r="O45" s="89">
        <f t="shared" si="15"/>
        <v>0</v>
      </c>
      <c r="P45" s="108">
        <f t="shared" si="3"/>
        <v>0</v>
      </c>
      <c r="Q45" s="95">
        <f t="shared" si="4"/>
        <v>0</v>
      </c>
      <c r="R45" s="89">
        <f t="shared" si="16"/>
        <v>0</v>
      </c>
      <c r="S45" s="100">
        <f t="shared" si="5"/>
        <v>0</v>
      </c>
      <c r="T45" s="95">
        <f t="shared" si="6"/>
        <v>0</v>
      </c>
      <c r="U45" s="92">
        <f t="shared" si="17"/>
        <v>0</v>
      </c>
      <c r="V45" s="28"/>
      <c r="X45" s="12"/>
      <c r="Y45" s="12"/>
      <c r="Z45" s="12"/>
      <c r="AA45" s="12"/>
      <c r="AB45" s="12"/>
      <c r="AC45" s="12"/>
      <c r="AD45" s="12"/>
      <c r="AE45" s="12"/>
      <c r="AF45" s="14"/>
      <c r="AG45" s="14"/>
    </row>
    <row r="46" spans="1:34" ht="24.95" customHeight="1">
      <c r="B46" s="110"/>
      <c r="C46" s="101"/>
      <c r="D46" s="86">
        <f t="shared" si="7"/>
        <v>0</v>
      </c>
      <c r="E46" s="86">
        <f t="shared" si="8"/>
        <v>0</v>
      </c>
      <c r="F46" s="87">
        <f t="shared" si="9"/>
        <v>0</v>
      </c>
      <c r="G46" s="86">
        <f t="shared" si="0"/>
        <v>0</v>
      </c>
      <c r="H46" s="88">
        <f t="shared" si="10"/>
        <v>0</v>
      </c>
      <c r="I46" s="89">
        <f t="shared" si="11"/>
        <v>0</v>
      </c>
      <c r="J46" s="109">
        <f t="shared" si="1"/>
        <v>0</v>
      </c>
      <c r="K46" s="91">
        <f t="shared" si="12"/>
        <v>0</v>
      </c>
      <c r="L46" s="92">
        <f t="shared" si="13"/>
        <v>0</v>
      </c>
      <c r="M46" s="93">
        <f t="shared" si="2"/>
        <v>0</v>
      </c>
      <c r="N46" s="88">
        <f t="shared" si="14"/>
        <v>0</v>
      </c>
      <c r="O46" s="89">
        <f t="shared" si="15"/>
        <v>0</v>
      </c>
      <c r="P46" s="108">
        <f t="shared" si="3"/>
        <v>0</v>
      </c>
      <c r="Q46" s="95">
        <f t="shared" si="4"/>
        <v>0</v>
      </c>
      <c r="R46" s="89">
        <f t="shared" si="16"/>
        <v>0</v>
      </c>
      <c r="S46" s="100">
        <f t="shared" si="5"/>
        <v>0</v>
      </c>
      <c r="T46" s="95">
        <f t="shared" si="6"/>
        <v>0</v>
      </c>
      <c r="U46" s="92">
        <f t="shared" si="17"/>
        <v>0</v>
      </c>
      <c r="V46" s="28"/>
      <c r="X46" s="12"/>
      <c r="Y46" s="12"/>
      <c r="Z46" s="12"/>
      <c r="AA46" s="12"/>
      <c r="AB46" s="12"/>
      <c r="AC46" s="12"/>
      <c r="AD46" s="12"/>
      <c r="AE46" s="12"/>
      <c r="AF46" s="14"/>
      <c r="AG46" s="14"/>
    </row>
    <row r="47" spans="1:34" ht="24.95" customHeight="1">
      <c r="B47" s="111"/>
      <c r="C47" s="99"/>
      <c r="D47" s="86">
        <f t="shared" si="7"/>
        <v>0</v>
      </c>
      <c r="E47" s="86">
        <f t="shared" si="8"/>
        <v>0</v>
      </c>
      <c r="F47" s="87">
        <f t="shared" si="9"/>
        <v>0</v>
      </c>
      <c r="G47" s="86">
        <f t="shared" si="0"/>
        <v>0</v>
      </c>
      <c r="H47" s="88">
        <f t="shared" si="10"/>
        <v>0</v>
      </c>
      <c r="I47" s="89">
        <f t="shared" si="11"/>
        <v>0</v>
      </c>
      <c r="J47" s="109">
        <f t="shared" si="1"/>
        <v>0</v>
      </c>
      <c r="K47" s="91">
        <f t="shared" si="12"/>
        <v>0</v>
      </c>
      <c r="L47" s="92">
        <f t="shared" si="13"/>
        <v>0</v>
      </c>
      <c r="M47" s="93">
        <f t="shared" si="2"/>
        <v>0</v>
      </c>
      <c r="N47" s="88">
        <f t="shared" si="14"/>
        <v>0</v>
      </c>
      <c r="O47" s="89">
        <f t="shared" si="15"/>
        <v>0</v>
      </c>
      <c r="P47" s="108">
        <f t="shared" si="3"/>
        <v>0</v>
      </c>
      <c r="Q47" s="95">
        <f t="shared" si="4"/>
        <v>0</v>
      </c>
      <c r="R47" s="89">
        <f t="shared" si="16"/>
        <v>0</v>
      </c>
      <c r="S47" s="100">
        <f t="shared" si="5"/>
        <v>0</v>
      </c>
      <c r="T47" s="95">
        <f t="shared" si="6"/>
        <v>0</v>
      </c>
      <c r="U47" s="92">
        <f t="shared" si="17"/>
        <v>0</v>
      </c>
      <c r="V47" s="28"/>
      <c r="X47" s="12"/>
      <c r="Y47" s="12"/>
      <c r="Z47" s="12"/>
      <c r="AA47" s="12"/>
      <c r="AB47" s="12"/>
      <c r="AC47" s="12"/>
      <c r="AD47" s="12"/>
      <c r="AE47" s="12"/>
      <c r="AF47" s="14"/>
      <c r="AG47" s="14"/>
    </row>
    <row r="48" spans="1:34" ht="24.95" customHeight="1">
      <c r="B48" s="110"/>
      <c r="C48" s="101"/>
      <c r="D48" s="86">
        <f t="shared" si="7"/>
        <v>0</v>
      </c>
      <c r="E48" s="86">
        <f t="shared" si="8"/>
        <v>0</v>
      </c>
      <c r="F48" s="87">
        <f t="shared" si="9"/>
        <v>0</v>
      </c>
      <c r="G48" s="86">
        <f t="shared" si="0"/>
        <v>0</v>
      </c>
      <c r="H48" s="88">
        <f t="shared" si="10"/>
        <v>0</v>
      </c>
      <c r="I48" s="89">
        <f t="shared" si="11"/>
        <v>0</v>
      </c>
      <c r="J48" s="109">
        <f t="shared" si="1"/>
        <v>0</v>
      </c>
      <c r="K48" s="91">
        <f t="shared" si="12"/>
        <v>0</v>
      </c>
      <c r="L48" s="92">
        <f t="shared" si="13"/>
        <v>0</v>
      </c>
      <c r="M48" s="93">
        <f t="shared" si="2"/>
        <v>0</v>
      </c>
      <c r="N48" s="88">
        <f t="shared" si="14"/>
        <v>0</v>
      </c>
      <c r="O48" s="89">
        <f t="shared" si="15"/>
        <v>0</v>
      </c>
      <c r="P48" s="108">
        <f t="shared" si="3"/>
        <v>0</v>
      </c>
      <c r="Q48" s="95">
        <f t="shared" si="4"/>
        <v>0</v>
      </c>
      <c r="R48" s="89">
        <f t="shared" si="16"/>
        <v>0</v>
      </c>
      <c r="S48" s="100">
        <f t="shared" si="5"/>
        <v>0</v>
      </c>
      <c r="T48" s="95">
        <f t="shared" si="6"/>
        <v>0</v>
      </c>
      <c r="U48" s="92">
        <f t="shared" si="17"/>
        <v>0</v>
      </c>
      <c r="V48" s="28"/>
      <c r="X48" s="12"/>
      <c r="Y48" s="12"/>
      <c r="Z48" s="12"/>
      <c r="AA48" s="12"/>
      <c r="AB48" s="12"/>
      <c r="AC48" s="12"/>
      <c r="AD48" s="12"/>
      <c r="AE48" s="12"/>
      <c r="AF48" s="14"/>
      <c r="AG48" s="14"/>
    </row>
    <row r="49" spans="1:33" ht="24.95" customHeight="1">
      <c r="B49" s="110"/>
      <c r="C49" s="101"/>
      <c r="D49" s="86">
        <f t="shared" si="7"/>
        <v>0</v>
      </c>
      <c r="E49" s="86">
        <f t="shared" si="8"/>
        <v>0</v>
      </c>
      <c r="F49" s="87">
        <f t="shared" si="9"/>
        <v>0</v>
      </c>
      <c r="G49" s="86">
        <f t="shared" si="0"/>
        <v>0</v>
      </c>
      <c r="H49" s="88">
        <f t="shared" si="10"/>
        <v>0</v>
      </c>
      <c r="I49" s="89">
        <f t="shared" si="11"/>
        <v>0</v>
      </c>
      <c r="J49" s="109">
        <f t="shared" si="1"/>
        <v>0</v>
      </c>
      <c r="K49" s="91">
        <f t="shared" si="12"/>
        <v>0</v>
      </c>
      <c r="L49" s="92">
        <f t="shared" si="13"/>
        <v>0</v>
      </c>
      <c r="M49" s="93">
        <f t="shared" si="2"/>
        <v>0</v>
      </c>
      <c r="N49" s="88">
        <f t="shared" si="14"/>
        <v>0</v>
      </c>
      <c r="O49" s="89">
        <f t="shared" si="15"/>
        <v>0</v>
      </c>
      <c r="P49" s="108">
        <f t="shared" si="3"/>
        <v>0</v>
      </c>
      <c r="Q49" s="95">
        <f t="shared" si="4"/>
        <v>0</v>
      </c>
      <c r="R49" s="89">
        <f t="shared" si="16"/>
        <v>0</v>
      </c>
      <c r="S49" s="100">
        <f t="shared" si="5"/>
        <v>0</v>
      </c>
      <c r="T49" s="95">
        <f t="shared" si="6"/>
        <v>0</v>
      </c>
      <c r="U49" s="92">
        <f t="shared" si="17"/>
        <v>0</v>
      </c>
      <c r="V49" s="28"/>
      <c r="X49" s="12"/>
      <c r="Y49" s="12"/>
      <c r="Z49" s="12"/>
      <c r="AA49" s="12"/>
      <c r="AB49" s="12"/>
      <c r="AC49" s="12"/>
      <c r="AD49" s="12"/>
      <c r="AE49" s="12"/>
      <c r="AF49" s="14"/>
      <c r="AG49" s="14"/>
    </row>
    <row r="50" spans="1:33" ht="24.95" customHeight="1">
      <c r="B50" s="110"/>
      <c r="C50" s="101"/>
      <c r="D50" s="86">
        <f t="shared" si="7"/>
        <v>0</v>
      </c>
      <c r="E50" s="86">
        <f t="shared" si="8"/>
        <v>0</v>
      </c>
      <c r="F50" s="87">
        <f t="shared" si="9"/>
        <v>0</v>
      </c>
      <c r="G50" s="86">
        <f t="shared" si="0"/>
        <v>0</v>
      </c>
      <c r="H50" s="88">
        <f t="shared" si="10"/>
        <v>0</v>
      </c>
      <c r="I50" s="89">
        <f t="shared" si="11"/>
        <v>0</v>
      </c>
      <c r="J50" s="109">
        <f t="shared" si="1"/>
        <v>0</v>
      </c>
      <c r="K50" s="91">
        <f t="shared" si="12"/>
        <v>0</v>
      </c>
      <c r="L50" s="92">
        <f t="shared" si="13"/>
        <v>0</v>
      </c>
      <c r="M50" s="93">
        <f t="shared" si="2"/>
        <v>0</v>
      </c>
      <c r="N50" s="88">
        <f t="shared" si="14"/>
        <v>0</v>
      </c>
      <c r="O50" s="89">
        <f t="shared" si="15"/>
        <v>0</v>
      </c>
      <c r="P50" s="108">
        <f t="shared" si="3"/>
        <v>0</v>
      </c>
      <c r="Q50" s="95">
        <f t="shared" si="4"/>
        <v>0</v>
      </c>
      <c r="R50" s="89">
        <f t="shared" si="16"/>
        <v>0</v>
      </c>
      <c r="S50" s="100">
        <f t="shared" si="5"/>
        <v>0</v>
      </c>
      <c r="T50" s="95">
        <f t="shared" si="6"/>
        <v>0</v>
      </c>
      <c r="U50" s="92">
        <f t="shared" si="17"/>
        <v>0</v>
      </c>
      <c r="V50" s="28"/>
      <c r="X50" s="12"/>
      <c r="Y50" s="12"/>
      <c r="Z50" s="12"/>
      <c r="AA50" s="12"/>
      <c r="AB50" s="12"/>
      <c r="AC50" s="12"/>
      <c r="AD50" s="12"/>
      <c r="AE50" s="12"/>
      <c r="AF50" s="14"/>
      <c r="AG50" s="14"/>
    </row>
    <row r="51" spans="1:33" ht="24.95" customHeight="1">
      <c r="B51" s="110"/>
      <c r="C51" s="101"/>
      <c r="D51" s="86">
        <f t="shared" si="7"/>
        <v>0</v>
      </c>
      <c r="E51" s="86">
        <f t="shared" si="8"/>
        <v>0</v>
      </c>
      <c r="F51" s="87">
        <f t="shared" si="9"/>
        <v>0</v>
      </c>
      <c r="G51" s="86">
        <f t="shared" si="0"/>
        <v>0</v>
      </c>
      <c r="H51" s="88">
        <f t="shared" si="10"/>
        <v>0</v>
      </c>
      <c r="I51" s="89">
        <f t="shared" si="11"/>
        <v>0</v>
      </c>
      <c r="J51" s="109">
        <f t="shared" si="1"/>
        <v>0</v>
      </c>
      <c r="K51" s="91">
        <f t="shared" si="12"/>
        <v>0</v>
      </c>
      <c r="L51" s="92">
        <f t="shared" si="13"/>
        <v>0</v>
      </c>
      <c r="M51" s="93">
        <f t="shared" si="2"/>
        <v>0</v>
      </c>
      <c r="N51" s="88">
        <f t="shared" si="14"/>
        <v>0</v>
      </c>
      <c r="O51" s="89">
        <f t="shared" si="15"/>
        <v>0</v>
      </c>
      <c r="P51" s="108">
        <f t="shared" si="3"/>
        <v>0</v>
      </c>
      <c r="Q51" s="95">
        <f t="shared" si="4"/>
        <v>0</v>
      </c>
      <c r="R51" s="89">
        <f t="shared" si="16"/>
        <v>0</v>
      </c>
      <c r="S51" s="100">
        <f t="shared" si="5"/>
        <v>0</v>
      </c>
      <c r="T51" s="95">
        <f t="shared" si="6"/>
        <v>0</v>
      </c>
      <c r="U51" s="92">
        <f t="shared" si="17"/>
        <v>0</v>
      </c>
      <c r="V51" s="28"/>
      <c r="X51" s="12"/>
      <c r="Y51" s="12"/>
      <c r="Z51" s="12"/>
      <c r="AA51" s="12"/>
      <c r="AB51" s="12"/>
      <c r="AC51" s="12"/>
      <c r="AD51" s="12"/>
      <c r="AE51" s="12"/>
      <c r="AF51" s="14"/>
      <c r="AG51" s="14"/>
    </row>
    <row r="52" spans="1:33" ht="24.95" customHeight="1">
      <c r="B52" s="110"/>
      <c r="C52" s="101"/>
      <c r="D52" s="86">
        <f t="shared" si="7"/>
        <v>0</v>
      </c>
      <c r="E52" s="86">
        <f t="shared" si="8"/>
        <v>0</v>
      </c>
      <c r="F52" s="87">
        <f t="shared" si="9"/>
        <v>0</v>
      </c>
      <c r="G52" s="86">
        <f t="shared" si="0"/>
        <v>0</v>
      </c>
      <c r="H52" s="88">
        <f t="shared" si="10"/>
        <v>0</v>
      </c>
      <c r="I52" s="89">
        <f t="shared" si="11"/>
        <v>0</v>
      </c>
      <c r="J52" s="109">
        <f t="shared" si="1"/>
        <v>0</v>
      </c>
      <c r="K52" s="91">
        <f t="shared" si="12"/>
        <v>0</v>
      </c>
      <c r="L52" s="92">
        <f t="shared" si="13"/>
        <v>0</v>
      </c>
      <c r="M52" s="93">
        <f t="shared" si="2"/>
        <v>0</v>
      </c>
      <c r="N52" s="88">
        <f t="shared" si="14"/>
        <v>0</v>
      </c>
      <c r="O52" s="89">
        <f t="shared" si="15"/>
        <v>0</v>
      </c>
      <c r="P52" s="108">
        <f t="shared" si="3"/>
        <v>0</v>
      </c>
      <c r="Q52" s="95">
        <f t="shared" si="4"/>
        <v>0</v>
      </c>
      <c r="R52" s="89">
        <f t="shared" si="16"/>
        <v>0</v>
      </c>
      <c r="S52" s="100">
        <f t="shared" si="5"/>
        <v>0</v>
      </c>
      <c r="T52" s="95">
        <f t="shared" si="6"/>
        <v>0</v>
      </c>
      <c r="U52" s="92">
        <f t="shared" si="17"/>
        <v>0</v>
      </c>
      <c r="V52" s="28"/>
      <c r="X52" s="12"/>
      <c r="Y52" s="12"/>
      <c r="Z52" s="12"/>
      <c r="AA52" s="12"/>
      <c r="AB52" s="12"/>
      <c r="AC52" s="12"/>
      <c r="AD52" s="12"/>
      <c r="AE52" s="12"/>
      <c r="AF52" s="14"/>
      <c r="AG52" s="14"/>
    </row>
    <row r="53" spans="1:33" ht="24.95" customHeight="1">
      <c r="B53" s="110"/>
      <c r="C53" s="101"/>
      <c r="D53" s="86">
        <f t="shared" si="7"/>
        <v>0</v>
      </c>
      <c r="E53" s="86">
        <f t="shared" si="8"/>
        <v>0</v>
      </c>
      <c r="F53" s="87">
        <f t="shared" si="9"/>
        <v>0</v>
      </c>
      <c r="G53" s="86">
        <f t="shared" si="0"/>
        <v>0</v>
      </c>
      <c r="H53" s="88">
        <f t="shared" si="10"/>
        <v>0</v>
      </c>
      <c r="I53" s="89">
        <f t="shared" si="11"/>
        <v>0</v>
      </c>
      <c r="J53" s="109">
        <f t="shared" si="1"/>
        <v>0</v>
      </c>
      <c r="K53" s="91">
        <f t="shared" si="12"/>
        <v>0</v>
      </c>
      <c r="L53" s="92">
        <f t="shared" si="13"/>
        <v>0</v>
      </c>
      <c r="M53" s="93">
        <f t="shared" si="2"/>
        <v>0</v>
      </c>
      <c r="N53" s="88">
        <f t="shared" si="14"/>
        <v>0</v>
      </c>
      <c r="O53" s="89">
        <f t="shared" si="15"/>
        <v>0</v>
      </c>
      <c r="P53" s="108">
        <f t="shared" si="3"/>
        <v>0</v>
      </c>
      <c r="Q53" s="95">
        <f t="shared" si="4"/>
        <v>0</v>
      </c>
      <c r="R53" s="89">
        <f t="shared" si="16"/>
        <v>0</v>
      </c>
      <c r="S53" s="100">
        <f t="shared" si="5"/>
        <v>0</v>
      </c>
      <c r="T53" s="95">
        <f t="shared" si="6"/>
        <v>0</v>
      </c>
      <c r="U53" s="92">
        <f t="shared" si="17"/>
        <v>0</v>
      </c>
      <c r="V53" s="28"/>
      <c r="X53" s="12"/>
      <c r="Y53" s="12"/>
      <c r="Z53" s="12"/>
      <c r="AA53" s="12"/>
      <c r="AB53" s="12"/>
      <c r="AC53" s="12"/>
      <c r="AD53" s="12"/>
      <c r="AE53" s="12"/>
      <c r="AF53" s="14"/>
      <c r="AG53" s="14"/>
    </row>
    <row r="54" spans="1:33" ht="24.95" customHeight="1">
      <c r="B54" s="110"/>
      <c r="C54" s="101"/>
      <c r="D54" s="86">
        <f t="shared" si="7"/>
        <v>0</v>
      </c>
      <c r="E54" s="86">
        <f t="shared" si="8"/>
        <v>0</v>
      </c>
      <c r="F54" s="87">
        <f t="shared" si="9"/>
        <v>0</v>
      </c>
      <c r="G54" s="86">
        <f t="shared" si="0"/>
        <v>0</v>
      </c>
      <c r="H54" s="88">
        <f t="shared" si="10"/>
        <v>0</v>
      </c>
      <c r="I54" s="89">
        <f t="shared" si="11"/>
        <v>0</v>
      </c>
      <c r="J54" s="109">
        <f t="shared" si="1"/>
        <v>0</v>
      </c>
      <c r="K54" s="91">
        <f t="shared" si="12"/>
        <v>0</v>
      </c>
      <c r="L54" s="92">
        <f t="shared" si="13"/>
        <v>0</v>
      </c>
      <c r="M54" s="93">
        <f t="shared" si="2"/>
        <v>0</v>
      </c>
      <c r="N54" s="88">
        <f t="shared" si="14"/>
        <v>0</v>
      </c>
      <c r="O54" s="89">
        <f t="shared" si="15"/>
        <v>0</v>
      </c>
      <c r="P54" s="108">
        <f t="shared" si="3"/>
        <v>0</v>
      </c>
      <c r="Q54" s="95">
        <f t="shared" si="4"/>
        <v>0</v>
      </c>
      <c r="R54" s="89">
        <f t="shared" si="16"/>
        <v>0</v>
      </c>
      <c r="S54" s="100">
        <f t="shared" si="5"/>
        <v>0</v>
      </c>
      <c r="T54" s="95">
        <f t="shared" si="6"/>
        <v>0</v>
      </c>
      <c r="U54" s="92">
        <f t="shared" si="17"/>
        <v>0</v>
      </c>
      <c r="V54" s="28"/>
      <c r="X54" s="12"/>
      <c r="Y54" s="12"/>
      <c r="Z54" s="12"/>
      <c r="AA54" s="12"/>
      <c r="AB54" s="12"/>
      <c r="AC54" s="12"/>
      <c r="AD54" s="12"/>
      <c r="AE54" s="12"/>
      <c r="AF54" s="14"/>
      <c r="AG54" s="14"/>
    </row>
    <row r="55" spans="1:33" ht="24.95" customHeight="1">
      <c r="B55" s="110"/>
      <c r="C55" s="101"/>
      <c r="D55" s="86">
        <f t="shared" si="7"/>
        <v>0</v>
      </c>
      <c r="E55" s="86">
        <f t="shared" si="8"/>
        <v>0</v>
      </c>
      <c r="F55" s="87">
        <f t="shared" si="9"/>
        <v>0</v>
      </c>
      <c r="G55" s="86">
        <f t="shared" si="0"/>
        <v>0</v>
      </c>
      <c r="H55" s="88">
        <f t="shared" si="10"/>
        <v>0</v>
      </c>
      <c r="I55" s="89">
        <f t="shared" si="11"/>
        <v>0</v>
      </c>
      <c r="J55" s="109">
        <f t="shared" si="1"/>
        <v>0</v>
      </c>
      <c r="K55" s="91">
        <f t="shared" si="12"/>
        <v>0</v>
      </c>
      <c r="L55" s="92">
        <f t="shared" si="13"/>
        <v>0</v>
      </c>
      <c r="M55" s="93">
        <f t="shared" si="2"/>
        <v>0</v>
      </c>
      <c r="N55" s="88">
        <f t="shared" si="14"/>
        <v>0</v>
      </c>
      <c r="O55" s="89">
        <f t="shared" si="15"/>
        <v>0</v>
      </c>
      <c r="P55" s="105">
        <f t="shared" si="3"/>
        <v>0</v>
      </c>
      <c r="Q55" s="95">
        <f t="shared" si="4"/>
        <v>0</v>
      </c>
      <c r="R55" s="89">
        <f t="shared" si="16"/>
        <v>0</v>
      </c>
      <c r="S55" s="102">
        <f t="shared" si="5"/>
        <v>0</v>
      </c>
      <c r="T55" s="95">
        <f t="shared" si="6"/>
        <v>0</v>
      </c>
      <c r="U55" s="92">
        <f t="shared" si="17"/>
        <v>0</v>
      </c>
      <c r="V55" s="28"/>
      <c r="X55" s="12"/>
      <c r="Y55" s="12"/>
      <c r="Z55" s="12"/>
      <c r="AA55" s="12"/>
      <c r="AB55" s="12"/>
      <c r="AC55" s="12"/>
      <c r="AD55" s="12"/>
      <c r="AE55" s="12"/>
      <c r="AF55" s="14"/>
      <c r="AG55" s="14"/>
    </row>
    <row r="56" spans="1:33" ht="24.95" customHeight="1">
      <c r="B56" s="111"/>
      <c r="C56" s="99"/>
      <c r="D56" s="86">
        <f t="shared" si="7"/>
        <v>0</v>
      </c>
      <c r="E56" s="86">
        <f t="shared" si="8"/>
        <v>0</v>
      </c>
      <c r="F56" s="87">
        <f t="shared" si="9"/>
        <v>0</v>
      </c>
      <c r="G56" s="86">
        <f t="shared" si="0"/>
        <v>0</v>
      </c>
      <c r="H56" s="88">
        <f t="shared" si="10"/>
        <v>0</v>
      </c>
      <c r="I56" s="89">
        <f t="shared" si="11"/>
        <v>0</v>
      </c>
      <c r="J56" s="112">
        <f t="shared" si="1"/>
        <v>0</v>
      </c>
      <c r="K56" s="91">
        <f t="shared" si="12"/>
        <v>0</v>
      </c>
      <c r="L56" s="92">
        <f t="shared" si="13"/>
        <v>0</v>
      </c>
      <c r="M56" s="93">
        <f t="shared" si="2"/>
        <v>0</v>
      </c>
      <c r="N56" s="88">
        <f t="shared" si="14"/>
        <v>0</v>
      </c>
      <c r="O56" s="89">
        <f t="shared" si="15"/>
        <v>0</v>
      </c>
      <c r="P56" s="105">
        <f t="shared" si="3"/>
        <v>0</v>
      </c>
      <c r="Q56" s="95">
        <f t="shared" si="4"/>
        <v>0</v>
      </c>
      <c r="R56" s="89">
        <f t="shared" si="16"/>
        <v>0</v>
      </c>
      <c r="S56" s="102">
        <f t="shared" si="5"/>
        <v>0</v>
      </c>
      <c r="T56" s="95">
        <f t="shared" si="6"/>
        <v>0</v>
      </c>
      <c r="U56" s="92">
        <f t="shared" si="17"/>
        <v>0</v>
      </c>
      <c r="V56" s="28"/>
      <c r="X56" s="12"/>
      <c r="Y56" s="12"/>
      <c r="Z56" s="12"/>
      <c r="AA56" s="12"/>
      <c r="AB56" s="12"/>
      <c r="AC56" s="12"/>
      <c r="AD56" s="12"/>
      <c r="AE56" s="12"/>
      <c r="AF56" s="14"/>
      <c r="AG56" s="14"/>
    </row>
    <row r="57" spans="1:33" ht="24.95" customHeight="1">
      <c r="B57" s="111"/>
      <c r="C57" s="99"/>
      <c r="D57" s="86">
        <f t="shared" si="7"/>
        <v>0</v>
      </c>
      <c r="E57" s="86">
        <f t="shared" si="8"/>
        <v>0</v>
      </c>
      <c r="F57" s="87">
        <f t="shared" si="9"/>
        <v>0</v>
      </c>
      <c r="G57" s="86">
        <f t="shared" si="0"/>
        <v>0</v>
      </c>
      <c r="H57" s="88">
        <f t="shared" si="10"/>
        <v>0</v>
      </c>
      <c r="I57" s="89">
        <f t="shared" si="11"/>
        <v>0</v>
      </c>
      <c r="J57" s="112">
        <f t="shared" si="1"/>
        <v>0</v>
      </c>
      <c r="K57" s="91">
        <f t="shared" si="12"/>
        <v>0</v>
      </c>
      <c r="L57" s="92">
        <f t="shared" si="13"/>
        <v>0</v>
      </c>
      <c r="M57" s="93">
        <f t="shared" si="2"/>
        <v>0</v>
      </c>
      <c r="N57" s="88">
        <f t="shared" si="14"/>
        <v>0</v>
      </c>
      <c r="O57" s="89">
        <f t="shared" si="15"/>
        <v>0</v>
      </c>
      <c r="P57" s="105">
        <f t="shared" si="3"/>
        <v>0</v>
      </c>
      <c r="Q57" s="95">
        <f t="shared" si="4"/>
        <v>0</v>
      </c>
      <c r="R57" s="89">
        <f t="shared" si="16"/>
        <v>0</v>
      </c>
      <c r="S57" s="102">
        <f t="shared" si="5"/>
        <v>0</v>
      </c>
      <c r="T57" s="95">
        <f t="shared" si="6"/>
        <v>0</v>
      </c>
      <c r="U57" s="92">
        <f t="shared" si="17"/>
        <v>0</v>
      </c>
      <c r="V57" s="28"/>
      <c r="X57" s="12"/>
      <c r="Y57" s="12"/>
      <c r="Z57" s="12"/>
      <c r="AA57" s="12"/>
      <c r="AB57" s="12"/>
      <c r="AC57" s="12"/>
      <c r="AD57" s="12"/>
      <c r="AE57" s="12"/>
      <c r="AF57" s="14"/>
      <c r="AG57" s="14"/>
    </row>
    <row r="58" spans="1:33" ht="24.95" customHeight="1">
      <c r="B58" s="111"/>
      <c r="C58" s="99"/>
      <c r="D58" s="86">
        <f t="shared" si="7"/>
        <v>0</v>
      </c>
      <c r="E58" s="86">
        <f t="shared" si="8"/>
        <v>0</v>
      </c>
      <c r="F58" s="87">
        <f t="shared" si="9"/>
        <v>0</v>
      </c>
      <c r="G58" s="86">
        <f t="shared" si="0"/>
        <v>0</v>
      </c>
      <c r="H58" s="88">
        <f t="shared" si="10"/>
        <v>0</v>
      </c>
      <c r="I58" s="89">
        <f t="shared" si="11"/>
        <v>0</v>
      </c>
      <c r="J58" s="113">
        <f t="shared" si="1"/>
        <v>0</v>
      </c>
      <c r="K58" s="91">
        <f t="shared" si="12"/>
        <v>0</v>
      </c>
      <c r="L58" s="92">
        <f t="shared" si="13"/>
        <v>0</v>
      </c>
      <c r="M58" s="93">
        <f t="shared" si="2"/>
        <v>0</v>
      </c>
      <c r="N58" s="88">
        <f t="shared" si="14"/>
        <v>0</v>
      </c>
      <c r="O58" s="89">
        <f t="shared" si="15"/>
        <v>0</v>
      </c>
      <c r="P58" s="108">
        <f t="shared" si="3"/>
        <v>0</v>
      </c>
      <c r="Q58" s="95">
        <f t="shared" si="4"/>
        <v>0</v>
      </c>
      <c r="R58" s="89">
        <f t="shared" si="16"/>
        <v>0</v>
      </c>
      <c r="S58" s="100">
        <f t="shared" si="5"/>
        <v>0</v>
      </c>
      <c r="T58" s="95">
        <f t="shared" si="6"/>
        <v>0</v>
      </c>
      <c r="U58" s="92">
        <f t="shared" si="17"/>
        <v>0</v>
      </c>
      <c r="V58" s="28"/>
      <c r="X58" s="12"/>
      <c r="Y58" s="12"/>
      <c r="Z58" s="12"/>
      <c r="AA58" s="12"/>
      <c r="AB58" s="12"/>
      <c r="AC58" s="12"/>
      <c r="AD58" s="12"/>
      <c r="AE58" s="12"/>
      <c r="AF58" s="14"/>
      <c r="AG58" s="14"/>
    </row>
    <row r="59" spans="1:33" ht="24.95" customHeight="1">
      <c r="B59" s="110"/>
      <c r="C59" s="101"/>
      <c r="D59" s="86">
        <f t="shared" si="7"/>
        <v>0</v>
      </c>
      <c r="E59" s="86">
        <f t="shared" si="8"/>
        <v>0</v>
      </c>
      <c r="F59" s="87">
        <f t="shared" si="9"/>
        <v>0</v>
      </c>
      <c r="G59" s="86">
        <f t="shared" si="0"/>
        <v>0</v>
      </c>
      <c r="H59" s="88">
        <f t="shared" si="10"/>
        <v>0</v>
      </c>
      <c r="I59" s="89">
        <f t="shared" si="11"/>
        <v>0</v>
      </c>
      <c r="J59" s="112">
        <f t="shared" si="1"/>
        <v>0</v>
      </c>
      <c r="K59" s="91">
        <f t="shared" si="12"/>
        <v>0</v>
      </c>
      <c r="L59" s="92">
        <f t="shared" si="13"/>
        <v>0</v>
      </c>
      <c r="M59" s="93">
        <f t="shared" si="2"/>
        <v>0</v>
      </c>
      <c r="N59" s="88">
        <f t="shared" si="14"/>
        <v>0</v>
      </c>
      <c r="O59" s="89">
        <f t="shared" si="15"/>
        <v>0</v>
      </c>
      <c r="P59" s="105">
        <f t="shared" si="3"/>
        <v>0</v>
      </c>
      <c r="Q59" s="95">
        <f t="shared" si="4"/>
        <v>0</v>
      </c>
      <c r="R59" s="89">
        <f t="shared" si="16"/>
        <v>0</v>
      </c>
      <c r="S59" s="102">
        <f t="shared" si="5"/>
        <v>0</v>
      </c>
      <c r="T59" s="95">
        <f t="shared" si="6"/>
        <v>0</v>
      </c>
      <c r="U59" s="92">
        <f t="shared" si="17"/>
        <v>0</v>
      </c>
      <c r="V59" s="28"/>
      <c r="X59" s="12"/>
      <c r="Y59" s="12"/>
      <c r="Z59" s="12"/>
      <c r="AA59" s="12"/>
      <c r="AB59" s="12"/>
      <c r="AC59" s="12"/>
      <c r="AD59" s="12"/>
      <c r="AE59" s="12"/>
      <c r="AF59" s="14"/>
      <c r="AG59" s="14"/>
    </row>
    <row r="60" spans="1:33" ht="24.95" customHeight="1">
      <c r="B60" s="114"/>
      <c r="C60" s="98"/>
      <c r="D60" s="86">
        <f t="shared" si="7"/>
        <v>0</v>
      </c>
      <c r="E60" s="86">
        <f t="shared" si="8"/>
        <v>0</v>
      </c>
      <c r="F60" s="87">
        <f t="shared" si="9"/>
        <v>0</v>
      </c>
      <c r="G60" s="86">
        <f t="shared" si="0"/>
        <v>0</v>
      </c>
      <c r="H60" s="88">
        <f t="shared" si="10"/>
        <v>0</v>
      </c>
      <c r="I60" s="89">
        <f t="shared" si="11"/>
        <v>0</v>
      </c>
      <c r="J60" s="112">
        <f t="shared" si="1"/>
        <v>0</v>
      </c>
      <c r="K60" s="91">
        <f t="shared" si="12"/>
        <v>0</v>
      </c>
      <c r="L60" s="92">
        <f t="shared" si="13"/>
        <v>0</v>
      </c>
      <c r="M60" s="93">
        <f t="shared" si="2"/>
        <v>0</v>
      </c>
      <c r="N60" s="88">
        <f t="shared" si="14"/>
        <v>0</v>
      </c>
      <c r="O60" s="89">
        <f t="shared" si="15"/>
        <v>0</v>
      </c>
      <c r="P60" s="105">
        <f t="shared" si="3"/>
        <v>0</v>
      </c>
      <c r="Q60" s="102">
        <f t="shared" si="4"/>
        <v>0</v>
      </c>
      <c r="R60" s="128">
        <f t="shared" si="16"/>
        <v>0</v>
      </c>
      <c r="S60" s="105">
        <f t="shared" si="5"/>
        <v>0</v>
      </c>
      <c r="T60" s="95">
        <f t="shared" si="6"/>
        <v>0</v>
      </c>
      <c r="U60" s="92">
        <f t="shared" si="17"/>
        <v>0</v>
      </c>
      <c r="V60" s="28"/>
      <c r="X60" s="12"/>
      <c r="Y60" s="12"/>
      <c r="Z60" s="12"/>
      <c r="AA60" s="12"/>
      <c r="AB60" s="12"/>
      <c r="AC60" s="12"/>
      <c r="AD60" s="12"/>
      <c r="AE60" s="12"/>
      <c r="AF60" s="14"/>
      <c r="AG60" s="14"/>
    </row>
    <row r="61" spans="1:33" ht="24.95" customHeight="1">
      <c r="A61" s="6"/>
      <c r="B61" s="97"/>
      <c r="C61" s="101"/>
      <c r="D61" s="86">
        <f t="shared" si="7"/>
        <v>0</v>
      </c>
      <c r="E61" s="86">
        <f t="shared" si="8"/>
        <v>0</v>
      </c>
      <c r="F61" s="87">
        <f t="shared" si="9"/>
        <v>0</v>
      </c>
      <c r="G61" s="86">
        <f t="shared" si="0"/>
        <v>0</v>
      </c>
      <c r="H61" s="88">
        <f t="shared" si="10"/>
        <v>0</v>
      </c>
      <c r="I61" s="89">
        <f t="shared" si="11"/>
        <v>0</v>
      </c>
      <c r="J61" s="90">
        <f t="shared" si="1"/>
        <v>0</v>
      </c>
      <c r="K61" s="91">
        <f t="shared" si="12"/>
        <v>0</v>
      </c>
      <c r="L61" s="92">
        <f t="shared" si="13"/>
        <v>0</v>
      </c>
      <c r="M61" s="93">
        <f t="shared" si="2"/>
        <v>0</v>
      </c>
      <c r="N61" s="88">
        <f t="shared" si="14"/>
        <v>0</v>
      </c>
      <c r="O61" s="89">
        <f t="shared" si="15"/>
        <v>0</v>
      </c>
      <c r="P61" s="94">
        <f t="shared" si="3"/>
        <v>0</v>
      </c>
      <c r="Q61" s="95">
        <f t="shared" si="4"/>
        <v>0</v>
      </c>
      <c r="R61" s="89">
        <f t="shared" si="16"/>
        <v>0</v>
      </c>
      <c r="S61" s="95">
        <f t="shared" si="5"/>
        <v>0</v>
      </c>
      <c r="T61" s="95">
        <f t="shared" si="6"/>
        <v>0</v>
      </c>
      <c r="U61" s="92">
        <f t="shared" si="17"/>
        <v>0</v>
      </c>
      <c r="V61" s="27"/>
      <c r="X61" s="12"/>
      <c r="Y61" s="12"/>
      <c r="Z61" s="12"/>
      <c r="AA61" s="12"/>
      <c r="AB61" s="12"/>
      <c r="AC61" s="12"/>
      <c r="AD61" s="12"/>
      <c r="AE61" s="12"/>
      <c r="AF61" s="14"/>
      <c r="AG61" s="14"/>
    </row>
    <row r="62" spans="1:33" ht="24.95" customHeight="1">
      <c r="B62" s="97"/>
      <c r="C62" s="101"/>
      <c r="D62" s="86">
        <f t="shared" si="7"/>
        <v>0</v>
      </c>
      <c r="E62" s="86">
        <f t="shared" si="8"/>
        <v>0</v>
      </c>
      <c r="F62" s="87">
        <f t="shared" si="9"/>
        <v>0</v>
      </c>
      <c r="G62" s="86">
        <f t="shared" si="0"/>
        <v>0</v>
      </c>
      <c r="H62" s="88">
        <f t="shared" si="10"/>
        <v>0</v>
      </c>
      <c r="I62" s="89">
        <f t="shared" si="11"/>
        <v>0</v>
      </c>
      <c r="J62" s="90">
        <f t="shared" si="1"/>
        <v>0</v>
      </c>
      <c r="K62" s="91">
        <f t="shared" si="12"/>
        <v>0</v>
      </c>
      <c r="L62" s="92">
        <f t="shared" si="13"/>
        <v>0</v>
      </c>
      <c r="M62" s="93">
        <f t="shared" si="2"/>
        <v>0</v>
      </c>
      <c r="N62" s="88">
        <f t="shared" si="14"/>
        <v>0</v>
      </c>
      <c r="O62" s="89">
        <f t="shared" si="15"/>
        <v>0</v>
      </c>
      <c r="P62" s="94">
        <f t="shared" si="3"/>
        <v>0</v>
      </c>
      <c r="Q62" s="95">
        <f t="shared" si="4"/>
        <v>0</v>
      </c>
      <c r="R62" s="89">
        <f t="shared" si="16"/>
        <v>0</v>
      </c>
      <c r="S62" s="95">
        <f t="shared" si="5"/>
        <v>0</v>
      </c>
      <c r="T62" s="95">
        <f t="shared" si="6"/>
        <v>0</v>
      </c>
      <c r="U62" s="92">
        <f t="shared" si="17"/>
        <v>0</v>
      </c>
      <c r="V62" s="27"/>
      <c r="X62" s="12"/>
      <c r="Y62" s="12"/>
      <c r="Z62" s="12"/>
      <c r="AA62" s="12"/>
      <c r="AB62" s="12"/>
      <c r="AC62" s="12"/>
      <c r="AD62" s="12"/>
      <c r="AE62" s="12"/>
      <c r="AF62" s="14"/>
      <c r="AG62" s="14"/>
    </row>
    <row r="63" spans="1:33" ht="24.95" customHeight="1">
      <c r="B63" s="107"/>
      <c r="C63" s="99"/>
      <c r="D63" s="86">
        <f t="shared" si="7"/>
        <v>0</v>
      </c>
      <c r="E63" s="86">
        <f t="shared" si="8"/>
        <v>0</v>
      </c>
      <c r="F63" s="87">
        <f t="shared" si="9"/>
        <v>0</v>
      </c>
      <c r="G63" s="86">
        <f t="shared" si="0"/>
        <v>0</v>
      </c>
      <c r="H63" s="88">
        <f t="shared" si="10"/>
        <v>0</v>
      </c>
      <c r="I63" s="89">
        <f t="shared" si="11"/>
        <v>0</v>
      </c>
      <c r="J63" s="90">
        <f t="shared" si="1"/>
        <v>0</v>
      </c>
      <c r="K63" s="91">
        <f t="shared" si="12"/>
        <v>0</v>
      </c>
      <c r="L63" s="92">
        <f t="shared" si="13"/>
        <v>0</v>
      </c>
      <c r="M63" s="93">
        <f t="shared" si="2"/>
        <v>0</v>
      </c>
      <c r="N63" s="88">
        <f t="shared" si="14"/>
        <v>0</v>
      </c>
      <c r="O63" s="89">
        <f t="shared" si="15"/>
        <v>0</v>
      </c>
      <c r="P63" s="108">
        <f t="shared" si="3"/>
        <v>0</v>
      </c>
      <c r="Q63" s="95">
        <f t="shared" si="4"/>
        <v>0</v>
      </c>
      <c r="R63" s="89">
        <f t="shared" si="16"/>
        <v>0</v>
      </c>
      <c r="S63" s="100">
        <f t="shared" si="5"/>
        <v>0</v>
      </c>
      <c r="T63" s="95">
        <f t="shared" si="6"/>
        <v>0</v>
      </c>
      <c r="U63" s="92">
        <f t="shared" si="17"/>
        <v>0</v>
      </c>
      <c r="V63" s="27"/>
      <c r="X63" s="12"/>
      <c r="Y63" s="12"/>
      <c r="Z63" s="12"/>
      <c r="AA63" s="12"/>
      <c r="AB63" s="12"/>
      <c r="AC63" s="12"/>
      <c r="AD63" s="12"/>
      <c r="AE63" s="12"/>
      <c r="AF63" s="14"/>
      <c r="AG63" s="14"/>
    </row>
    <row r="64" spans="1:33" ht="24.95" customHeight="1">
      <c r="B64" s="107"/>
      <c r="C64" s="99"/>
      <c r="D64" s="86">
        <f t="shared" si="7"/>
        <v>0</v>
      </c>
      <c r="E64" s="86">
        <f t="shared" si="8"/>
        <v>0</v>
      </c>
      <c r="F64" s="87">
        <f t="shared" si="9"/>
        <v>0</v>
      </c>
      <c r="G64" s="86">
        <f t="shared" si="0"/>
        <v>0</v>
      </c>
      <c r="H64" s="88">
        <f t="shared" si="10"/>
        <v>0</v>
      </c>
      <c r="I64" s="89">
        <f t="shared" si="11"/>
        <v>0</v>
      </c>
      <c r="J64" s="109">
        <f t="shared" si="1"/>
        <v>0</v>
      </c>
      <c r="K64" s="91">
        <f t="shared" si="12"/>
        <v>0</v>
      </c>
      <c r="L64" s="92">
        <f t="shared" si="13"/>
        <v>0</v>
      </c>
      <c r="M64" s="93">
        <f t="shared" si="2"/>
        <v>0</v>
      </c>
      <c r="N64" s="88">
        <f t="shared" si="14"/>
        <v>0</v>
      </c>
      <c r="O64" s="89">
        <f t="shared" si="15"/>
        <v>0</v>
      </c>
      <c r="P64" s="108">
        <f t="shared" si="3"/>
        <v>0</v>
      </c>
      <c r="Q64" s="95">
        <f t="shared" si="4"/>
        <v>0</v>
      </c>
      <c r="R64" s="89">
        <f t="shared" si="16"/>
        <v>0</v>
      </c>
      <c r="S64" s="100">
        <f t="shared" si="5"/>
        <v>0</v>
      </c>
      <c r="T64" s="95">
        <f t="shared" si="6"/>
        <v>0</v>
      </c>
      <c r="U64" s="92">
        <f t="shared" si="17"/>
        <v>0</v>
      </c>
      <c r="V64" s="28"/>
      <c r="X64" s="12"/>
      <c r="Y64" s="12"/>
      <c r="Z64" s="12"/>
      <c r="AA64" s="12"/>
      <c r="AB64" s="12"/>
      <c r="AC64" s="12"/>
      <c r="AD64" s="12"/>
      <c r="AE64" s="12"/>
      <c r="AF64" s="14"/>
      <c r="AG64" s="14"/>
    </row>
    <row r="65" spans="2:33" ht="24.95" customHeight="1" thickBot="1">
      <c r="B65" s="97"/>
      <c r="C65" s="101"/>
      <c r="D65" s="86">
        <f t="shared" si="7"/>
        <v>0</v>
      </c>
      <c r="E65" s="86">
        <f t="shared" si="8"/>
        <v>0</v>
      </c>
      <c r="F65" s="87">
        <f t="shared" si="9"/>
        <v>0</v>
      </c>
      <c r="G65" s="86">
        <f t="shared" si="0"/>
        <v>0</v>
      </c>
      <c r="H65" s="88">
        <f t="shared" si="10"/>
        <v>0</v>
      </c>
      <c r="I65" s="89">
        <f t="shared" si="11"/>
        <v>0</v>
      </c>
      <c r="J65" s="109">
        <f t="shared" si="1"/>
        <v>0</v>
      </c>
      <c r="K65" s="91">
        <f t="shared" si="12"/>
        <v>0</v>
      </c>
      <c r="L65" s="92">
        <f t="shared" si="13"/>
        <v>0</v>
      </c>
      <c r="M65" s="93">
        <f t="shared" si="2"/>
        <v>0</v>
      </c>
      <c r="N65" s="88">
        <f t="shared" si="14"/>
        <v>0</v>
      </c>
      <c r="O65" s="89">
        <f t="shared" si="15"/>
        <v>0</v>
      </c>
      <c r="P65" s="108">
        <f t="shared" si="3"/>
        <v>0</v>
      </c>
      <c r="Q65" s="95">
        <f t="shared" si="4"/>
        <v>0</v>
      </c>
      <c r="R65" s="89">
        <f t="shared" si="16"/>
        <v>0</v>
      </c>
      <c r="S65" s="100">
        <f t="shared" si="5"/>
        <v>0</v>
      </c>
      <c r="T65" s="95">
        <f t="shared" si="6"/>
        <v>0</v>
      </c>
      <c r="U65" s="92">
        <f t="shared" si="17"/>
        <v>0</v>
      </c>
      <c r="V65" s="28"/>
      <c r="X65" s="12"/>
      <c r="Y65" s="12"/>
      <c r="Z65" s="12"/>
      <c r="AA65" s="12"/>
      <c r="AB65" s="12"/>
      <c r="AC65" s="12"/>
      <c r="AD65" s="12"/>
      <c r="AE65" s="12"/>
      <c r="AF65" s="14"/>
      <c r="AG65" s="14"/>
    </row>
    <row r="66" spans="2:33" ht="30.75" hidden="1" thickBot="1">
      <c r="B66" s="22"/>
      <c r="C66" s="42"/>
      <c r="D66" s="31">
        <f t="shared" si="7"/>
        <v>0</v>
      </c>
      <c r="E66" s="31">
        <f t="shared" si="8"/>
        <v>0</v>
      </c>
      <c r="F66" s="32">
        <f t="shared" si="9"/>
        <v>0</v>
      </c>
      <c r="G66" s="31">
        <f t="shared" si="0"/>
        <v>0</v>
      </c>
      <c r="H66" s="33">
        <f t="shared" si="10"/>
        <v>0</v>
      </c>
      <c r="I66" s="34">
        <f t="shared" si="11"/>
        <v>0</v>
      </c>
      <c r="J66" s="46">
        <f t="shared" si="1"/>
        <v>0</v>
      </c>
      <c r="K66" s="35">
        <f t="shared" si="12"/>
        <v>0</v>
      </c>
      <c r="L66" s="36">
        <f t="shared" si="13"/>
        <v>0</v>
      </c>
      <c r="M66" s="37">
        <f t="shared" si="2"/>
        <v>0</v>
      </c>
      <c r="N66" s="33">
        <f t="shared" si="14"/>
        <v>0</v>
      </c>
      <c r="O66" s="34">
        <f t="shared" si="15"/>
        <v>0</v>
      </c>
      <c r="P66" s="45">
        <f t="shared" si="3"/>
        <v>0</v>
      </c>
      <c r="Q66" s="38">
        <f t="shared" si="4"/>
        <v>0</v>
      </c>
      <c r="R66" s="34">
        <f t="shared" si="16"/>
        <v>0</v>
      </c>
      <c r="S66" s="41">
        <f t="shared" si="5"/>
        <v>0</v>
      </c>
      <c r="T66" s="38">
        <f t="shared" si="6"/>
        <v>0</v>
      </c>
      <c r="U66" s="36">
        <f t="shared" si="17"/>
        <v>0</v>
      </c>
      <c r="V66" s="28"/>
      <c r="X66" s="12"/>
      <c r="Y66" s="12"/>
      <c r="Z66" s="12"/>
      <c r="AA66" s="12"/>
      <c r="AB66" s="12"/>
      <c r="AC66" s="12"/>
      <c r="AD66" s="12"/>
      <c r="AE66" s="12"/>
      <c r="AF66" s="14"/>
      <c r="AG66" s="14"/>
    </row>
    <row r="67" spans="2:33" ht="30.75" hidden="1" thickBot="1">
      <c r="B67" s="23"/>
      <c r="C67" s="40"/>
      <c r="D67" s="31">
        <f t="shared" si="7"/>
        <v>0</v>
      </c>
      <c r="E67" s="31">
        <f t="shared" si="8"/>
        <v>0</v>
      </c>
      <c r="F67" s="32">
        <f t="shared" si="9"/>
        <v>0</v>
      </c>
      <c r="G67" s="31">
        <f t="shared" si="0"/>
        <v>0</v>
      </c>
      <c r="H67" s="33">
        <f t="shared" si="10"/>
        <v>0</v>
      </c>
      <c r="I67" s="34">
        <f t="shared" si="11"/>
        <v>0</v>
      </c>
      <c r="J67" s="46">
        <f t="shared" si="1"/>
        <v>0</v>
      </c>
      <c r="K67" s="35">
        <f t="shared" si="12"/>
        <v>0</v>
      </c>
      <c r="L67" s="36">
        <f t="shared" si="13"/>
        <v>0</v>
      </c>
      <c r="M67" s="37">
        <f t="shared" si="2"/>
        <v>0</v>
      </c>
      <c r="N67" s="33">
        <f t="shared" si="14"/>
        <v>0</v>
      </c>
      <c r="O67" s="34">
        <f t="shared" si="15"/>
        <v>0</v>
      </c>
      <c r="P67" s="45">
        <f t="shared" si="3"/>
        <v>0</v>
      </c>
      <c r="Q67" s="38">
        <f t="shared" si="4"/>
        <v>0</v>
      </c>
      <c r="R67" s="34">
        <f t="shared" si="16"/>
        <v>0</v>
      </c>
      <c r="S67" s="41">
        <f t="shared" si="5"/>
        <v>0</v>
      </c>
      <c r="T67" s="38">
        <f t="shared" si="6"/>
        <v>0</v>
      </c>
      <c r="U67" s="36">
        <f t="shared" si="17"/>
        <v>0</v>
      </c>
      <c r="V67" s="28"/>
      <c r="X67" s="12"/>
      <c r="Y67" s="12"/>
      <c r="Z67" s="12"/>
      <c r="AA67" s="12"/>
      <c r="AB67" s="12"/>
      <c r="AC67" s="12"/>
      <c r="AD67" s="12"/>
      <c r="AE67" s="12"/>
      <c r="AF67" s="14"/>
      <c r="AG67" s="14"/>
    </row>
    <row r="68" spans="2:33" ht="30.75" hidden="1" thickBot="1">
      <c r="B68" s="24"/>
      <c r="C68" s="42"/>
      <c r="D68" s="31">
        <f t="shared" si="7"/>
        <v>0</v>
      </c>
      <c r="E68" s="31">
        <f t="shared" si="8"/>
        <v>0</v>
      </c>
      <c r="F68" s="32">
        <f t="shared" si="9"/>
        <v>0</v>
      </c>
      <c r="G68" s="31">
        <f t="shared" si="0"/>
        <v>0</v>
      </c>
      <c r="H68" s="33">
        <f t="shared" si="10"/>
        <v>0</v>
      </c>
      <c r="I68" s="34">
        <f t="shared" si="11"/>
        <v>0</v>
      </c>
      <c r="J68" s="46">
        <f t="shared" si="1"/>
        <v>0</v>
      </c>
      <c r="K68" s="35">
        <f t="shared" si="12"/>
        <v>0</v>
      </c>
      <c r="L68" s="36">
        <f t="shared" si="13"/>
        <v>0</v>
      </c>
      <c r="M68" s="37">
        <f t="shared" si="2"/>
        <v>0</v>
      </c>
      <c r="N68" s="33">
        <f t="shared" si="14"/>
        <v>0</v>
      </c>
      <c r="O68" s="34">
        <f t="shared" si="15"/>
        <v>0</v>
      </c>
      <c r="P68" s="45">
        <f t="shared" si="3"/>
        <v>0</v>
      </c>
      <c r="Q68" s="38">
        <f t="shared" si="4"/>
        <v>0</v>
      </c>
      <c r="R68" s="34">
        <f t="shared" si="16"/>
        <v>0</v>
      </c>
      <c r="S68" s="41">
        <f t="shared" si="5"/>
        <v>0</v>
      </c>
      <c r="T68" s="38">
        <f t="shared" si="6"/>
        <v>0</v>
      </c>
      <c r="U68" s="36">
        <f t="shared" si="17"/>
        <v>0</v>
      </c>
      <c r="V68" s="28"/>
      <c r="X68" s="12"/>
      <c r="Y68" s="12"/>
      <c r="Z68" s="12"/>
      <c r="AA68" s="12"/>
      <c r="AB68" s="12"/>
      <c r="AC68" s="12"/>
      <c r="AD68" s="12"/>
      <c r="AE68" s="12"/>
      <c r="AF68" s="14"/>
      <c r="AG68" s="14"/>
    </row>
    <row r="69" spans="2:33" ht="30.75" hidden="1" thickBot="1">
      <c r="B69" s="25"/>
      <c r="C69" s="40"/>
      <c r="D69" s="31">
        <f t="shared" si="7"/>
        <v>0</v>
      </c>
      <c r="E69" s="31">
        <f t="shared" si="8"/>
        <v>0</v>
      </c>
      <c r="F69" s="32">
        <f t="shared" si="9"/>
        <v>0</v>
      </c>
      <c r="G69" s="31">
        <f t="shared" si="0"/>
        <v>0</v>
      </c>
      <c r="H69" s="33">
        <f t="shared" si="10"/>
        <v>0</v>
      </c>
      <c r="I69" s="34">
        <f t="shared" si="11"/>
        <v>0</v>
      </c>
      <c r="J69" s="46">
        <f t="shared" si="1"/>
        <v>0</v>
      </c>
      <c r="K69" s="35">
        <f t="shared" si="12"/>
        <v>0</v>
      </c>
      <c r="L69" s="36">
        <f t="shared" si="13"/>
        <v>0</v>
      </c>
      <c r="M69" s="37">
        <f t="shared" si="2"/>
        <v>0</v>
      </c>
      <c r="N69" s="33">
        <f t="shared" si="14"/>
        <v>0</v>
      </c>
      <c r="O69" s="34">
        <f t="shared" si="15"/>
        <v>0</v>
      </c>
      <c r="P69" s="45">
        <f t="shared" si="3"/>
        <v>0</v>
      </c>
      <c r="Q69" s="38">
        <f t="shared" si="4"/>
        <v>0</v>
      </c>
      <c r="R69" s="34">
        <f t="shared" si="16"/>
        <v>0</v>
      </c>
      <c r="S69" s="41">
        <f t="shared" si="5"/>
        <v>0</v>
      </c>
      <c r="T69" s="38">
        <f t="shared" si="6"/>
        <v>0</v>
      </c>
      <c r="U69" s="36">
        <f t="shared" si="17"/>
        <v>0</v>
      </c>
      <c r="V69" s="28"/>
      <c r="X69" s="12"/>
      <c r="Y69" s="12"/>
      <c r="Z69" s="12"/>
      <c r="AA69" s="12"/>
      <c r="AB69" s="12"/>
      <c r="AC69" s="12"/>
      <c r="AD69" s="12"/>
      <c r="AE69" s="12"/>
      <c r="AF69" s="14"/>
      <c r="AG69" s="14"/>
    </row>
    <row r="70" spans="2:33" ht="30.75" hidden="1" thickBot="1">
      <c r="B70" s="24"/>
      <c r="C70" s="42"/>
      <c r="D70" s="31">
        <f t="shared" si="7"/>
        <v>0</v>
      </c>
      <c r="E70" s="31">
        <f t="shared" si="8"/>
        <v>0</v>
      </c>
      <c r="F70" s="32">
        <f t="shared" si="9"/>
        <v>0</v>
      </c>
      <c r="G70" s="31">
        <f t="shared" si="0"/>
        <v>0</v>
      </c>
      <c r="H70" s="33">
        <f t="shared" si="10"/>
        <v>0</v>
      </c>
      <c r="I70" s="34">
        <f t="shared" si="11"/>
        <v>0</v>
      </c>
      <c r="J70" s="46">
        <f t="shared" si="1"/>
        <v>0</v>
      </c>
      <c r="K70" s="35">
        <f t="shared" si="12"/>
        <v>0</v>
      </c>
      <c r="L70" s="36">
        <f t="shared" si="13"/>
        <v>0</v>
      </c>
      <c r="M70" s="37">
        <f t="shared" si="2"/>
        <v>0</v>
      </c>
      <c r="N70" s="33">
        <f t="shared" si="14"/>
        <v>0</v>
      </c>
      <c r="O70" s="34">
        <f t="shared" si="15"/>
        <v>0</v>
      </c>
      <c r="P70" s="45">
        <f t="shared" si="3"/>
        <v>0</v>
      </c>
      <c r="Q70" s="38">
        <f t="shared" si="4"/>
        <v>0</v>
      </c>
      <c r="R70" s="34">
        <f t="shared" si="16"/>
        <v>0</v>
      </c>
      <c r="S70" s="41">
        <f t="shared" si="5"/>
        <v>0</v>
      </c>
      <c r="T70" s="38">
        <f t="shared" si="6"/>
        <v>0</v>
      </c>
      <c r="U70" s="36">
        <f t="shared" si="17"/>
        <v>0</v>
      </c>
      <c r="V70" s="28"/>
      <c r="X70" s="12"/>
      <c r="Y70" s="12"/>
      <c r="Z70" s="12"/>
      <c r="AA70" s="12"/>
      <c r="AB70" s="12"/>
      <c r="AC70" s="12"/>
      <c r="AD70" s="12"/>
      <c r="AE70" s="12"/>
      <c r="AF70" s="14"/>
      <c r="AG70" s="14"/>
    </row>
    <row r="71" spans="2:33" ht="30.75" hidden="1" thickBot="1">
      <c r="B71" s="24"/>
      <c r="C71" s="42"/>
      <c r="D71" s="31">
        <f t="shared" si="7"/>
        <v>0</v>
      </c>
      <c r="E71" s="31">
        <f t="shared" si="8"/>
        <v>0</v>
      </c>
      <c r="F71" s="32">
        <f t="shared" si="9"/>
        <v>0</v>
      </c>
      <c r="G71" s="31">
        <f t="shared" si="0"/>
        <v>0</v>
      </c>
      <c r="H71" s="33">
        <f t="shared" si="10"/>
        <v>0</v>
      </c>
      <c r="I71" s="34">
        <f t="shared" si="11"/>
        <v>0</v>
      </c>
      <c r="J71" s="46">
        <f t="shared" si="1"/>
        <v>0</v>
      </c>
      <c r="K71" s="35">
        <f t="shared" si="12"/>
        <v>0</v>
      </c>
      <c r="L71" s="36">
        <f t="shared" si="13"/>
        <v>0</v>
      </c>
      <c r="M71" s="37">
        <f t="shared" si="2"/>
        <v>0</v>
      </c>
      <c r="N71" s="33">
        <f t="shared" si="14"/>
        <v>0</v>
      </c>
      <c r="O71" s="34">
        <f t="shared" si="15"/>
        <v>0</v>
      </c>
      <c r="P71" s="45">
        <f t="shared" si="3"/>
        <v>0</v>
      </c>
      <c r="Q71" s="38">
        <f t="shared" si="4"/>
        <v>0</v>
      </c>
      <c r="R71" s="34">
        <f t="shared" si="16"/>
        <v>0</v>
      </c>
      <c r="S71" s="41">
        <f t="shared" si="5"/>
        <v>0</v>
      </c>
      <c r="T71" s="38">
        <f t="shared" si="6"/>
        <v>0</v>
      </c>
      <c r="U71" s="36">
        <f t="shared" si="17"/>
        <v>0</v>
      </c>
      <c r="V71" s="28"/>
      <c r="X71" s="12"/>
      <c r="Y71" s="12"/>
      <c r="Z71" s="12"/>
      <c r="AA71" s="12"/>
      <c r="AB71" s="12"/>
      <c r="AC71" s="12"/>
      <c r="AD71" s="12"/>
      <c r="AE71" s="12"/>
      <c r="AF71" s="14"/>
      <c r="AG71" s="14"/>
    </row>
    <row r="72" spans="2:33" ht="30.75" hidden="1" thickBot="1">
      <c r="B72" s="24"/>
      <c r="C72" s="42"/>
      <c r="D72" s="31">
        <f t="shared" si="7"/>
        <v>0</v>
      </c>
      <c r="E72" s="31">
        <f t="shared" si="8"/>
        <v>0</v>
      </c>
      <c r="F72" s="32">
        <f t="shared" si="9"/>
        <v>0</v>
      </c>
      <c r="G72" s="31">
        <f t="shared" si="0"/>
        <v>0</v>
      </c>
      <c r="H72" s="33">
        <f t="shared" si="10"/>
        <v>0</v>
      </c>
      <c r="I72" s="34">
        <f t="shared" si="11"/>
        <v>0</v>
      </c>
      <c r="J72" s="46">
        <f t="shared" si="1"/>
        <v>0</v>
      </c>
      <c r="K72" s="35">
        <f t="shared" si="12"/>
        <v>0</v>
      </c>
      <c r="L72" s="36">
        <f t="shared" si="13"/>
        <v>0</v>
      </c>
      <c r="M72" s="37">
        <f t="shared" si="2"/>
        <v>0</v>
      </c>
      <c r="N72" s="33">
        <f t="shared" si="14"/>
        <v>0</v>
      </c>
      <c r="O72" s="34">
        <f t="shared" si="15"/>
        <v>0</v>
      </c>
      <c r="P72" s="45">
        <f t="shared" si="3"/>
        <v>0</v>
      </c>
      <c r="Q72" s="38">
        <f t="shared" si="4"/>
        <v>0</v>
      </c>
      <c r="R72" s="34">
        <f t="shared" si="16"/>
        <v>0</v>
      </c>
      <c r="S72" s="41">
        <f t="shared" si="5"/>
        <v>0</v>
      </c>
      <c r="T72" s="38">
        <f t="shared" si="6"/>
        <v>0</v>
      </c>
      <c r="U72" s="36">
        <f t="shared" si="17"/>
        <v>0</v>
      </c>
      <c r="V72" s="28"/>
      <c r="X72" s="12"/>
      <c r="Y72" s="12"/>
      <c r="Z72" s="12"/>
      <c r="AA72" s="12"/>
      <c r="AB72" s="12"/>
      <c r="AC72" s="12"/>
      <c r="AD72" s="12"/>
      <c r="AE72" s="12"/>
      <c r="AF72" s="14"/>
      <c r="AG72" s="14"/>
    </row>
    <row r="73" spans="2:33" ht="30.75" hidden="1" thickBot="1">
      <c r="B73" s="24"/>
      <c r="C73" s="42"/>
      <c r="D73" s="31">
        <f t="shared" si="7"/>
        <v>0</v>
      </c>
      <c r="E73" s="31">
        <f t="shared" si="8"/>
        <v>0</v>
      </c>
      <c r="F73" s="32">
        <f t="shared" si="9"/>
        <v>0</v>
      </c>
      <c r="G73" s="31">
        <f t="shared" si="0"/>
        <v>0</v>
      </c>
      <c r="H73" s="33">
        <f t="shared" si="10"/>
        <v>0</v>
      </c>
      <c r="I73" s="34">
        <f t="shared" si="11"/>
        <v>0</v>
      </c>
      <c r="J73" s="46">
        <f t="shared" si="1"/>
        <v>0</v>
      </c>
      <c r="K73" s="35">
        <f t="shared" si="12"/>
        <v>0</v>
      </c>
      <c r="L73" s="36">
        <f t="shared" si="13"/>
        <v>0</v>
      </c>
      <c r="M73" s="37">
        <f t="shared" si="2"/>
        <v>0</v>
      </c>
      <c r="N73" s="33">
        <f t="shared" si="14"/>
        <v>0</v>
      </c>
      <c r="O73" s="34">
        <f t="shared" si="15"/>
        <v>0</v>
      </c>
      <c r="P73" s="45">
        <f t="shared" si="3"/>
        <v>0</v>
      </c>
      <c r="Q73" s="38">
        <f t="shared" si="4"/>
        <v>0</v>
      </c>
      <c r="R73" s="34">
        <f t="shared" si="16"/>
        <v>0</v>
      </c>
      <c r="S73" s="41">
        <f t="shared" si="5"/>
        <v>0</v>
      </c>
      <c r="T73" s="38">
        <f t="shared" si="6"/>
        <v>0</v>
      </c>
      <c r="U73" s="36">
        <f t="shared" si="17"/>
        <v>0</v>
      </c>
      <c r="V73" s="28"/>
      <c r="X73" s="12"/>
      <c r="Y73" s="12"/>
      <c r="Z73" s="12"/>
      <c r="AA73" s="12"/>
      <c r="AB73" s="12"/>
      <c r="AC73" s="12"/>
      <c r="AD73" s="12"/>
      <c r="AE73" s="12"/>
      <c r="AF73" s="14"/>
      <c r="AG73" s="14"/>
    </row>
    <row r="74" spans="2:33" ht="30.75" hidden="1" thickBot="1">
      <c r="B74" s="24"/>
      <c r="C74" s="42"/>
      <c r="D74" s="31">
        <f t="shared" si="7"/>
        <v>0</v>
      </c>
      <c r="E74" s="31">
        <f t="shared" si="8"/>
        <v>0</v>
      </c>
      <c r="F74" s="32">
        <f t="shared" si="9"/>
        <v>0</v>
      </c>
      <c r="G74" s="31">
        <f t="shared" si="0"/>
        <v>0</v>
      </c>
      <c r="H74" s="33">
        <f t="shared" si="10"/>
        <v>0</v>
      </c>
      <c r="I74" s="34">
        <f t="shared" si="11"/>
        <v>0</v>
      </c>
      <c r="J74" s="46">
        <f t="shared" si="1"/>
        <v>0</v>
      </c>
      <c r="K74" s="35">
        <f t="shared" si="12"/>
        <v>0</v>
      </c>
      <c r="L74" s="36">
        <f t="shared" si="13"/>
        <v>0</v>
      </c>
      <c r="M74" s="37">
        <f t="shared" si="2"/>
        <v>0</v>
      </c>
      <c r="N74" s="33">
        <f t="shared" si="14"/>
        <v>0</v>
      </c>
      <c r="O74" s="34">
        <f t="shared" si="15"/>
        <v>0</v>
      </c>
      <c r="P74" s="45">
        <f t="shared" si="3"/>
        <v>0</v>
      </c>
      <c r="Q74" s="38">
        <f t="shared" si="4"/>
        <v>0</v>
      </c>
      <c r="R74" s="34">
        <f t="shared" si="16"/>
        <v>0</v>
      </c>
      <c r="S74" s="41">
        <f t="shared" si="5"/>
        <v>0</v>
      </c>
      <c r="T74" s="38">
        <f t="shared" si="6"/>
        <v>0</v>
      </c>
      <c r="U74" s="36">
        <f t="shared" si="17"/>
        <v>0</v>
      </c>
      <c r="V74" s="28"/>
      <c r="X74" s="12"/>
      <c r="Y74" s="12"/>
      <c r="Z74" s="12"/>
      <c r="AA74" s="12"/>
      <c r="AB74" s="12"/>
      <c r="AC74" s="12"/>
      <c r="AD74" s="12"/>
      <c r="AE74" s="12"/>
      <c r="AF74" s="14"/>
      <c r="AG74" s="14"/>
    </row>
    <row r="75" spans="2:33" ht="30.75" hidden="1" thickBot="1">
      <c r="B75" s="24"/>
      <c r="C75" s="42"/>
      <c r="D75" s="31">
        <f t="shared" si="7"/>
        <v>0</v>
      </c>
      <c r="E75" s="31">
        <f t="shared" si="8"/>
        <v>0</v>
      </c>
      <c r="F75" s="32">
        <f t="shared" si="9"/>
        <v>0</v>
      </c>
      <c r="G75" s="31">
        <f t="shared" si="0"/>
        <v>0</v>
      </c>
      <c r="H75" s="33">
        <f t="shared" si="10"/>
        <v>0</v>
      </c>
      <c r="I75" s="34">
        <f t="shared" si="11"/>
        <v>0</v>
      </c>
      <c r="J75" s="46">
        <f t="shared" si="1"/>
        <v>0</v>
      </c>
      <c r="K75" s="35">
        <f t="shared" si="12"/>
        <v>0</v>
      </c>
      <c r="L75" s="36">
        <f t="shared" si="13"/>
        <v>0</v>
      </c>
      <c r="M75" s="37">
        <f t="shared" si="2"/>
        <v>0</v>
      </c>
      <c r="N75" s="33">
        <f t="shared" si="14"/>
        <v>0</v>
      </c>
      <c r="O75" s="34">
        <f t="shared" si="15"/>
        <v>0</v>
      </c>
      <c r="P75" s="45">
        <f t="shared" si="3"/>
        <v>0</v>
      </c>
      <c r="Q75" s="38">
        <f t="shared" si="4"/>
        <v>0</v>
      </c>
      <c r="R75" s="34">
        <f t="shared" si="16"/>
        <v>0</v>
      </c>
      <c r="S75" s="41">
        <f t="shared" si="5"/>
        <v>0</v>
      </c>
      <c r="T75" s="38">
        <f t="shared" si="6"/>
        <v>0</v>
      </c>
      <c r="U75" s="36">
        <f t="shared" si="17"/>
        <v>0</v>
      </c>
      <c r="V75" s="28"/>
      <c r="X75" s="12"/>
      <c r="Y75" s="12"/>
      <c r="Z75" s="12"/>
      <c r="AA75" s="12"/>
      <c r="AB75" s="12"/>
      <c r="AC75" s="12"/>
      <c r="AD75" s="12"/>
      <c r="AE75" s="12"/>
      <c r="AF75" s="14"/>
      <c r="AG75" s="14"/>
    </row>
    <row r="76" spans="2:33" ht="30.75" hidden="1" thickBot="1">
      <c r="B76" s="24"/>
      <c r="C76" s="42"/>
      <c r="D76" s="31">
        <f t="shared" si="7"/>
        <v>0</v>
      </c>
      <c r="E76" s="31">
        <f t="shared" si="8"/>
        <v>0</v>
      </c>
      <c r="F76" s="32">
        <f t="shared" si="9"/>
        <v>0</v>
      </c>
      <c r="G76" s="31">
        <f t="shared" si="0"/>
        <v>0</v>
      </c>
      <c r="H76" s="33">
        <f t="shared" si="10"/>
        <v>0</v>
      </c>
      <c r="I76" s="34">
        <f t="shared" si="11"/>
        <v>0</v>
      </c>
      <c r="J76" s="46">
        <f t="shared" si="1"/>
        <v>0</v>
      </c>
      <c r="K76" s="35">
        <f t="shared" si="12"/>
        <v>0</v>
      </c>
      <c r="L76" s="36">
        <f t="shared" si="13"/>
        <v>0</v>
      </c>
      <c r="M76" s="37">
        <f t="shared" si="2"/>
        <v>0</v>
      </c>
      <c r="N76" s="33">
        <f t="shared" si="14"/>
        <v>0</v>
      </c>
      <c r="O76" s="34">
        <f t="shared" si="15"/>
        <v>0</v>
      </c>
      <c r="P76" s="45">
        <f t="shared" si="3"/>
        <v>0</v>
      </c>
      <c r="Q76" s="38">
        <f t="shared" si="4"/>
        <v>0</v>
      </c>
      <c r="R76" s="34">
        <f t="shared" si="16"/>
        <v>0</v>
      </c>
      <c r="S76" s="41">
        <f t="shared" si="5"/>
        <v>0</v>
      </c>
      <c r="T76" s="38">
        <f t="shared" si="6"/>
        <v>0</v>
      </c>
      <c r="U76" s="36">
        <f t="shared" si="17"/>
        <v>0</v>
      </c>
      <c r="V76" s="28"/>
      <c r="X76" s="12"/>
      <c r="Y76" s="12"/>
      <c r="Z76" s="12"/>
      <c r="AA76" s="12"/>
      <c r="AB76" s="12"/>
      <c r="AC76" s="12"/>
      <c r="AD76" s="12"/>
      <c r="AE76" s="12"/>
      <c r="AF76" s="14"/>
      <c r="AG76" s="14"/>
    </row>
    <row r="77" spans="2:33" ht="30.75" hidden="1" thickBot="1">
      <c r="B77" s="26"/>
      <c r="C77" s="42"/>
      <c r="D77" s="31">
        <f t="shared" si="7"/>
        <v>0</v>
      </c>
      <c r="E77" s="31">
        <f t="shared" si="8"/>
        <v>0</v>
      </c>
      <c r="F77" s="32">
        <f t="shared" si="9"/>
        <v>0</v>
      </c>
      <c r="G77" s="31">
        <f t="shared" si="0"/>
        <v>0</v>
      </c>
      <c r="H77" s="33">
        <f t="shared" si="10"/>
        <v>0</v>
      </c>
      <c r="I77" s="34">
        <f t="shared" si="11"/>
        <v>0</v>
      </c>
      <c r="J77" s="46">
        <f t="shared" si="1"/>
        <v>0</v>
      </c>
      <c r="K77" s="35">
        <f t="shared" si="12"/>
        <v>0</v>
      </c>
      <c r="L77" s="36">
        <f t="shared" si="13"/>
        <v>0</v>
      </c>
      <c r="M77" s="37">
        <f t="shared" si="2"/>
        <v>0</v>
      </c>
      <c r="N77" s="33">
        <f t="shared" si="14"/>
        <v>0</v>
      </c>
      <c r="O77" s="34">
        <f t="shared" si="15"/>
        <v>0</v>
      </c>
      <c r="P77" s="44">
        <f t="shared" si="3"/>
        <v>0</v>
      </c>
      <c r="Q77" s="38">
        <f t="shared" si="4"/>
        <v>0</v>
      </c>
      <c r="R77" s="34">
        <f t="shared" si="16"/>
        <v>0</v>
      </c>
      <c r="S77" s="43">
        <f t="shared" si="5"/>
        <v>0</v>
      </c>
      <c r="T77" s="38">
        <f t="shared" si="6"/>
        <v>0</v>
      </c>
      <c r="U77" s="36">
        <f t="shared" si="17"/>
        <v>0</v>
      </c>
      <c r="V77" s="28"/>
      <c r="X77" s="12"/>
      <c r="Y77" s="12"/>
      <c r="Z77" s="12"/>
      <c r="AA77" s="12"/>
      <c r="AB77" s="12"/>
      <c r="AC77" s="12"/>
      <c r="AD77" s="12"/>
      <c r="AE77" s="12"/>
      <c r="AF77" s="14"/>
      <c r="AG77" s="14"/>
    </row>
    <row r="78" spans="2:33" ht="30.75" hidden="1" thickBot="1">
      <c r="B78" s="26"/>
      <c r="C78" s="42"/>
      <c r="D78" s="31">
        <f t="shared" si="7"/>
        <v>0</v>
      </c>
      <c r="E78" s="31">
        <f t="shared" si="8"/>
        <v>0</v>
      </c>
      <c r="F78" s="32">
        <f t="shared" si="9"/>
        <v>0</v>
      </c>
      <c r="G78" s="31">
        <f t="shared" si="0"/>
        <v>0</v>
      </c>
      <c r="H78" s="33">
        <f t="shared" si="10"/>
        <v>0</v>
      </c>
      <c r="I78" s="34">
        <f t="shared" si="11"/>
        <v>0</v>
      </c>
      <c r="J78" s="46">
        <f t="shared" si="1"/>
        <v>0</v>
      </c>
      <c r="K78" s="35">
        <f t="shared" si="12"/>
        <v>0</v>
      </c>
      <c r="L78" s="36">
        <f t="shared" si="13"/>
        <v>0</v>
      </c>
      <c r="M78" s="37">
        <f t="shared" si="2"/>
        <v>0</v>
      </c>
      <c r="N78" s="33">
        <f t="shared" si="14"/>
        <v>0</v>
      </c>
      <c r="O78" s="34">
        <f t="shared" si="15"/>
        <v>0</v>
      </c>
      <c r="P78" s="44">
        <f t="shared" si="3"/>
        <v>0</v>
      </c>
      <c r="Q78" s="38">
        <f t="shared" si="4"/>
        <v>0</v>
      </c>
      <c r="R78" s="34">
        <f t="shared" si="16"/>
        <v>0</v>
      </c>
      <c r="S78" s="43">
        <f t="shared" si="5"/>
        <v>0</v>
      </c>
      <c r="T78" s="38">
        <f t="shared" si="6"/>
        <v>0</v>
      </c>
      <c r="U78" s="36">
        <f t="shared" si="17"/>
        <v>0</v>
      </c>
      <c r="V78" s="28"/>
      <c r="X78" s="12"/>
      <c r="Y78" s="12"/>
      <c r="Z78" s="12"/>
      <c r="AA78" s="12"/>
      <c r="AB78" s="12"/>
      <c r="AC78" s="12"/>
      <c r="AD78" s="12"/>
      <c r="AE78" s="12"/>
      <c r="AF78" s="14"/>
      <c r="AG78" s="14"/>
    </row>
    <row r="79" spans="2:33" ht="30.75" hidden="1" thickBot="1">
      <c r="B79" s="25"/>
      <c r="C79" s="40"/>
      <c r="D79" s="31">
        <f t="shared" si="7"/>
        <v>0</v>
      </c>
      <c r="E79" s="31">
        <f t="shared" si="8"/>
        <v>0</v>
      </c>
      <c r="F79" s="32">
        <f t="shared" si="9"/>
        <v>0</v>
      </c>
      <c r="G79" s="31">
        <f t="shared" si="0"/>
        <v>0</v>
      </c>
      <c r="H79" s="33">
        <f t="shared" si="10"/>
        <v>0</v>
      </c>
      <c r="I79" s="34">
        <f t="shared" si="11"/>
        <v>0</v>
      </c>
      <c r="J79" s="47">
        <f t="shared" si="1"/>
        <v>0</v>
      </c>
      <c r="K79" s="35">
        <f t="shared" si="12"/>
        <v>0</v>
      </c>
      <c r="L79" s="36">
        <f t="shared" si="13"/>
        <v>0</v>
      </c>
      <c r="M79" s="37">
        <f t="shared" si="2"/>
        <v>0</v>
      </c>
      <c r="N79" s="33">
        <f t="shared" si="14"/>
        <v>0</v>
      </c>
      <c r="O79" s="34">
        <f t="shared" si="15"/>
        <v>0</v>
      </c>
      <c r="P79" s="44">
        <f t="shared" si="3"/>
        <v>0</v>
      </c>
      <c r="Q79" s="38">
        <f t="shared" si="4"/>
        <v>0</v>
      </c>
      <c r="R79" s="34">
        <f t="shared" si="16"/>
        <v>0</v>
      </c>
      <c r="S79" s="43">
        <f t="shared" si="5"/>
        <v>0</v>
      </c>
      <c r="T79" s="38">
        <f t="shared" si="6"/>
        <v>0</v>
      </c>
      <c r="U79" s="36">
        <f t="shared" si="17"/>
        <v>0</v>
      </c>
      <c r="V79" s="28"/>
      <c r="X79" s="12"/>
      <c r="Y79" s="12"/>
      <c r="Z79" s="12"/>
      <c r="AA79" s="12"/>
      <c r="AB79" s="12"/>
      <c r="AC79" s="12"/>
      <c r="AD79" s="12"/>
      <c r="AE79" s="12"/>
      <c r="AF79" s="14"/>
      <c r="AG79" s="14"/>
    </row>
    <row r="80" spans="2:33" ht="30.75" hidden="1" thickBot="1">
      <c r="B80" s="25"/>
      <c r="C80" s="40"/>
      <c r="D80" s="31">
        <f t="shared" si="7"/>
        <v>0</v>
      </c>
      <c r="E80" s="31">
        <f t="shared" si="8"/>
        <v>0</v>
      </c>
      <c r="F80" s="32">
        <f t="shared" si="9"/>
        <v>0</v>
      </c>
      <c r="G80" s="31">
        <f t="shared" si="0"/>
        <v>0</v>
      </c>
      <c r="H80" s="33">
        <f t="shared" si="10"/>
        <v>0</v>
      </c>
      <c r="I80" s="34">
        <f t="shared" si="11"/>
        <v>0</v>
      </c>
      <c r="J80" s="47">
        <f t="shared" si="1"/>
        <v>0</v>
      </c>
      <c r="K80" s="35">
        <f t="shared" si="12"/>
        <v>0</v>
      </c>
      <c r="L80" s="36">
        <f t="shared" si="13"/>
        <v>0</v>
      </c>
      <c r="M80" s="37">
        <f t="shared" si="2"/>
        <v>0</v>
      </c>
      <c r="N80" s="33">
        <f t="shared" si="14"/>
        <v>0</v>
      </c>
      <c r="O80" s="34">
        <f t="shared" si="15"/>
        <v>0</v>
      </c>
      <c r="P80" s="44">
        <f t="shared" si="3"/>
        <v>0</v>
      </c>
      <c r="Q80" s="38">
        <f t="shared" si="4"/>
        <v>0</v>
      </c>
      <c r="R80" s="34">
        <f t="shared" si="16"/>
        <v>0</v>
      </c>
      <c r="S80" s="43">
        <f t="shared" si="5"/>
        <v>0</v>
      </c>
      <c r="T80" s="38">
        <f t="shared" si="6"/>
        <v>0</v>
      </c>
      <c r="U80" s="36">
        <f t="shared" si="17"/>
        <v>0</v>
      </c>
      <c r="V80" s="28"/>
      <c r="X80" s="12"/>
      <c r="Y80" s="12"/>
      <c r="Z80" s="12"/>
      <c r="AA80" s="12"/>
      <c r="AB80" s="12"/>
      <c r="AC80" s="12"/>
      <c r="AD80" s="12"/>
      <c r="AE80" s="12"/>
      <c r="AF80" s="14"/>
      <c r="AG80" s="14"/>
    </row>
    <row r="81" spans="2:33" ht="30.75" hidden="1" thickBot="1">
      <c r="B81" s="25"/>
      <c r="C81" s="40"/>
      <c r="D81" s="31">
        <f t="shared" si="7"/>
        <v>0</v>
      </c>
      <c r="E81" s="31">
        <f t="shared" si="8"/>
        <v>0</v>
      </c>
      <c r="F81" s="32">
        <f t="shared" si="9"/>
        <v>0</v>
      </c>
      <c r="G81" s="31">
        <f t="shared" si="0"/>
        <v>0</v>
      </c>
      <c r="H81" s="33">
        <f t="shared" si="10"/>
        <v>0</v>
      </c>
      <c r="I81" s="34">
        <f t="shared" si="11"/>
        <v>0</v>
      </c>
      <c r="J81" s="48">
        <f t="shared" si="1"/>
        <v>0</v>
      </c>
      <c r="K81" s="35">
        <f t="shared" si="12"/>
        <v>0</v>
      </c>
      <c r="L81" s="36">
        <f t="shared" si="13"/>
        <v>0</v>
      </c>
      <c r="M81" s="37">
        <f t="shared" si="2"/>
        <v>0</v>
      </c>
      <c r="N81" s="33">
        <f t="shared" si="14"/>
        <v>0</v>
      </c>
      <c r="O81" s="34">
        <f t="shared" si="15"/>
        <v>0</v>
      </c>
      <c r="P81" s="45">
        <f t="shared" si="3"/>
        <v>0</v>
      </c>
      <c r="Q81" s="38">
        <f t="shared" si="4"/>
        <v>0</v>
      </c>
      <c r="R81" s="34">
        <f t="shared" si="16"/>
        <v>0</v>
      </c>
      <c r="S81" s="41">
        <f t="shared" si="5"/>
        <v>0</v>
      </c>
      <c r="T81" s="38">
        <f t="shared" si="6"/>
        <v>0</v>
      </c>
      <c r="U81" s="36">
        <f t="shared" si="17"/>
        <v>0</v>
      </c>
      <c r="V81" s="28"/>
      <c r="X81" s="12"/>
      <c r="Y81" s="12"/>
      <c r="Z81" s="12"/>
      <c r="AA81" s="12"/>
      <c r="AB81" s="12"/>
      <c r="AC81" s="12"/>
      <c r="AD81" s="12"/>
      <c r="AE81" s="12"/>
      <c r="AF81" s="14"/>
      <c r="AG81" s="14"/>
    </row>
    <row r="82" spans="2:33" ht="30.75" hidden="1" thickBot="1">
      <c r="B82" s="24"/>
      <c r="C82" s="42"/>
      <c r="D82" s="31">
        <f t="shared" si="7"/>
        <v>0</v>
      </c>
      <c r="E82" s="31">
        <f t="shared" si="8"/>
        <v>0</v>
      </c>
      <c r="F82" s="32">
        <f t="shared" si="9"/>
        <v>0</v>
      </c>
      <c r="G82" s="31">
        <f t="shared" si="0"/>
        <v>0</v>
      </c>
      <c r="H82" s="33">
        <f t="shared" si="10"/>
        <v>0</v>
      </c>
      <c r="I82" s="34">
        <f t="shared" si="11"/>
        <v>0</v>
      </c>
      <c r="J82" s="47">
        <f t="shared" si="1"/>
        <v>0</v>
      </c>
      <c r="K82" s="35">
        <f t="shared" si="12"/>
        <v>0</v>
      </c>
      <c r="L82" s="36">
        <f t="shared" si="13"/>
        <v>0</v>
      </c>
      <c r="M82" s="37">
        <f t="shared" si="2"/>
        <v>0</v>
      </c>
      <c r="N82" s="33">
        <f t="shared" si="14"/>
        <v>0</v>
      </c>
      <c r="O82" s="34">
        <f t="shared" si="15"/>
        <v>0</v>
      </c>
      <c r="P82" s="44">
        <f t="shared" si="3"/>
        <v>0</v>
      </c>
      <c r="Q82" s="38">
        <f t="shared" si="4"/>
        <v>0</v>
      </c>
      <c r="R82" s="34">
        <f t="shared" si="16"/>
        <v>0</v>
      </c>
      <c r="S82" s="43">
        <f t="shared" si="5"/>
        <v>0</v>
      </c>
      <c r="T82" s="38">
        <f t="shared" si="6"/>
        <v>0</v>
      </c>
      <c r="U82" s="36">
        <f t="shared" si="17"/>
        <v>0</v>
      </c>
      <c r="V82" s="28"/>
      <c r="X82" s="12"/>
      <c r="Y82" s="12"/>
      <c r="Z82" s="12"/>
      <c r="AA82" s="12"/>
      <c r="AB82" s="12"/>
      <c r="AC82" s="12"/>
      <c r="AD82" s="12"/>
      <c r="AE82" s="12"/>
      <c r="AF82" s="14"/>
      <c r="AG82" s="14"/>
    </row>
    <row r="83" spans="2:33" ht="30.75" hidden="1" thickBot="1">
      <c r="B83" s="27"/>
      <c r="C83" s="39"/>
      <c r="D83" s="31">
        <f t="shared" si="7"/>
        <v>0</v>
      </c>
      <c r="E83" s="31">
        <f t="shared" si="8"/>
        <v>0</v>
      </c>
      <c r="F83" s="32">
        <f t="shared" si="9"/>
        <v>0</v>
      </c>
      <c r="G83" s="31">
        <f t="shared" si="0"/>
        <v>0</v>
      </c>
      <c r="H83" s="33">
        <f t="shared" si="10"/>
        <v>0</v>
      </c>
      <c r="I83" s="34">
        <f t="shared" si="11"/>
        <v>0</v>
      </c>
      <c r="J83" s="47">
        <f t="shared" si="1"/>
        <v>0</v>
      </c>
      <c r="K83" s="35">
        <f t="shared" si="12"/>
        <v>0</v>
      </c>
      <c r="L83" s="36">
        <f t="shared" si="13"/>
        <v>0</v>
      </c>
      <c r="M83" s="37">
        <f t="shared" si="2"/>
        <v>0</v>
      </c>
      <c r="N83" s="33">
        <f t="shared" si="14"/>
        <v>0</v>
      </c>
      <c r="O83" s="34">
        <f t="shared" si="15"/>
        <v>0</v>
      </c>
      <c r="P83" s="49">
        <f t="shared" si="3"/>
        <v>0</v>
      </c>
      <c r="Q83" s="38">
        <f t="shared" si="4"/>
        <v>0</v>
      </c>
      <c r="R83" s="34">
        <f t="shared" si="16"/>
        <v>0</v>
      </c>
      <c r="S83" s="50">
        <f t="shared" si="5"/>
        <v>0</v>
      </c>
      <c r="T83" s="38">
        <f t="shared" si="6"/>
        <v>0</v>
      </c>
      <c r="U83" s="36">
        <f t="shared" si="17"/>
        <v>0</v>
      </c>
      <c r="V83" s="28"/>
      <c r="X83" s="12"/>
      <c r="Y83" s="12"/>
      <c r="Z83" s="12"/>
      <c r="AA83" s="12"/>
      <c r="AB83" s="12"/>
      <c r="AC83" s="12"/>
      <c r="AD83" s="12"/>
      <c r="AE83" s="12"/>
      <c r="AF83" s="14"/>
      <c r="AG83" s="14"/>
    </row>
    <row r="84" spans="2:33" ht="30.75" hidden="1" thickBot="1">
      <c r="B84" s="24"/>
      <c r="C84" s="42"/>
      <c r="D84" s="31">
        <f t="shared" si="7"/>
        <v>0</v>
      </c>
      <c r="E84" s="31">
        <f t="shared" si="8"/>
        <v>0</v>
      </c>
      <c r="F84" s="32">
        <f t="shared" si="9"/>
        <v>0</v>
      </c>
      <c r="G84" s="31">
        <f t="shared" si="0"/>
        <v>0</v>
      </c>
      <c r="H84" s="33">
        <f t="shared" si="10"/>
        <v>0</v>
      </c>
      <c r="I84" s="34">
        <f t="shared" si="11"/>
        <v>0</v>
      </c>
      <c r="J84" s="47">
        <f t="shared" si="1"/>
        <v>0</v>
      </c>
      <c r="K84" s="35">
        <f t="shared" si="12"/>
        <v>0</v>
      </c>
      <c r="L84" s="36">
        <f t="shared" si="13"/>
        <v>0</v>
      </c>
      <c r="M84" s="37">
        <f t="shared" si="2"/>
        <v>0</v>
      </c>
      <c r="N84" s="33">
        <f t="shared" si="14"/>
        <v>0</v>
      </c>
      <c r="O84" s="34">
        <f t="shared" si="15"/>
        <v>0</v>
      </c>
      <c r="P84" s="44">
        <f t="shared" si="3"/>
        <v>0</v>
      </c>
      <c r="Q84" s="38">
        <f t="shared" si="4"/>
        <v>0</v>
      </c>
      <c r="R84" s="34">
        <f t="shared" si="16"/>
        <v>0</v>
      </c>
      <c r="S84" s="43">
        <f t="shared" si="5"/>
        <v>0</v>
      </c>
      <c r="T84" s="38">
        <f t="shared" si="6"/>
        <v>0</v>
      </c>
      <c r="U84" s="36">
        <f>ROUNDUP(T84,0)</f>
        <v>0</v>
      </c>
      <c r="V84" s="28"/>
      <c r="X84" s="12"/>
      <c r="Y84" s="12"/>
      <c r="Z84" s="12"/>
      <c r="AA84" s="12"/>
      <c r="AB84" s="12"/>
      <c r="AC84" s="12"/>
      <c r="AD84" s="12"/>
      <c r="AE84" s="12"/>
      <c r="AF84" s="14"/>
      <c r="AG84" s="14"/>
    </row>
    <row r="85" spans="2:33" ht="30.75" hidden="1" thickBot="1">
      <c r="B85" s="17"/>
      <c r="C85" s="39"/>
      <c r="D85" s="51">
        <f t="shared" si="7"/>
        <v>0</v>
      </c>
      <c r="E85" s="31">
        <f t="shared" si="8"/>
        <v>0</v>
      </c>
      <c r="F85" s="32">
        <f t="shared" si="9"/>
        <v>0</v>
      </c>
      <c r="G85" s="51">
        <f t="shared" si="0"/>
        <v>0</v>
      </c>
      <c r="H85" s="33">
        <f t="shared" si="10"/>
        <v>0</v>
      </c>
      <c r="I85" s="34">
        <f t="shared" si="11"/>
        <v>0</v>
      </c>
      <c r="J85" s="48">
        <f t="shared" si="1"/>
        <v>0</v>
      </c>
      <c r="K85" s="35">
        <f t="shared" si="12"/>
        <v>0</v>
      </c>
      <c r="L85" s="36">
        <f t="shared" si="13"/>
        <v>0</v>
      </c>
      <c r="M85" s="52">
        <f t="shared" si="2"/>
        <v>0</v>
      </c>
      <c r="N85" s="33">
        <f t="shared" si="14"/>
        <v>0</v>
      </c>
      <c r="O85" s="34">
        <f t="shared" si="15"/>
        <v>0</v>
      </c>
      <c r="P85" s="49">
        <f t="shared" si="3"/>
        <v>0</v>
      </c>
      <c r="Q85" s="38">
        <f t="shared" si="4"/>
        <v>0</v>
      </c>
      <c r="R85" s="34">
        <f t="shared" si="16"/>
        <v>0</v>
      </c>
      <c r="S85" s="50">
        <f t="shared" si="5"/>
        <v>0</v>
      </c>
      <c r="T85" s="38">
        <f t="shared" si="6"/>
        <v>0</v>
      </c>
      <c r="U85" s="36">
        <f t="shared" ref="U85:U87" si="38">ROUNDUP(T85,0)</f>
        <v>0</v>
      </c>
      <c r="V85" s="28"/>
    </row>
    <row r="86" spans="2:33" ht="30.75" hidden="1" thickBot="1">
      <c r="B86" s="15"/>
      <c r="C86" s="42"/>
      <c r="D86" s="53">
        <f t="shared" si="7"/>
        <v>0</v>
      </c>
      <c r="E86" s="31">
        <f t="shared" si="8"/>
        <v>0</v>
      </c>
      <c r="F86" s="32">
        <f t="shared" si="9"/>
        <v>0</v>
      </c>
      <c r="G86" s="54">
        <f t="shared" si="0"/>
        <v>0</v>
      </c>
      <c r="H86" s="33">
        <f t="shared" si="10"/>
        <v>0</v>
      </c>
      <c r="I86" s="34">
        <f t="shared" si="11"/>
        <v>0</v>
      </c>
      <c r="J86" s="48">
        <f t="shared" si="1"/>
        <v>0</v>
      </c>
      <c r="K86" s="35">
        <f t="shared" si="12"/>
        <v>0</v>
      </c>
      <c r="L86" s="55">
        <f t="shared" si="13"/>
        <v>0</v>
      </c>
      <c r="M86" s="54">
        <f t="shared" si="2"/>
        <v>0</v>
      </c>
      <c r="N86" s="33">
        <f t="shared" si="14"/>
        <v>0</v>
      </c>
      <c r="O86" s="34">
        <f t="shared" si="15"/>
        <v>0</v>
      </c>
      <c r="P86" s="44">
        <f t="shared" si="3"/>
        <v>0</v>
      </c>
      <c r="Q86" s="38">
        <f t="shared" si="4"/>
        <v>0</v>
      </c>
      <c r="R86" s="34">
        <f t="shared" si="16"/>
        <v>0</v>
      </c>
      <c r="S86" s="43">
        <f t="shared" si="5"/>
        <v>0</v>
      </c>
      <c r="T86" s="38">
        <f t="shared" si="6"/>
        <v>0</v>
      </c>
      <c r="U86" s="36">
        <f t="shared" si="38"/>
        <v>0</v>
      </c>
      <c r="V86" s="28"/>
    </row>
    <row r="87" spans="2:33" ht="30.75" hidden="1" thickBot="1">
      <c r="B87" s="18"/>
      <c r="C87" s="42"/>
      <c r="D87" s="53">
        <f t="shared" si="7"/>
        <v>0</v>
      </c>
      <c r="E87" s="31">
        <f t="shared" si="8"/>
        <v>0</v>
      </c>
      <c r="F87" s="32">
        <f t="shared" si="9"/>
        <v>0</v>
      </c>
      <c r="G87" s="54">
        <f t="shared" si="0"/>
        <v>0</v>
      </c>
      <c r="H87" s="33">
        <f t="shared" si="10"/>
        <v>0</v>
      </c>
      <c r="I87" s="34">
        <f t="shared" si="11"/>
        <v>0</v>
      </c>
      <c r="J87" s="48">
        <f t="shared" si="1"/>
        <v>0</v>
      </c>
      <c r="K87" s="35">
        <f t="shared" si="12"/>
        <v>0</v>
      </c>
      <c r="L87" s="36">
        <f t="shared" si="13"/>
        <v>0</v>
      </c>
      <c r="M87" s="54">
        <f t="shared" si="2"/>
        <v>0</v>
      </c>
      <c r="N87" s="33">
        <f t="shared" si="14"/>
        <v>0</v>
      </c>
      <c r="O87" s="34">
        <f t="shared" si="15"/>
        <v>0</v>
      </c>
      <c r="P87" s="44">
        <f t="shared" si="3"/>
        <v>0</v>
      </c>
      <c r="Q87" s="38">
        <f t="shared" si="4"/>
        <v>0</v>
      </c>
      <c r="R87" s="34">
        <f t="shared" si="16"/>
        <v>0</v>
      </c>
      <c r="S87" s="43">
        <f t="shared" si="5"/>
        <v>0</v>
      </c>
      <c r="T87" s="38">
        <f t="shared" si="6"/>
        <v>0</v>
      </c>
      <c r="U87" s="36">
        <f t="shared" si="38"/>
        <v>0</v>
      </c>
      <c r="V87" s="28"/>
    </row>
    <row r="88" spans="2:33" ht="30.75" hidden="1" thickBot="1">
      <c r="B88" s="25"/>
      <c r="C88" s="40"/>
      <c r="D88" s="31">
        <f t="shared" si="7"/>
        <v>0</v>
      </c>
      <c r="E88" s="31">
        <f t="shared" si="8"/>
        <v>0</v>
      </c>
      <c r="F88" s="32">
        <f t="shared" si="9"/>
        <v>0</v>
      </c>
      <c r="G88" s="31">
        <f t="shared" si="0"/>
        <v>0</v>
      </c>
      <c r="H88" s="33">
        <f t="shared" si="10"/>
        <v>0</v>
      </c>
      <c r="I88" s="34">
        <f t="shared" si="11"/>
        <v>0</v>
      </c>
      <c r="J88" s="48">
        <f t="shared" si="1"/>
        <v>0</v>
      </c>
      <c r="K88" s="35">
        <f t="shared" si="12"/>
        <v>0</v>
      </c>
      <c r="L88" s="36">
        <f t="shared" si="13"/>
        <v>0</v>
      </c>
      <c r="M88" s="37">
        <f t="shared" si="2"/>
        <v>0</v>
      </c>
      <c r="N88" s="33">
        <f t="shared" si="14"/>
        <v>0</v>
      </c>
      <c r="O88" s="34">
        <f t="shared" si="15"/>
        <v>0</v>
      </c>
      <c r="P88" s="45">
        <f t="shared" si="3"/>
        <v>0</v>
      </c>
      <c r="Q88" s="38">
        <f t="shared" si="4"/>
        <v>0</v>
      </c>
      <c r="R88" s="34">
        <f t="shared" si="16"/>
        <v>0</v>
      </c>
      <c r="S88" s="41">
        <f t="shared" si="5"/>
        <v>0</v>
      </c>
      <c r="T88" s="38">
        <f t="shared" si="6"/>
        <v>0</v>
      </c>
      <c r="U88" s="36">
        <f t="shared" si="17"/>
        <v>0</v>
      </c>
      <c r="V88" s="28"/>
      <c r="X88" s="12"/>
      <c r="Y88" s="12"/>
      <c r="Z88" s="12"/>
      <c r="AA88" s="12"/>
      <c r="AB88" s="12"/>
      <c r="AC88" s="12"/>
      <c r="AD88" s="12"/>
      <c r="AE88" s="12"/>
      <c r="AF88" s="14"/>
      <c r="AG88" s="14"/>
    </row>
    <row r="89" spans="2:33" ht="30.75" hidden="1" thickBot="1">
      <c r="B89" s="24"/>
      <c r="C89" s="42"/>
      <c r="D89" s="31">
        <f t="shared" si="7"/>
        <v>0</v>
      </c>
      <c r="E89" s="31">
        <f t="shared" si="8"/>
        <v>0</v>
      </c>
      <c r="F89" s="32">
        <f t="shared" si="9"/>
        <v>0</v>
      </c>
      <c r="G89" s="31">
        <f t="shared" si="0"/>
        <v>0</v>
      </c>
      <c r="H89" s="33">
        <f t="shared" si="10"/>
        <v>0</v>
      </c>
      <c r="I89" s="34">
        <f t="shared" si="11"/>
        <v>0</v>
      </c>
      <c r="J89" s="47">
        <f t="shared" si="1"/>
        <v>0</v>
      </c>
      <c r="K89" s="35">
        <f t="shared" si="12"/>
        <v>0</v>
      </c>
      <c r="L89" s="36">
        <f t="shared" si="13"/>
        <v>0</v>
      </c>
      <c r="M89" s="37">
        <f t="shared" si="2"/>
        <v>0</v>
      </c>
      <c r="N89" s="33">
        <f t="shared" si="14"/>
        <v>0</v>
      </c>
      <c r="O89" s="34">
        <f t="shared" si="15"/>
        <v>0</v>
      </c>
      <c r="P89" s="44">
        <f t="shared" si="3"/>
        <v>0</v>
      </c>
      <c r="Q89" s="38">
        <f t="shared" si="4"/>
        <v>0</v>
      </c>
      <c r="R89" s="34">
        <f t="shared" si="16"/>
        <v>0</v>
      </c>
      <c r="S89" s="43">
        <f t="shared" si="5"/>
        <v>0</v>
      </c>
      <c r="T89" s="38">
        <f t="shared" si="6"/>
        <v>0</v>
      </c>
      <c r="U89" s="36">
        <f t="shared" si="17"/>
        <v>0</v>
      </c>
      <c r="V89" s="28"/>
      <c r="X89" s="12"/>
      <c r="Y89" s="12"/>
      <c r="Z89" s="12"/>
      <c r="AA89" s="12"/>
      <c r="AB89" s="12"/>
      <c r="AC89" s="12"/>
      <c r="AD89" s="12"/>
      <c r="AE89" s="12"/>
      <c r="AF89" s="14"/>
      <c r="AG89" s="14"/>
    </row>
    <row r="90" spans="2:33" ht="30.75" hidden="1" thickBot="1">
      <c r="B90" s="27"/>
      <c r="C90" s="39"/>
      <c r="D90" s="31">
        <f t="shared" si="7"/>
        <v>0</v>
      </c>
      <c r="E90" s="31">
        <f t="shared" si="8"/>
        <v>0</v>
      </c>
      <c r="F90" s="32">
        <f t="shared" si="9"/>
        <v>0</v>
      </c>
      <c r="G90" s="31">
        <f t="shared" si="0"/>
        <v>0</v>
      </c>
      <c r="H90" s="33">
        <f t="shared" si="10"/>
        <v>0</v>
      </c>
      <c r="I90" s="34">
        <f t="shared" si="11"/>
        <v>0</v>
      </c>
      <c r="J90" s="47">
        <f t="shared" si="1"/>
        <v>0</v>
      </c>
      <c r="K90" s="35">
        <f t="shared" si="12"/>
        <v>0</v>
      </c>
      <c r="L90" s="36">
        <f t="shared" si="13"/>
        <v>0</v>
      </c>
      <c r="M90" s="37">
        <f t="shared" si="2"/>
        <v>0</v>
      </c>
      <c r="N90" s="33">
        <f t="shared" si="14"/>
        <v>0</v>
      </c>
      <c r="O90" s="34">
        <f t="shared" si="15"/>
        <v>0</v>
      </c>
      <c r="P90" s="49">
        <f t="shared" si="3"/>
        <v>0</v>
      </c>
      <c r="Q90" s="38">
        <f t="shared" si="4"/>
        <v>0</v>
      </c>
      <c r="R90" s="34">
        <f t="shared" si="16"/>
        <v>0</v>
      </c>
      <c r="S90" s="50">
        <f t="shared" si="5"/>
        <v>0</v>
      </c>
      <c r="T90" s="38">
        <f t="shared" si="6"/>
        <v>0</v>
      </c>
      <c r="U90" s="36">
        <f t="shared" si="17"/>
        <v>0</v>
      </c>
      <c r="V90" s="28"/>
      <c r="X90" s="12"/>
      <c r="Y90" s="12"/>
      <c r="Z90" s="12"/>
      <c r="AA90" s="12"/>
      <c r="AB90" s="12"/>
      <c r="AC90" s="12"/>
      <c r="AD90" s="12"/>
      <c r="AE90" s="12"/>
      <c r="AF90" s="14"/>
      <c r="AG90" s="14"/>
    </row>
    <row r="91" spans="2:33" ht="30.75" hidden="1" thickBot="1">
      <c r="B91" s="24"/>
      <c r="C91" s="42"/>
      <c r="D91" s="31">
        <f t="shared" si="7"/>
        <v>0</v>
      </c>
      <c r="E91" s="31">
        <f t="shared" si="8"/>
        <v>0</v>
      </c>
      <c r="F91" s="32">
        <f t="shared" si="9"/>
        <v>0</v>
      </c>
      <c r="G91" s="31">
        <f t="shared" si="0"/>
        <v>0</v>
      </c>
      <c r="H91" s="33">
        <f t="shared" si="10"/>
        <v>0</v>
      </c>
      <c r="I91" s="34">
        <f t="shared" si="11"/>
        <v>0</v>
      </c>
      <c r="J91" s="47">
        <f t="shared" si="1"/>
        <v>0</v>
      </c>
      <c r="K91" s="35">
        <f t="shared" si="12"/>
        <v>0</v>
      </c>
      <c r="L91" s="36">
        <f t="shared" si="13"/>
        <v>0</v>
      </c>
      <c r="M91" s="37">
        <f t="shared" si="2"/>
        <v>0</v>
      </c>
      <c r="N91" s="33">
        <f t="shared" si="14"/>
        <v>0</v>
      </c>
      <c r="O91" s="34">
        <f t="shared" si="15"/>
        <v>0</v>
      </c>
      <c r="P91" s="44">
        <f t="shared" si="3"/>
        <v>0</v>
      </c>
      <c r="Q91" s="38">
        <f t="shared" si="4"/>
        <v>0</v>
      </c>
      <c r="R91" s="34">
        <f t="shared" si="16"/>
        <v>0</v>
      </c>
      <c r="S91" s="43">
        <f t="shared" si="5"/>
        <v>0</v>
      </c>
      <c r="T91" s="38">
        <f t="shared" si="6"/>
        <v>0</v>
      </c>
      <c r="U91" s="36">
        <f>ROUNDUP(T91,0)</f>
        <v>0</v>
      </c>
      <c r="V91" s="28"/>
      <c r="X91" s="12"/>
      <c r="Y91" s="12"/>
      <c r="Z91" s="12"/>
      <c r="AA91" s="12"/>
      <c r="AB91" s="12"/>
      <c r="AC91" s="12"/>
      <c r="AD91" s="12"/>
      <c r="AE91" s="12"/>
      <c r="AF91" s="14"/>
      <c r="AG91" s="14"/>
    </row>
    <row r="92" spans="2:33" ht="30.75" hidden="1" thickBot="1">
      <c r="B92" s="17"/>
      <c r="C92" s="39"/>
      <c r="D92" s="51">
        <f t="shared" si="7"/>
        <v>0</v>
      </c>
      <c r="E92" s="31">
        <f t="shared" si="8"/>
        <v>0</v>
      </c>
      <c r="F92" s="32">
        <f t="shared" si="9"/>
        <v>0</v>
      </c>
      <c r="G92" s="51">
        <f t="shared" si="0"/>
        <v>0</v>
      </c>
      <c r="H92" s="33">
        <f t="shared" si="10"/>
        <v>0</v>
      </c>
      <c r="I92" s="34">
        <f t="shared" si="11"/>
        <v>0</v>
      </c>
      <c r="J92" s="48">
        <f t="shared" si="1"/>
        <v>0</v>
      </c>
      <c r="K92" s="35">
        <f t="shared" si="12"/>
        <v>0</v>
      </c>
      <c r="L92" s="36">
        <f t="shared" si="13"/>
        <v>0</v>
      </c>
      <c r="M92" s="52">
        <f t="shared" si="2"/>
        <v>0</v>
      </c>
      <c r="N92" s="33">
        <f t="shared" si="14"/>
        <v>0</v>
      </c>
      <c r="O92" s="34">
        <f t="shared" si="15"/>
        <v>0</v>
      </c>
      <c r="P92" s="49">
        <f t="shared" si="3"/>
        <v>0</v>
      </c>
      <c r="Q92" s="38">
        <f t="shared" si="4"/>
        <v>0</v>
      </c>
      <c r="R92" s="34">
        <f t="shared" si="16"/>
        <v>0</v>
      </c>
      <c r="S92" s="50">
        <f t="shared" si="5"/>
        <v>0</v>
      </c>
      <c r="T92" s="38">
        <f t="shared" si="6"/>
        <v>0</v>
      </c>
      <c r="U92" s="36">
        <f t="shared" si="17"/>
        <v>0</v>
      </c>
      <c r="V92" s="28"/>
    </row>
    <row r="93" spans="2:33" ht="30.75" hidden="1" thickBot="1">
      <c r="B93" s="15"/>
      <c r="C93" s="42"/>
      <c r="D93" s="53">
        <f t="shared" si="7"/>
        <v>0</v>
      </c>
      <c r="E93" s="31">
        <f t="shared" si="8"/>
        <v>0</v>
      </c>
      <c r="F93" s="32">
        <f t="shared" si="9"/>
        <v>0</v>
      </c>
      <c r="G93" s="54">
        <f t="shared" si="0"/>
        <v>0</v>
      </c>
      <c r="H93" s="33">
        <f t="shared" si="10"/>
        <v>0</v>
      </c>
      <c r="I93" s="34">
        <f t="shared" si="11"/>
        <v>0</v>
      </c>
      <c r="J93" s="48">
        <f t="shared" si="1"/>
        <v>0</v>
      </c>
      <c r="K93" s="35">
        <f t="shared" si="12"/>
        <v>0</v>
      </c>
      <c r="L93" s="55">
        <f t="shared" si="13"/>
        <v>0</v>
      </c>
      <c r="M93" s="54">
        <f t="shared" si="2"/>
        <v>0</v>
      </c>
      <c r="N93" s="33">
        <f t="shared" si="14"/>
        <v>0</v>
      </c>
      <c r="O93" s="34">
        <f t="shared" si="15"/>
        <v>0</v>
      </c>
      <c r="P93" s="44">
        <f t="shared" si="3"/>
        <v>0</v>
      </c>
      <c r="Q93" s="38">
        <f t="shared" si="4"/>
        <v>0</v>
      </c>
      <c r="R93" s="34">
        <f t="shared" si="16"/>
        <v>0</v>
      </c>
      <c r="S93" s="43">
        <f t="shared" si="5"/>
        <v>0</v>
      </c>
      <c r="T93" s="38">
        <f t="shared" si="6"/>
        <v>0</v>
      </c>
      <c r="U93" s="36">
        <f t="shared" si="17"/>
        <v>0</v>
      </c>
      <c r="V93" s="28"/>
    </row>
    <row r="94" spans="2:33" ht="30.75" hidden="1" thickBot="1">
      <c r="B94" s="18"/>
      <c r="C94" s="42"/>
      <c r="D94" s="53">
        <f t="shared" si="7"/>
        <v>0</v>
      </c>
      <c r="E94" s="31">
        <f t="shared" si="8"/>
        <v>0</v>
      </c>
      <c r="F94" s="32">
        <f t="shared" si="9"/>
        <v>0</v>
      </c>
      <c r="G94" s="54">
        <f t="shared" si="0"/>
        <v>0</v>
      </c>
      <c r="H94" s="33">
        <f t="shared" si="10"/>
        <v>0</v>
      </c>
      <c r="I94" s="34">
        <f t="shared" si="11"/>
        <v>0</v>
      </c>
      <c r="J94" s="48">
        <f t="shared" si="1"/>
        <v>0</v>
      </c>
      <c r="K94" s="35">
        <f t="shared" si="12"/>
        <v>0</v>
      </c>
      <c r="L94" s="36">
        <f t="shared" si="13"/>
        <v>0</v>
      </c>
      <c r="M94" s="54">
        <f t="shared" si="2"/>
        <v>0</v>
      </c>
      <c r="N94" s="33">
        <f t="shared" si="14"/>
        <v>0</v>
      </c>
      <c r="O94" s="34">
        <f t="shared" si="15"/>
        <v>0</v>
      </c>
      <c r="P94" s="44">
        <f t="shared" si="3"/>
        <v>0</v>
      </c>
      <c r="Q94" s="38">
        <f t="shared" si="4"/>
        <v>0</v>
      </c>
      <c r="R94" s="34">
        <f t="shared" si="16"/>
        <v>0</v>
      </c>
      <c r="S94" s="43">
        <f t="shared" si="5"/>
        <v>0</v>
      </c>
      <c r="T94" s="38">
        <f t="shared" si="6"/>
        <v>0</v>
      </c>
      <c r="U94" s="36">
        <f t="shared" si="17"/>
        <v>0</v>
      </c>
      <c r="V94" s="28"/>
    </row>
    <row r="95" spans="2:33" ht="30.75" hidden="1" thickBot="1">
      <c r="B95" s="19"/>
      <c r="C95" s="42"/>
      <c r="D95" s="53">
        <f t="shared" si="7"/>
        <v>0</v>
      </c>
      <c r="E95" s="56">
        <f t="shared" si="8"/>
        <v>0</v>
      </c>
      <c r="F95" s="32">
        <f t="shared" si="9"/>
        <v>0</v>
      </c>
      <c r="G95" s="54">
        <f t="shared" si="0"/>
        <v>0</v>
      </c>
      <c r="H95" s="33">
        <f t="shared" si="10"/>
        <v>0</v>
      </c>
      <c r="I95" s="34">
        <f t="shared" si="11"/>
        <v>0</v>
      </c>
      <c r="J95" s="48">
        <f t="shared" si="1"/>
        <v>0</v>
      </c>
      <c r="K95" s="35">
        <f t="shared" si="12"/>
        <v>0</v>
      </c>
      <c r="L95" s="57">
        <f t="shared" si="13"/>
        <v>0</v>
      </c>
      <c r="M95" s="54">
        <f t="shared" si="2"/>
        <v>0</v>
      </c>
      <c r="N95" s="33">
        <f t="shared" si="14"/>
        <v>0</v>
      </c>
      <c r="O95" s="34">
        <f t="shared" si="15"/>
        <v>0</v>
      </c>
      <c r="P95" s="44">
        <f t="shared" si="3"/>
        <v>0</v>
      </c>
      <c r="Q95" s="38">
        <f t="shared" si="4"/>
        <v>0</v>
      </c>
      <c r="R95" s="34">
        <f t="shared" si="16"/>
        <v>0</v>
      </c>
      <c r="S95" s="43">
        <f t="shared" si="5"/>
        <v>0</v>
      </c>
      <c r="T95" s="38">
        <f t="shared" si="6"/>
        <v>0</v>
      </c>
      <c r="U95" s="36">
        <f t="shared" si="17"/>
        <v>0</v>
      </c>
      <c r="V95" s="28"/>
    </row>
    <row r="96" spans="2:33" ht="33.75" thickBot="1">
      <c r="B96" s="30" t="s">
        <v>19</v>
      </c>
      <c r="C96" s="115"/>
      <c r="D96" s="116">
        <f t="shared" ref="D96:P96" si="39">SUM(D3:D95)</f>
        <v>0</v>
      </c>
      <c r="E96" s="117"/>
      <c r="F96" s="118">
        <f>SUM(F4:F95)</f>
        <v>0</v>
      </c>
      <c r="G96" s="117">
        <f t="shared" si="39"/>
        <v>0</v>
      </c>
      <c r="H96" s="117"/>
      <c r="I96" s="119">
        <f>SUM(I4:I95)</f>
        <v>0</v>
      </c>
      <c r="J96" s="120">
        <f t="shared" si="39"/>
        <v>0</v>
      </c>
      <c r="K96" s="121"/>
      <c r="L96" s="122">
        <f>SUM(L4:L95)</f>
        <v>0</v>
      </c>
      <c r="M96" s="117">
        <f t="shared" si="39"/>
        <v>0</v>
      </c>
      <c r="N96" s="117"/>
      <c r="O96" s="119">
        <f>SUM(O4:O95)</f>
        <v>0</v>
      </c>
      <c r="P96" s="123">
        <f t="shared" si="39"/>
        <v>0</v>
      </c>
      <c r="Q96" s="124"/>
      <c r="R96" s="118">
        <f>SUM(R4:R95)</f>
        <v>0</v>
      </c>
      <c r="S96" s="125">
        <f>SUM(S6:S95)</f>
        <v>0</v>
      </c>
      <c r="T96" s="125"/>
      <c r="U96" s="126">
        <f>SUM(U4:U95)</f>
        <v>0</v>
      </c>
      <c r="V96" s="28"/>
    </row>
    <row r="97" spans="2:22" ht="33.75" customHeight="1" thickBot="1">
      <c r="B97" s="30" t="s">
        <v>20</v>
      </c>
      <c r="C97" s="115"/>
      <c r="D97" s="116">
        <f>MAX(計量表!C$6:C$70)</f>
        <v>0</v>
      </c>
      <c r="E97" s="117"/>
      <c r="F97" s="118">
        <v>2</v>
      </c>
      <c r="G97" s="116">
        <f>MAX(計量表!L$6:L$70)</f>
        <v>0</v>
      </c>
      <c r="H97" s="117"/>
      <c r="I97" s="127">
        <v>2</v>
      </c>
      <c r="J97" s="120">
        <f>MAX(計量表!S$6:S$70)</f>
        <v>0</v>
      </c>
      <c r="K97" s="121"/>
      <c r="L97" s="127">
        <v>2</v>
      </c>
      <c r="M97" s="117">
        <f>MAX(計量表!Z$6:Z$70)</f>
        <v>0</v>
      </c>
      <c r="N97" s="117"/>
      <c r="O97" s="127">
        <v>2</v>
      </c>
      <c r="P97" s="123">
        <f>MAX(計量表!AG$6:AG$70)</f>
        <v>0</v>
      </c>
      <c r="Q97" s="124"/>
      <c r="R97" s="127">
        <v>2</v>
      </c>
      <c r="S97" s="125">
        <f>MAX(計量表!AN$6:AN$70)</f>
        <v>0</v>
      </c>
      <c r="T97" s="125"/>
      <c r="U97" s="133">
        <v>2</v>
      </c>
      <c r="V97" s="28"/>
    </row>
    <row r="98" spans="2:22" ht="33.75" customHeight="1" thickBot="1">
      <c r="B98" s="30" t="s">
        <v>21</v>
      </c>
      <c r="C98" s="115"/>
      <c r="D98" s="116">
        <f>SUM(D4:D96)</f>
        <v>0</v>
      </c>
      <c r="E98" s="117"/>
      <c r="F98" s="118">
        <v>5</v>
      </c>
      <c r="G98" s="117">
        <f>SUM(G4:G96)</f>
        <v>0</v>
      </c>
      <c r="H98" s="117"/>
      <c r="I98" s="119">
        <v>5</v>
      </c>
      <c r="J98" s="120">
        <f>SUM(J4:J96)</f>
        <v>0</v>
      </c>
      <c r="K98" s="121"/>
      <c r="L98" s="122">
        <v>5</v>
      </c>
      <c r="M98" s="117">
        <f>SUM(M4:M96)</f>
        <v>0</v>
      </c>
      <c r="N98" s="117"/>
      <c r="O98" s="119">
        <v>5</v>
      </c>
      <c r="P98" s="123">
        <f>SUM(P4:P96)</f>
        <v>0</v>
      </c>
      <c r="Q98" s="124"/>
      <c r="R98" s="118">
        <v>5</v>
      </c>
      <c r="S98" s="125">
        <f>SUM(S7:S96)</f>
        <v>0</v>
      </c>
      <c r="T98" s="125"/>
      <c r="U98" s="126">
        <v>5</v>
      </c>
      <c r="V98" s="28"/>
    </row>
    <row r="99" spans="2:22" ht="33.75" thickBot="1">
      <c r="B99" s="30" t="s">
        <v>25</v>
      </c>
      <c r="C99" s="115"/>
      <c r="D99" s="116">
        <f>SUM(D5:D97)</f>
        <v>0</v>
      </c>
      <c r="E99" s="117"/>
      <c r="F99" s="127" t="s">
        <v>23</v>
      </c>
      <c r="G99" s="117"/>
      <c r="H99" s="117"/>
      <c r="I99" s="127" t="s">
        <v>23</v>
      </c>
      <c r="J99" s="120"/>
      <c r="K99" s="121"/>
      <c r="L99" s="127" t="s">
        <v>23</v>
      </c>
      <c r="M99" s="117"/>
      <c r="N99" s="117"/>
      <c r="O99" s="127" t="s">
        <v>23</v>
      </c>
      <c r="P99" s="123"/>
      <c r="Q99" s="124"/>
      <c r="R99" s="127" t="s">
        <v>23</v>
      </c>
      <c r="S99" s="125"/>
      <c r="T99" s="125"/>
      <c r="U99" s="126" t="s">
        <v>22</v>
      </c>
      <c r="V99" s="28"/>
    </row>
    <row r="100" spans="2:22" ht="33.75" thickBot="1">
      <c r="B100" s="30" t="s">
        <v>26</v>
      </c>
      <c r="C100" s="115"/>
      <c r="D100" s="116">
        <f>SUM(D5:D97)</f>
        <v>0</v>
      </c>
      <c r="E100" s="117"/>
      <c r="F100" s="127" t="s">
        <v>23</v>
      </c>
      <c r="G100" s="117"/>
      <c r="H100" s="117"/>
      <c r="I100" s="127" t="s">
        <v>23</v>
      </c>
      <c r="J100" s="120"/>
      <c r="K100" s="121"/>
      <c r="L100" s="127" t="s">
        <v>23</v>
      </c>
      <c r="M100" s="117"/>
      <c r="N100" s="117"/>
      <c r="O100" s="127" t="s">
        <v>23</v>
      </c>
      <c r="P100" s="123"/>
      <c r="Q100" s="124"/>
      <c r="R100" s="127" t="s">
        <v>23</v>
      </c>
      <c r="S100" s="125"/>
      <c r="T100" s="125"/>
      <c r="U100" s="126" t="s">
        <v>22</v>
      </c>
      <c r="V100" s="28"/>
    </row>
    <row r="101" spans="2:22" ht="33.75" thickBot="1">
      <c r="B101" s="30" t="s">
        <v>27</v>
      </c>
      <c r="C101" s="115"/>
      <c r="D101" s="116">
        <f>SUM(D6:D98)</f>
        <v>0</v>
      </c>
      <c r="E101" s="117"/>
      <c r="F101" s="127" t="s">
        <v>23</v>
      </c>
      <c r="G101" s="117"/>
      <c r="H101" s="117"/>
      <c r="I101" s="127" t="s">
        <v>23</v>
      </c>
      <c r="J101" s="120"/>
      <c r="K101" s="121"/>
      <c r="L101" s="127" t="s">
        <v>23</v>
      </c>
      <c r="M101" s="117"/>
      <c r="N101" s="117"/>
      <c r="O101" s="127" t="s">
        <v>23</v>
      </c>
      <c r="P101" s="123"/>
      <c r="Q101" s="124"/>
      <c r="R101" s="127" t="s">
        <v>23</v>
      </c>
      <c r="S101" s="125"/>
      <c r="T101" s="125"/>
      <c r="U101" s="126" t="s">
        <v>22</v>
      </c>
      <c r="V101" s="28"/>
    </row>
    <row r="102" spans="2:22" ht="33.75" thickBot="1">
      <c r="B102" s="30" t="s">
        <v>24</v>
      </c>
      <c r="C102" s="115"/>
      <c r="D102" s="116">
        <f>合数一覧!D98</f>
        <v>3</v>
      </c>
      <c r="E102" s="117">
        <f>合数一覧!E98</f>
        <v>0</v>
      </c>
      <c r="F102" s="127" t="str">
        <f>合数一覧!F98</f>
        <v>-</v>
      </c>
      <c r="G102" s="117">
        <f>合数一覧!G98</f>
        <v>0</v>
      </c>
      <c r="H102" s="117">
        <f>合数一覧!H98</f>
        <v>0</v>
      </c>
      <c r="I102" s="127" t="str">
        <f>合数一覧!I98</f>
        <v>-</v>
      </c>
      <c r="J102" s="120">
        <f>合数一覧!J98</f>
        <v>0</v>
      </c>
      <c r="K102" s="121">
        <f>合数一覧!K98</f>
        <v>0</v>
      </c>
      <c r="L102" s="127" t="str">
        <f>合数一覧!L98</f>
        <v>-</v>
      </c>
      <c r="M102" s="117">
        <f>合数一覧!M98</f>
        <v>0</v>
      </c>
      <c r="N102" s="117">
        <f>合数一覧!N98</f>
        <v>0</v>
      </c>
      <c r="O102" s="127" t="str">
        <f>合数一覧!O98</f>
        <v>-</v>
      </c>
      <c r="P102" s="123">
        <f>合数一覧!P98</f>
        <v>0</v>
      </c>
      <c r="Q102" s="124">
        <f>合数一覧!Q98</f>
        <v>0</v>
      </c>
      <c r="R102" s="127" t="str">
        <f>合数一覧!R98</f>
        <v>-</v>
      </c>
      <c r="S102" s="125">
        <f>合数一覧!S98</f>
        <v>0</v>
      </c>
      <c r="T102" s="125">
        <f>合数一覧!T98</f>
        <v>0</v>
      </c>
      <c r="U102" s="126" t="str">
        <f>合数一覧!U98</f>
        <v>-</v>
      </c>
      <c r="V102" s="28"/>
    </row>
  </sheetData>
  <mergeCells count="3">
    <mergeCell ref="AH24:AH25"/>
    <mergeCell ref="AH32:AH33"/>
    <mergeCell ref="AH27:AH28"/>
  </mergeCells>
  <phoneticPr fontId="1"/>
  <pageMargins left="0.7" right="0.7" top="0.75" bottom="0.75" header="0.3" footer="0.3"/>
  <pageSetup paperSize="9" scale="41" fitToHeight="0" orientation="portrait" r:id="rId1"/>
  <rowBreaks count="1" manualBreakCount="1">
    <brk id="103" max="2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B58C-B5E6-44F4-9507-0A14D62A1949}">
  <sheetPr>
    <tabColor rgb="FFC0DDAD"/>
  </sheetPr>
  <dimension ref="A1:AR91"/>
  <sheetViews>
    <sheetView view="pageBreakPreview" zoomScale="60" zoomScaleNormal="100" workbookViewId="0">
      <selection sqref="A1:D1"/>
    </sheetView>
  </sheetViews>
  <sheetFormatPr defaultRowHeight="18.75"/>
  <cols>
    <col min="1" max="1" width="52.375" customWidth="1"/>
    <col min="2" max="2" width="15.625" customWidth="1"/>
    <col min="3" max="3" width="12.5" customWidth="1"/>
    <col min="5" max="5" width="14.5" bestFit="1" customWidth="1"/>
    <col min="7" max="7" width="12.5" customWidth="1"/>
    <col min="9" max="9" width="12.5" customWidth="1"/>
    <col min="10" max="10" width="52.375" customWidth="1"/>
    <col min="11" max="11" width="15.625" customWidth="1"/>
    <col min="12" max="12" width="11.375" customWidth="1"/>
    <col min="14" max="14" width="12.5" hidden="1" customWidth="1"/>
    <col min="15" max="15" width="9" hidden="1" customWidth="1"/>
    <col min="16" max="16" width="12.5" customWidth="1"/>
    <col min="17" max="17" width="52.375" customWidth="1"/>
    <col min="18" max="18" width="15.625" customWidth="1"/>
    <col min="19" max="19" width="11.375" customWidth="1"/>
    <col min="20" max="20" width="9" customWidth="1"/>
    <col min="21" max="21" width="12.5" hidden="1" customWidth="1"/>
    <col min="22" max="22" width="0" hidden="1" customWidth="1"/>
    <col min="23" max="23" width="12.5" customWidth="1"/>
    <col min="24" max="24" width="52.375" customWidth="1"/>
    <col min="25" max="25" width="15.625" customWidth="1"/>
    <col min="26" max="26" width="11.375" customWidth="1"/>
    <col min="28" max="28" width="12.5" hidden="1" customWidth="1"/>
    <col min="29" max="29" width="0" hidden="1" customWidth="1"/>
    <col min="30" max="30" width="12.5" customWidth="1"/>
    <col min="31" max="31" width="52.375" customWidth="1"/>
    <col min="32" max="32" width="15.625" customWidth="1"/>
    <col min="33" max="33" width="11.375" customWidth="1"/>
    <col min="35" max="35" width="12.5" hidden="1" customWidth="1"/>
    <col min="36" max="36" width="0" hidden="1" customWidth="1"/>
    <col min="37" max="37" width="12.5" customWidth="1"/>
    <col min="38" max="38" width="52.375" customWidth="1"/>
    <col min="39" max="39" width="15.625" customWidth="1"/>
    <col min="40" max="40" width="11.375" customWidth="1"/>
    <col min="42" max="42" width="12.5" hidden="1" customWidth="1"/>
    <col min="43" max="43" width="0" hidden="1" customWidth="1"/>
    <col min="44" max="44" width="12.5" customWidth="1"/>
  </cols>
  <sheetData>
    <row r="1" spans="1:44" ht="42.75" thickBot="1">
      <c r="A1" s="246" t="s">
        <v>18</v>
      </c>
      <c r="B1" s="246"/>
      <c r="C1" s="246"/>
      <c r="D1" s="246"/>
      <c r="E1" s="251">
        <v>0.09</v>
      </c>
      <c r="F1" s="252"/>
      <c r="J1" s="246"/>
      <c r="K1" s="246"/>
      <c r="L1" s="246"/>
      <c r="M1" s="246"/>
      <c r="Q1" s="246"/>
      <c r="R1" s="246"/>
      <c r="S1" s="246"/>
      <c r="T1" s="246"/>
      <c r="X1" s="246"/>
      <c r="Y1" s="246"/>
      <c r="Z1" s="246"/>
      <c r="AA1" s="246"/>
      <c r="AE1" s="246"/>
      <c r="AF1" s="246"/>
      <c r="AG1" s="246"/>
      <c r="AH1" s="246"/>
      <c r="AL1" s="246"/>
      <c r="AM1" s="246"/>
      <c r="AN1" s="246"/>
      <c r="AO1" s="246"/>
    </row>
    <row r="2" spans="1:44" ht="30" customHeight="1" thickBot="1">
      <c r="A2" s="247" t="e">
        <f>#REF!</f>
        <v>#REF!</v>
      </c>
      <c r="B2" s="253"/>
      <c r="C2" s="134">
        <v>35</v>
      </c>
      <c r="D2" s="135" t="s">
        <v>0</v>
      </c>
      <c r="E2" s="136">
        <f>C2*E1</f>
        <v>3.15</v>
      </c>
      <c r="F2" s="137" t="s">
        <v>0</v>
      </c>
      <c r="G2" s="138"/>
      <c r="H2" s="135"/>
      <c r="I2" s="139"/>
      <c r="J2" s="247" t="e">
        <f>#REF!</f>
        <v>#REF!</v>
      </c>
      <c r="K2" s="248"/>
      <c r="L2" s="134">
        <v>8</v>
      </c>
      <c r="M2" s="140" t="s">
        <v>1</v>
      </c>
      <c r="N2" s="138"/>
      <c r="O2" s="135"/>
      <c r="P2" s="139"/>
      <c r="Q2" s="247" t="e">
        <f>#REF!</f>
        <v>#REF!</v>
      </c>
      <c r="R2" s="248"/>
      <c r="S2" s="134">
        <v>8</v>
      </c>
      <c r="T2" s="140" t="s">
        <v>1</v>
      </c>
      <c r="U2" s="138"/>
      <c r="V2" s="135"/>
      <c r="W2" s="139"/>
      <c r="X2" s="247" t="e">
        <f>#REF!</f>
        <v>#REF!</v>
      </c>
      <c r="Y2" s="248"/>
      <c r="Z2" s="134">
        <v>8</v>
      </c>
      <c r="AA2" s="140" t="s">
        <v>1</v>
      </c>
      <c r="AB2" s="138"/>
      <c r="AC2" s="135"/>
      <c r="AD2" s="139"/>
      <c r="AE2" s="247" t="e">
        <f>#REF!</f>
        <v>#REF!</v>
      </c>
      <c r="AF2" s="248"/>
      <c r="AG2" s="134">
        <v>8</v>
      </c>
      <c r="AH2" s="140" t="s">
        <v>1</v>
      </c>
      <c r="AI2" s="138"/>
      <c r="AJ2" s="135"/>
      <c r="AK2" s="139"/>
      <c r="AL2" s="256" t="e">
        <f>#REF!</f>
        <v>#REF!</v>
      </c>
      <c r="AM2" s="256"/>
      <c r="AN2" s="134">
        <v>8</v>
      </c>
      <c r="AO2" s="135" t="s">
        <v>1</v>
      </c>
      <c r="AP2" s="138"/>
      <c r="AQ2" s="135"/>
      <c r="AR2" s="139"/>
    </row>
    <row r="3" spans="1:44" ht="30" customHeight="1" thickBot="1">
      <c r="A3" s="141"/>
      <c r="B3" s="142" t="s">
        <v>10</v>
      </c>
      <c r="C3" s="249" t="s">
        <v>18</v>
      </c>
      <c r="D3" s="245"/>
      <c r="E3" s="254" t="s">
        <v>11</v>
      </c>
      <c r="F3" s="255"/>
      <c r="G3" s="244" t="s">
        <v>5</v>
      </c>
      <c r="H3" s="245"/>
      <c r="I3" s="143" t="s">
        <v>17</v>
      </c>
      <c r="J3" s="141"/>
      <c r="K3" s="144" t="s">
        <v>10</v>
      </c>
      <c r="L3" s="249" t="s">
        <v>18</v>
      </c>
      <c r="M3" s="250"/>
      <c r="N3" s="244" t="s">
        <v>5</v>
      </c>
      <c r="O3" s="245"/>
      <c r="P3" s="143" t="s">
        <v>17</v>
      </c>
      <c r="Q3" s="141"/>
      <c r="R3" s="144" t="s">
        <v>10</v>
      </c>
      <c r="S3" s="249" t="s">
        <v>18</v>
      </c>
      <c r="T3" s="250"/>
      <c r="U3" s="244" t="s">
        <v>5</v>
      </c>
      <c r="V3" s="245"/>
      <c r="W3" s="143" t="s">
        <v>17</v>
      </c>
      <c r="X3" s="141"/>
      <c r="Y3" s="144" t="s">
        <v>10</v>
      </c>
      <c r="Z3" s="249" t="s">
        <v>18</v>
      </c>
      <c r="AA3" s="250"/>
      <c r="AB3" s="244" t="s">
        <v>5</v>
      </c>
      <c r="AC3" s="245"/>
      <c r="AD3" s="143" t="s">
        <v>17</v>
      </c>
      <c r="AE3" s="141"/>
      <c r="AF3" s="144" t="s">
        <v>10</v>
      </c>
      <c r="AG3" s="249" t="s">
        <v>18</v>
      </c>
      <c r="AH3" s="250"/>
      <c r="AI3" s="244" t="s">
        <v>5</v>
      </c>
      <c r="AJ3" s="245"/>
      <c r="AK3" s="143" t="s">
        <v>17</v>
      </c>
      <c r="AL3" s="145"/>
      <c r="AM3" s="224" t="s">
        <v>10</v>
      </c>
      <c r="AN3" s="249" t="s">
        <v>18</v>
      </c>
      <c r="AO3" s="245"/>
      <c r="AP3" s="244" t="s">
        <v>5</v>
      </c>
      <c r="AQ3" s="245"/>
      <c r="AR3" s="143" t="s">
        <v>17</v>
      </c>
    </row>
    <row r="4" spans="1:44" ht="35.1" customHeight="1" thickTop="1">
      <c r="A4" s="146" t="s">
        <v>8</v>
      </c>
      <c r="B4" s="147">
        <v>1</v>
      </c>
      <c r="C4" s="148">
        <f>C2</f>
        <v>35</v>
      </c>
      <c r="D4" s="149" t="str">
        <f>D$2</f>
        <v>g</v>
      </c>
      <c r="E4" s="150">
        <f>C4*E1</f>
        <v>3.15</v>
      </c>
      <c r="F4" s="151" t="str">
        <f t="shared" ref="F4:F71" si="0">F$2</f>
        <v>g</v>
      </c>
      <c r="G4" s="209">
        <f>(C4+E4)</f>
        <v>38.15</v>
      </c>
      <c r="H4" s="149" t="str">
        <f>F$2</f>
        <v>g</v>
      </c>
      <c r="I4" s="153"/>
      <c r="J4" s="146" t="s">
        <v>8</v>
      </c>
      <c r="K4" s="147">
        <v>1</v>
      </c>
      <c r="L4" s="148">
        <f>L2</f>
        <v>8</v>
      </c>
      <c r="M4" s="154" t="str">
        <f t="shared" ref="M4:M71" si="1">M$2</f>
        <v>ｇ</v>
      </c>
      <c r="N4" s="152"/>
      <c r="O4" s="149" t="str">
        <f>M$2</f>
        <v>ｇ</v>
      </c>
      <c r="P4" s="153"/>
      <c r="Q4" s="146" t="s">
        <v>8</v>
      </c>
      <c r="R4" s="147">
        <v>1</v>
      </c>
      <c r="S4" s="148">
        <f>S2</f>
        <v>8</v>
      </c>
      <c r="T4" s="154" t="str">
        <f t="shared" ref="T4:T71" si="2">T$2</f>
        <v>ｇ</v>
      </c>
      <c r="U4" s="152"/>
      <c r="V4" s="149" t="str">
        <f>T$2</f>
        <v>ｇ</v>
      </c>
      <c r="W4" s="153"/>
      <c r="X4" s="146" t="s">
        <v>8</v>
      </c>
      <c r="Y4" s="147">
        <v>1</v>
      </c>
      <c r="Z4" s="148">
        <f>Z2</f>
        <v>8</v>
      </c>
      <c r="AA4" s="154" t="str">
        <f t="shared" ref="AA4:AA71" si="3">AA$2</f>
        <v>ｇ</v>
      </c>
      <c r="AB4" s="152"/>
      <c r="AC4" s="149" t="str">
        <f>AA$2</f>
        <v>ｇ</v>
      </c>
      <c r="AD4" s="153"/>
      <c r="AE4" s="146" t="s">
        <v>8</v>
      </c>
      <c r="AF4" s="147">
        <v>1</v>
      </c>
      <c r="AG4" s="148">
        <f>AG2</f>
        <v>8</v>
      </c>
      <c r="AH4" s="154" t="str">
        <f t="shared" ref="AH4:AH71" si="4">AH$2</f>
        <v>ｇ</v>
      </c>
      <c r="AI4" s="152"/>
      <c r="AJ4" s="149" t="str">
        <f>AH$2</f>
        <v>ｇ</v>
      </c>
      <c r="AK4" s="153"/>
      <c r="AL4" s="155" t="s">
        <v>8</v>
      </c>
      <c r="AM4" s="225">
        <v>1</v>
      </c>
      <c r="AN4" s="148">
        <f>AN2</f>
        <v>8</v>
      </c>
      <c r="AO4" s="149" t="str">
        <f t="shared" ref="AO4:AO71" si="5">AO$2</f>
        <v>ｇ</v>
      </c>
      <c r="AP4" s="152"/>
      <c r="AQ4" s="149" t="str">
        <f>AO$2</f>
        <v>ｇ</v>
      </c>
      <c r="AR4" s="153"/>
    </row>
    <row r="5" spans="1:44" ht="35.1" customHeight="1" thickBot="1">
      <c r="A5" s="156" t="s">
        <v>9</v>
      </c>
      <c r="B5" s="157">
        <v>10</v>
      </c>
      <c r="C5" s="158">
        <f>B5*C2</f>
        <v>350</v>
      </c>
      <c r="D5" s="159" t="str">
        <f t="shared" ref="D5:D71" si="6">D$2</f>
        <v>g</v>
      </c>
      <c r="E5" s="160">
        <f>C5*E1</f>
        <v>31.5</v>
      </c>
      <c r="F5" s="161" t="str">
        <f t="shared" si="0"/>
        <v>g</v>
      </c>
      <c r="G5" s="210">
        <f>(C5+E5)</f>
        <v>381.5</v>
      </c>
      <c r="H5" s="159" t="str">
        <f t="shared" ref="H5:H70" si="7">F$2</f>
        <v>g</v>
      </c>
      <c r="I5" s="163"/>
      <c r="J5" s="164" t="s">
        <v>9</v>
      </c>
      <c r="K5" s="165">
        <v>10</v>
      </c>
      <c r="L5" s="158">
        <f>K5*L2</f>
        <v>80</v>
      </c>
      <c r="M5" s="166" t="str">
        <f t="shared" si="1"/>
        <v>ｇ</v>
      </c>
      <c r="N5" s="162"/>
      <c r="O5" s="159" t="str">
        <f t="shared" ref="O5:O70" si="8">M$2</f>
        <v>ｇ</v>
      </c>
      <c r="P5" s="163"/>
      <c r="Q5" s="164" t="s">
        <v>9</v>
      </c>
      <c r="R5" s="165">
        <v>10</v>
      </c>
      <c r="S5" s="158">
        <f>R5*S2</f>
        <v>80</v>
      </c>
      <c r="T5" s="166" t="str">
        <f t="shared" si="2"/>
        <v>ｇ</v>
      </c>
      <c r="U5" s="162"/>
      <c r="V5" s="159" t="str">
        <f t="shared" ref="V5:V70" si="9">T$2</f>
        <v>ｇ</v>
      </c>
      <c r="W5" s="163"/>
      <c r="X5" s="164" t="s">
        <v>9</v>
      </c>
      <c r="Y5" s="165">
        <v>10</v>
      </c>
      <c r="Z5" s="158">
        <f>Y5*Z2</f>
        <v>80</v>
      </c>
      <c r="AA5" s="166" t="str">
        <f t="shared" si="3"/>
        <v>ｇ</v>
      </c>
      <c r="AB5" s="162"/>
      <c r="AC5" s="159" t="str">
        <f t="shared" ref="AC5:AC70" si="10">AA$2</f>
        <v>ｇ</v>
      </c>
      <c r="AD5" s="163"/>
      <c r="AE5" s="164" t="s">
        <v>9</v>
      </c>
      <c r="AF5" s="165">
        <v>10</v>
      </c>
      <c r="AG5" s="158">
        <f>AF5*AG2</f>
        <v>80</v>
      </c>
      <c r="AH5" s="166" t="str">
        <f t="shared" si="4"/>
        <v>ｇ</v>
      </c>
      <c r="AI5" s="162"/>
      <c r="AJ5" s="159" t="str">
        <f t="shared" ref="AJ5:AJ70" si="11">AH$2</f>
        <v>ｇ</v>
      </c>
      <c r="AK5" s="163"/>
      <c r="AL5" s="167" t="s">
        <v>9</v>
      </c>
      <c r="AM5" s="226">
        <v>10</v>
      </c>
      <c r="AN5" s="158">
        <f>AM5*AN2</f>
        <v>80</v>
      </c>
      <c r="AO5" s="159" t="str">
        <f t="shared" si="5"/>
        <v>ｇ</v>
      </c>
      <c r="AP5" s="162"/>
      <c r="AQ5" s="159" t="str">
        <f t="shared" ref="AQ5:AQ70" si="12">AO$2</f>
        <v>ｇ</v>
      </c>
      <c r="AR5" s="163"/>
    </row>
    <row r="6" spans="1:44" ht="35.1" customHeight="1" thickTop="1">
      <c r="A6" s="202" t="s">
        <v>31</v>
      </c>
      <c r="B6" s="189"/>
      <c r="C6" s="169">
        <f>MAX(C$10:C$92)</f>
        <v>0</v>
      </c>
      <c r="D6" s="149" t="str">
        <f t="shared" si="6"/>
        <v>g</v>
      </c>
      <c r="E6" s="170">
        <f>IFERROR(C6*E$1, 0)</f>
        <v>0</v>
      </c>
      <c r="F6" s="151" t="str">
        <f t="shared" si="0"/>
        <v>g</v>
      </c>
      <c r="G6" s="171">
        <f>(C6+E6)</f>
        <v>0</v>
      </c>
      <c r="H6" s="149" t="str">
        <f t="shared" si="7"/>
        <v>g</v>
      </c>
      <c r="I6" s="172">
        <v>2</v>
      </c>
      <c r="J6" s="205" t="str">
        <f>IF($A6="", "", $A6)</f>
        <v>10人前(針刺し用)</v>
      </c>
      <c r="K6" s="189"/>
      <c r="L6" s="169">
        <f>MAX(L$10:L$92)</f>
        <v>0</v>
      </c>
      <c r="M6" s="154" t="str">
        <f t="shared" si="1"/>
        <v>ｇ</v>
      </c>
      <c r="N6" s="171"/>
      <c r="O6" s="149" t="str">
        <f t="shared" si="8"/>
        <v>ｇ</v>
      </c>
      <c r="P6" s="172">
        <v>2</v>
      </c>
      <c r="Q6" s="205" t="str">
        <f t="shared" ref="Q6:Q71" si="13">IF($A6="", "", $A6)</f>
        <v>10人前(針刺し用)</v>
      </c>
      <c r="R6" s="189"/>
      <c r="S6" s="169">
        <f>MAX(S$10:S$92)</f>
        <v>0</v>
      </c>
      <c r="T6" s="154" t="str">
        <f t="shared" si="2"/>
        <v>ｇ</v>
      </c>
      <c r="U6" s="171"/>
      <c r="V6" s="149" t="str">
        <f t="shared" si="9"/>
        <v>ｇ</v>
      </c>
      <c r="W6" s="172">
        <v>2</v>
      </c>
      <c r="X6" s="205" t="str">
        <f t="shared" ref="X6:X71" si="14">IF($A6="", "", $A6)</f>
        <v>10人前(針刺し用)</v>
      </c>
      <c r="Y6" s="168"/>
      <c r="Z6" s="169">
        <f>MAX(Z$10:Z$92)</f>
        <v>0</v>
      </c>
      <c r="AA6" s="154" t="str">
        <f t="shared" si="3"/>
        <v>ｇ</v>
      </c>
      <c r="AB6" s="171"/>
      <c r="AC6" s="149" t="str">
        <f t="shared" si="10"/>
        <v>ｇ</v>
      </c>
      <c r="AD6" s="172">
        <v>2</v>
      </c>
      <c r="AE6" s="205" t="str">
        <f t="shared" ref="AE6:AE71" si="15">IF($A6="", "", $A6)</f>
        <v>10人前(針刺し用)</v>
      </c>
      <c r="AF6" s="189"/>
      <c r="AG6" s="169">
        <f>MAX(AG$10:AG$92)</f>
        <v>0</v>
      </c>
      <c r="AH6" s="154" t="str">
        <f t="shared" si="4"/>
        <v>ｇ</v>
      </c>
      <c r="AI6" s="171"/>
      <c r="AJ6" s="149" t="str">
        <f t="shared" si="11"/>
        <v>ｇ</v>
      </c>
      <c r="AK6" s="172">
        <v>2</v>
      </c>
      <c r="AL6" s="206" t="str">
        <f t="shared" ref="AL6:AL71" si="16">IF($A6="", "", $A6)</f>
        <v>10人前(針刺し用)</v>
      </c>
      <c r="AM6" s="227"/>
      <c r="AN6" s="169">
        <f>MAX(AN$10:AN$70)</f>
        <v>0</v>
      </c>
      <c r="AO6" s="149" t="str">
        <f t="shared" si="5"/>
        <v>ｇ</v>
      </c>
      <c r="AP6" s="171"/>
      <c r="AQ6" s="149" t="str">
        <f t="shared" si="12"/>
        <v>ｇ</v>
      </c>
      <c r="AR6" s="172"/>
    </row>
    <row r="7" spans="1:44" ht="35.1" customHeight="1">
      <c r="A7" s="202" t="s">
        <v>32</v>
      </c>
      <c r="B7" s="219">
        <f>合数一覧!$C95</f>
        <v>0</v>
      </c>
      <c r="C7" s="169">
        <f>B7*$C$4</f>
        <v>0</v>
      </c>
      <c r="D7" s="149" t="str">
        <f t="shared" si="6"/>
        <v>g</v>
      </c>
      <c r="E7" s="170"/>
      <c r="F7" s="151" t="str">
        <f t="shared" si="0"/>
        <v>g</v>
      </c>
      <c r="G7" s="171"/>
      <c r="H7" s="149" t="str">
        <f t="shared" si="7"/>
        <v>g</v>
      </c>
      <c r="I7" s="172"/>
      <c r="J7" s="203" t="str">
        <f t="shared" ref="J7:J71" si="17">IF($A7="", "", $A7)</f>
        <v>ソフト合計(注文数量)</v>
      </c>
      <c r="K7" s="219">
        <f>合数一覧!$C95</f>
        <v>0</v>
      </c>
      <c r="L7" s="169">
        <f>合数一覧!G95</f>
        <v>0</v>
      </c>
      <c r="M7" s="154" t="str">
        <f t="shared" si="1"/>
        <v>ｇ</v>
      </c>
      <c r="N7" s="171"/>
      <c r="O7" s="149" t="str">
        <f t="shared" si="8"/>
        <v>ｇ</v>
      </c>
      <c r="P7" s="172"/>
      <c r="Q7" s="203" t="str">
        <f t="shared" si="13"/>
        <v>ソフト合計(注文数量)</v>
      </c>
      <c r="R7" s="189">
        <f>合数一覧!$C95</f>
        <v>0</v>
      </c>
      <c r="S7" s="169">
        <f>合数一覧!J95</f>
        <v>0</v>
      </c>
      <c r="T7" s="154" t="str">
        <f t="shared" si="2"/>
        <v>ｇ</v>
      </c>
      <c r="U7" s="171"/>
      <c r="V7" s="149" t="str">
        <f t="shared" si="9"/>
        <v>ｇ</v>
      </c>
      <c r="W7" s="222"/>
      <c r="X7" s="203" t="str">
        <f t="shared" si="14"/>
        <v>ソフト合計(注文数量)</v>
      </c>
      <c r="Y7" s="168">
        <f>合数一覧!$C95</f>
        <v>0</v>
      </c>
      <c r="Z7" s="169">
        <f>合数一覧!M95</f>
        <v>0</v>
      </c>
      <c r="AA7" s="154" t="str">
        <f t="shared" si="3"/>
        <v>ｇ</v>
      </c>
      <c r="AB7" s="171"/>
      <c r="AC7" s="149" t="str">
        <f t="shared" si="10"/>
        <v>ｇ</v>
      </c>
      <c r="AD7" s="222"/>
      <c r="AE7" s="203" t="str">
        <f t="shared" si="15"/>
        <v>ソフト合計(注文数量)</v>
      </c>
      <c r="AF7" s="189">
        <f>合数一覧!$C95</f>
        <v>0</v>
      </c>
      <c r="AG7" s="169">
        <f>合数一覧!P95</f>
        <v>0</v>
      </c>
      <c r="AH7" s="154" t="str">
        <f t="shared" si="4"/>
        <v>ｇ</v>
      </c>
      <c r="AI7" s="171"/>
      <c r="AJ7" s="149" t="str">
        <f t="shared" si="11"/>
        <v>ｇ</v>
      </c>
      <c r="AK7" s="222"/>
      <c r="AL7" s="207" t="str">
        <f t="shared" si="16"/>
        <v>ソフト合計(注文数量)</v>
      </c>
      <c r="AM7" s="227">
        <f>合数一覧!$C95</f>
        <v>0</v>
      </c>
      <c r="AN7" s="169">
        <f>合数一覧!S95</f>
        <v>0</v>
      </c>
      <c r="AO7" s="149" t="str">
        <f t="shared" si="5"/>
        <v>ｇ</v>
      </c>
      <c r="AP7" s="171"/>
      <c r="AQ7" s="149" t="str">
        <f t="shared" si="12"/>
        <v>ｇ</v>
      </c>
      <c r="AR7" s="222"/>
    </row>
    <row r="8" spans="1:44" ht="35.1" customHeight="1">
      <c r="A8" s="202" t="s">
        <v>34</v>
      </c>
      <c r="B8" s="219">
        <f>合数一覧!$C96</f>
        <v>0</v>
      </c>
      <c r="C8" s="169">
        <f t="shared" ref="C8:C9" si="18">B8*$C$4</f>
        <v>0</v>
      </c>
      <c r="D8" s="149" t="str">
        <f t="shared" si="6"/>
        <v>g</v>
      </c>
      <c r="E8" s="170"/>
      <c r="F8" s="151" t="str">
        <f t="shared" si="0"/>
        <v>g</v>
      </c>
      <c r="G8" s="171"/>
      <c r="H8" s="149" t="str">
        <f t="shared" si="7"/>
        <v>g</v>
      </c>
      <c r="I8" s="172"/>
      <c r="J8" s="203" t="str">
        <f t="shared" si="17"/>
        <v>ゼリー合計(注文数量)</v>
      </c>
      <c r="K8" s="219">
        <f>合数一覧!$C96</f>
        <v>0</v>
      </c>
      <c r="L8" s="169">
        <f>合数一覧!G96</f>
        <v>0</v>
      </c>
      <c r="M8" s="154" t="str">
        <f t="shared" si="1"/>
        <v>ｇ</v>
      </c>
      <c r="N8" s="171"/>
      <c r="O8" s="149" t="str">
        <f t="shared" si="8"/>
        <v>ｇ</v>
      </c>
      <c r="P8" s="172"/>
      <c r="Q8" s="203" t="str">
        <f t="shared" si="13"/>
        <v>ゼリー合計(注文数量)</v>
      </c>
      <c r="R8" s="189">
        <f>合数一覧!$C96</f>
        <v>0</v>
      </c>
      <c r="S8" s="169">
        <f>合数一覧!J96</f>
        <v>0</v>
      </c>
      <c r="T8" s="154" t="str">
        <f t="shared" si="2"/>
        <v>ｇ</v>
      </c>
      <c r="U8" s="171"/>
      <c r="V8" s="149" t="str">
        <f t="shared" si="9"/>
        <v>ｇ</v>
      </c>
      <c r="W8" s="222"/>
      <c r="X8" s="203" t="str">
        <f t="shared" si="14"/>
        <v>ゼリー合計(注文数量)</v>
      </c>
      <c r="Y8" s="168">
        <f>合数一覧!$C96</f>
        <v>0</v>
      </c>
      <c r="Z8" s="169">
        <f>合数一覧!M96</f>
        <v>0</v>
      </c>
      <c r="AA8" s="154" t="str">
        <f t="shared" si="3"/>
        <v>ｇ</v>
      </c>
      <c r="AB8" s="171"/>
      <c r="AC8" s="149" t="str">
        <f t="shared" si="10"/>
        <v>ｇ</v>
      </c>
      <c r="AD8" s="222"/>
      <c r="AE8" s="203" t="str">
        <f t="shared" si="15"/>
        <v>ゼリー合計(注文数量)</v>
      </c>
      <c r="AF8" s="189">
        <f>合数一覧!$C96</f>
        <v>0</v>
      </c>
      <c r="AG8" s="169">
        <f>合数一覧!P96</f>
        <v>0</v>
      </c>
      <c r="AH8" s="154" t="str">
        <f t="shared" si="4"/>
        <v>ｇ</v>
      </c>
      <c r="AI8" s="171"/>
      <c r="AJ8" s="149" t="str">
        <f t="shared" si="11"/>
        <v>ｇ</v>
      </c>
      <c r="AK8" s="222"/>
      <c r="AL8" s="207" t="str">
        <f t="shared" si="16"/>
        <v>ゼリー合計(注文数量)</v>
      </c>
      <c r="AM8" s="227">
        <f>合数一覧!$C96</f>
        <v>0</v>
      </c>
      <c r="AN8" s="169">
        <f>合数一覧!S96</f>
        <v>0</v>
      </c>
      <c r="AO8" s="149" t="str">
        <f t="shared" si="5"/>
        <v>ｇ</v>
      </c>
      <c r="AP8" s="171"/>
      <c r="AQ8" s="149" t="str">
        <f t="shared" si="12"/>
        <v>ｇ</v>
      </c>
      <c r="AR8" s="222"/>
    </row>
    <row r="9" spans="1:44" ht="35.1" customHeight="1" thickBot="1">
      <c r="A9" s="214" t="s">
        <v>33</v>
      </c>
      <c r="B9" s="220">
        <f>合数一覧!$C97</f>
        <v>0</v>
      </c>
      <c r="C9" s="216">
        <f t="shared" si="18"/>
        <v>0</v>
      </c>
      <c r="D9" s="159" t="str">
        <f t="shared" si="6"/>
        <v>g</v>
      </c>
      <c r="E9" s="160"/>
      <c r="F9" s="161" t="str">
        <f t="shared" si="0"/>
        <v>g</v>
      </c>
      <c r="G9" s="210"/>
      <c r="H9" s="159" t="str">
        <f t="shared" si="7"/>
        <v>g</v>
      </c>
      <c r="I9" s="217"/>
      <c r="J9" s="214" t="str">
        <f t="shared" si="17"/>
        <v>ミキサー合計(注文数量)</v>
      </c>
      <c r="K9" s="221">
        <f>合数一覧!$C97</f>
        <v>0</v>
      </c>
      <c r="L9" s="216">
        <f>合数一覧!G97</f>
        <v>0</v>
      </c>
      <c r="M9" s="166" t="str">
        <f t="shared" si="1"/>
        <v>ｇ</v>
      </c>
      <c r="N9" s="210"/>
      <c r="O9" s="159" t="str">
        <f t="shared" si="8"/>
        <v>ｇ</v>
      </c>
      <c r="P9" s="217"/>
      <c r="Q9" s="214" t="str">
        <f t="shared" si="13"/>
        <v>ミキサー合計(注文数量)</v>
      </c>
      <c r="R9" s="215">
        <f>合数一覧!$C97</f>
        <v>0</v>
      </c>
      <c r="S9" s="216">
        <f>合数一覧!J97</f>
        <v>0</v>
      </c>
      <c r="T9" s="166" t="str">
        <f t="shared" si="2"/>
        <v>ｇ</v>
      </c>
      <c r="U9" s="210"/>
      <c r="V9" s="159" t="str">
        <f t="shared" si="9"/>
        <v>ｇ</v>
      </c>
      <c r="W9" s="223"/>
      <c r="X9" s="214" t="str">
        <f t="shared" si="14"/>
        <v>ミキサー合計(注文数量)</v>
      </c>
      <c r="Y9" s="157">
        <f>合数一覧!$C97</f>
        <v>0</v>
      </c>
      <c r="Z9" s="216">
        <f>合数一覧!M97</f>
        <v>0</v>
      </c>
      <c r="AA9" s="166" t="str">
        <f t="shared" si="3"/>
        <v>ｇ</v>
      </c>
      <c r="AB9" s="210"/>
      <c r="AC9" s="159" t="str">
        <f t="shared" si="10"/>
        <v>ｇ</v>
      </c>
      <c r="AD9" s="223"/>
      <c r="AE9" s="214" t="str">
        <f t="shared" si="15"/>
        <v>ミキサー合計(注文数量)</v>
      </c>
      <c r="AF9" s="215">
        <f>合数一覧!$C97</f>
        <v>0</v>
      </c>
      <c r="AG9" s="216">
        <f>合数一覧!P97</f>
        <v>0</v>
      </c>
      <c r="AH9" s="166" t="str">
        <f t="shared" si="4"/>
        <v>ｇ</v>
      </c>
      <c r="AI9" s="210"/>
      <c r="AJ9" s="159" t="str">
        <f t="shared" si="11"/>
        <v>ｇ</v>
      </c>
      <c r="AK9" s="223"/>
      <c r="AL9" s="218" t="str">
        <f t="shared" si="16"/>
        <v>ミキサー合計(注文数量)</v>
      </c>
      <c r="AM9" s="228">
        <f>合数一覧!$C97</f>
        <v>0</v>
      </c>
      <c r="AN9" s="216">
        <f>合数一覧!S97</f>
        <v>0</v>
      </c>
      <c r="AO9" s="159" t="str">
        <f t="shared" si="5"/>
        <v>ｇ</v>
      </c>
      <c r="AP9" s="210"/>
      <c r="AQ9" s="159" t="str">
        <f t="shared" si="12"/>
        <v>ｇ</v>
      </c>
      <c r="AR9" s="223"/>
    </row>
    <row r="10" spans="1:44" ht="35.1" customHeight="1" thickTop="1">
      <c r="A10" s="202"/>
      <c r="B10" s="211">
        <f>合数一覧!C4</f>
        <v>0</v>
      </c>
      <c r="C10" s="169">
        <f>IFERROR((合数一覧!D$2*B10)/I10, 0)</f>
        <v>0</v>
      </c>
      <c r="D10" s="149" t="str">
        <f t="shared" si="6"/>
        <v>g</v>
      </c>
      <c r="E10" s="170">
        <f t="shared" ref="E10:E70" si="19">IFERROR(C10*E$1, 0)</f>
        <v>0</v>
      </c>
      <c r="F10" s="151" t="str">
        <f t="shared" si="0"/>
        <v>g</v>
      </c>
      <c r="G10" s="171">
        <f t="shared" ref="G10:G70" si="20">(C10+E10)</f>
        <v>0</v>
      </c>
      <c r="H10" s="149" t="str">
        <f t="shared" si="7"/>
        <v>g</v>
      </c>
      <c r="I10" s="172">
        <f>合数一覧!F4</f>
        <v>0</v>
      </c>
      <c r="J10" s="202" t="str">
        <f t="shared" si="17"/>
        <v/>
      </c>
      <c r="K10" s="211">
        <f>合数一覧!C4</f>
        <v>0</v>
      </c>
      <c r="L10" s="169">
        <f>IFERROR(合数一覧!G$2*K10/P10, 0)</f>
        <v>0</v>
      </c>
      <c r="M10" s="154" t="str">
        <f t="shared" si="1"/>
        <v>ｇ</v>
      </c>
      <c r="N10" s="171"/>
      <c r="O10" s="149" t="str">
        <f t="shared" si="8"/>
        <v>ｇ</v>
      </c>
      <c r="P10" s="172">
        <f>合数一覧!I4</f>
        <v>0</v>
      </c>
      <c r="Q10" s="202" t="str">
        <f t="shared" si="13"/>
        <v/>
      </c>
      <c r="R10" s="211">
        <f>合数一覧!C4</f>
        <v>0</v>
      </c>
      <c r="S10" s="169">
        <f>IFERROR(合数一覧!J$2*R10/W10, 0)</f>
        <v>0</v>
      </c>
      <c r="T10" s="154" t="str">
        <f t="shared" si="2"/>
        <v>ｇ</v>
      </c>
      <c r="U10" s="171"/>
      <c r="V10" s="149" t="str">
        <f t="shared" si="9"/>
        <v>ｇ</v>
      </c>
      <c r="W10" s="172">
        <f>合数一覧!L4</f>
        <v>0</v>
      </c>
      <c r="X10" s="202" t="str">
        <f t="shared" si="14"/>
        <v/>
      </c>
      <c r="Y10" s="212">
        <f>合数一覧!C4</f>
        <v>0</v>
      </c>
      <c r="Z10" s="169">
        <f>IFERROR(合数一覧!M$2*Y10/AD10, 0)</f>
        <v>0</v>
      </c>
      <c r="AA10" s="154" t="str">
        <f t="shared" si="3"/>
        <v>ｇ</v>
      </c>
      <c r="AB10" s="171"/>
      <c r="AC10" s="149" t="str">
        <f t="shared" si="10"/>
        <v>ｇ</v>
      </c>
      <c r="AD10" s="172">
        <f>合数一覧!O4</f>
        <v>0</v>
      </c>
      <c r="AE10" s="202" t="str">
        <f t="shared" si="15"/>
        <v/>
      </c>
      <c r="AF10" s="211">
        <f>合数一覧!C4</f>
        <v>0</v>
      </c>
      <c r="AG10" s="169">
        <f>IFERROR(合数一覧!P$2*AF10/AK10, 0)</f>
        <v>0</v>
      </c>
      <c r="AH10" s="154" t="str">
        <f t="shared" si="4"/>
        <v>ｇ</v>
      </c>
      <c r="AI10" s="171"/>
      <c r="AJ10" s="149" t="str">
        <f t="shared" si="11"/>
        <v>ｇ</v>
      </c>
      <c r="AK10" s="172">
        <f>合数一覧!R4</f>
        <v>0</v>
      </c>
      <c r="AL10" s="213" t="str">
        <f t="shared" si="16"/>
        <v/>
      </c>
      <c r="AM10" s="229">
        <f>合数一覧!C4</f>
        <v>0</v>
      </c>
      <c r="AN10" s="169">
        <f>IFERROR(合数一覧!S$2*AM10/AR10, 0)</f>
        <v>0</v>
      </c>
      <c r="AO10" s="149" t="str">
        <f t="shared" si="5"/>
        <v>ｇ</v>
      </c>
      <c r="AP10" s="171"/>
      <c r="AQ10" s="149" t="str">
        <f t="shared" si="12"/>
        <v>ｇ</v>
      </c>
      <c r="AR10" s="172">
        <f>合数一覧!U4</f>
        <v>0</v>
      </c>
    </row>
    <row r="11" spans="1:44" ht="35.1" customHeight="1">
      <c r="A11" s="203"/>
      <c r="B11" s="190">
        <f>合数一覧!C5</f>
        <v>0</v>
      </c>
      <c r="C11" s="177">
        <f>IFERROR((合数一覧!D$2*B11)/I11, 0)</f>
        <v>0</v>
      </c>
      <c r="D11" s="149" t="str">
        <f t="shared" si="6"/>
        <v>g</v>
      </c>
      <c r="E11" s="170">
        <f t="shared" si="19"/>
        <v>0</v>
      </c>
      <c r="F11" s="178" t="str">
        <f t="shared" si="0"/>
        <v>g</v>
      </c>
      <c r="G11" s="175">
        <f t="shared" si="20"/>
        <v>0</v>
      </c>
      <c r="H11" s="149" t="str">
        <f t="shared" si="7"/>
        <v>g</v>
      </c>
      <c r="I11" s="176">
        <f>合数一覧!F5</f>
        <v>0</v>
      </c>
      <c r="J11" s="203" t="str">
        <f t="shared" si="17"/>
        <v/>
      </c>
      <c r="K11" s="190">
        <f>合数一覧!C5</f>
        <v>0</v>
      </c>
      <c r="L11" s="177">
        <f>IFERROR(合数一覧!G$2*K11/P11, 0)</f>
        <v>0</v>
      </c>
      <c r="M11" s="154" t="str">
        <f t="shared" si="1"/>
        <v>ｇ</v>
      </c>
      <c r="N11" s="175"/>
      <c r="O11" s="149" t="str">
        <f t="shared" si="8"/>
        <v>ｇ</v>
      </c>
      <c r="P11" s="176">
        <f>合数一覧!I5</f>
        <v>0</v>
      </c>
      <c r="Q11" s="203" t="str">
        <f t="shared" si="13"/>
        <v/>
      </c>
      <c r="R11" s="190">
        <f>合数一覧!C5</f>
        <v>0</v>
      </c>
      <c r="S11" s="177">
        <f>IFERROR(合数一覧!J$2*R11/W11, 0)</f>
        <v>0</v>
      </c>
      <c r="T11" s="154" t="str">
        <f t="shared" si="2"/>
        <v>ｇ</v>
      </c>
      <c r="U11" s="175"/>
      <c r="V11" s="149" t="str">
        <f t="shared" si="9"/>
        <v>ｇ</v>
      </c>
      <c r="W11" s="176">
        <f>合数一覧!L5</f>
        <v>0</v>
      </c>
      <c r="X11" s="203" t="str">
        <f t="shared" si="14"/>
        <v/>
      </c>
      <c r="Y11" s="173">
        <f>合数一覧!C5</f>
        <v>0</v>
      </c>
      <c r="Z11" s="177">
        <f>IFERROR(合数一覧!M$2*Y11/AD11, 0)</f>
        <v>0</v>
      </c>
      <c r="AA11" s="154" t="str">
        <f t="shared" si="3"/>
        <v>ｇ</v>
      </c>
      <c r="AB11" s="175"/>
      <c r="AC11" s="149" t="str">
        <f t="shared" si="10"/>
        <v>ｇ</v>
      </c>
      <c r="AD11" s="176">
        <f>合数一覧!O5</f>
        <v>0</v>
      </c>
      <c r="AE11" s="203" t="str">
        <f t="shared" si="15"/>
        <v/>
      </c>
      <c r="AF11" s="190">
        <v>0</v>
      </c>
      <c r="AG11" s="177">
        <f>IFERROR(合数一覧!P$2*AF11/AK11, 0)</f>
        <v>0</v>
      </c>
      <c r="AH11" s="154" t="str">
        <f t="shared" si="4"/>
        <v>ｇ</v>
      </c>
      <c r="AI11" s="175"/>
      <c r="AJ11" s="149" t="str">
        <f t="shared" si="11"/>
        <v>ｇ</v>
      </c>
      <c r="AK11" s="176">
        <f>合数一覧!R5</f>
        <v>0</v>
      </c>
      <c r="AL11" s="207" t="str">
        <f t="shared" si="16"/>
        <v/>
      </c>
      <c r="AM11" s="230">
        <f>合数一覧!C5</f>
        <v>0</v>
      </c>
      <c r="AN11" s="177">
        <f>IFERROR(合数一覧!S$2*AM11/AR11, 0)</f>
        <v>0</v>
      </c>
      <c r="AO11" s="149" t="str">
        <f t="shared" si="5"/>
        <v>ｇ</v>
      </c>
      <c r="AP11" s="175"/>
      <c r="AQ11" s="149" t="str">
        <f t="shared" si="12"/>
        <v>ｇ</v>
      </c>
      <c r="AR11" s="176">
        <f>合数一覧!U5</f>
        <v>0</v>
      </c>
    </row>
    <row r="12" spans="1:44" ht="35.1" customHeight="1">
      <c r="A12" s="203"/>
      <c r="B12" s="190">
        <f>合数一覧!C6</f>
        <v>0</v>
      </c>
      <c r="C12" s="177">
        <f>IFERROR((合数一覧!D$2*B12)/I12, 0)</f>
        <v>0</v>
      </c>
      <c r="D12" s="149" t="str">
        <f t="shared" si="6"/>
        <v>g</v>
      </c>
      <c r="E12" s="170">
        <f t="shared" si="19"/>
        <v>0</v>
      </c>
      <c r="F12" s="174" t="str">
        <f t="shared" si="0"/>
        <v>g</v>
      </c>
      <c r="G12" s="175">
        <f t="shared" si="20"/>
        <v>0</v>
      </c>
      <c r="H12" s="149" t="str">
        <f t="shared" si="7"/>
        <v>g</v>
      </c>
      <c r="I12" s="176">
        <f>合数一覧!F6</f>
        <v>0</v>
      </c>
      <c r="J12" s="203" t="str">
        <f t="shared" si="17"/>
        <v/>
      </c>
      <c r="K12" s="190">
        <f>合数一覧!C6</f>
        <v>0</v>
      </c>
      <c r="L12" s="177">
        <f>IFERROR(合数一覧!G$2*K12/P12, 0)</f>
        <v>0</v>
      </c>
      <c r="M12" s="154" t="str">
        <f t="shared" si="1"/>
        <v>ｇ</v>
      </c>
      <c r="N12" s="175"/>
      <c r="O12" s="149" t="str">
        <f t="shared" si="8"/>
        <v>ｇ</v>
      </c>
      <c r="P12" s="176">
        <f>合数一覧!I6</f>
        <v>0</v>
      </c>
      <c r="Q12" s="203" t="str">
        <f t="shared" si="13"/>
        <v/>
      </c>
      <c r="R12" s="190">
        <f>合数一覧!C6</f>
        <v>0</v>
      </c>
      <c r="S12" s="177">
        <f>IFERROR(合数一覧!J$2*R12/W12, 0)</f>
        <v>0</v>
      </c>
      <c r="T12" s="154" t="str">
        <f t="shared" si="2"/>
        <v>ｇ</v>
      </c>
      <c r="U12" s="175"/>
      <c r="V12" s="149" t="str">
        <f t="shared" si="9"/>
        <v>ｇ</v>
      </c>
      <c r="W12" s="176">
        <f>合数一覧!L6</f>
        <v>0</v>
      </c>
      <c r="X12" s="203" t="str">
        <f t="shared" si="14"/>
        <v/>
      </c>
      <c r="Y12" s="173">
        <f>合数一覧!C6</f>
        <v>0</v>
      </c>
      <c r="Z12" s="177">
        <f>IFERROR(合数一覧!M$2*Y12/AD12, 0)</f>
        <v>0</v>
      </c>
      <c r="AA12" s="154" t="str">
        <f t="shared" si="3"/>
        <v>ｇ</v>
      </c>
      <c r="AB12" s="175"/>
      <c r="AC12" s="149" t="str">
        <f t="shared" si="10"/>
        <v>ｇ</v>
      </c>
      <c r="AD12" s="176">
        <f>合数一覧!O6</f>
        <v>0</v>
      </c>
      <c r="AE12" s="203" t="str">
        <f t="shared" si="15"/>
        <v/>
      </c>
      <c r="AF12" s="190">
        <v>0</v>
      </c>
      <c r="AG12" s="177">
        <f>IFERROR(合数一覧!P$2*AF12/AK12, 0)</f>
        <v>0</v>
      </c>
      <c r="AH12" s="154" t="str">
        <f t="shared" si="4"/>
        <v>ｇ</v>
      </c>
      <c r="AI12" s="175"/>
      <c r="AJ12" s="149" t="str">
        <f t="shared" si="11"/>
        <v>ｇ</v>
      </c>
      <c r="AK12" s="176">
        <f>合数一覧!R6</f>
        <v>0</v>
      </c>
      <c r="AL12" s="207" t="str">
        <f t="shared" si="16"/>
        <v/>
      </c>
      <c r="AM12" s="230">
        <f>合数一覧!C6</f>
        <v>0</v>
      </c>
      <c r="AN12" s="177">
        <f>IFERROR(合数一覧!S$2*AM12/AR12, 0)</f>
        <v>0</v>
      </c>
      <c r="AO12" s="149" t="str">
        <f t="shared" si="5"/>
        <v>ｇ</v>
      </c>
      <c r="AP12" s="175"/>
      <c r="AQ12" s="149" t="str">
        <f t="shared" si="12"/>
        <v>ｇ</v>
      </c>
      <c r="AR12" s="176">
        <f>合数一覧!U6</f>
        <v>0</v>
      </c>
    </row>
    <row r="13" spans="1:44" ht="35.1" customHeight="1">
      <c r="A13" s="203"/>
      <c r="B13" s="190">
        <f>合数一覧!C7</f>
        <v>0</v>
      </c>
      <c r="C13" s="177">
        <f>IFERROR((合数一覧!D$2*B13)/I13, 0)</f>
        <v>0</v>
      </c>
      <c r="D13" s="149" t="str">
        <f t="shared" si="6"/>
        <v>g</v>
      </c>
      <c r="E13" s="170">
        <f t="shared" si="19"/>
        <v>0</v>
      </c>
      <c r="F13" s="178" t="str">
        <f t="shared" si="0"/>
        <v>g</v>
      </c>
      <c r="G13" s="175">
        <f t="shared" si="20"/>
        <v>0</v>
      </c>
      <c r="H13" s="149" t="str">
        <f t="shared" si="7"/>
        <v>g</v>
      </c>
      <c r="I13" s="176">
        <f>合数一覧!F7</f>
        <v>0</v>
      </c>
      <c r="J13" s="203" t="str">
        <f t="shared" si="17"/>
        <v/>
      </c>
      <c r="K13" s="190">
        <f>合数一覧!C7</f>
        <v>0</v>
      </c>
      <c r="L13" s="177">
        <f>IFERROR(合数一覧!G$2*K13/P13, 0)</f>
        <v>0</v>
      </c>
      <c r="M13" s="154" t="str">
        <f t="shared" si="1"/>
        <v>ｇ</v>
      </c>
      <c r="N13" s="175"/>
      <c r="O13" s="149" t="str">
        <f t="shared" si="8"/>
        <v>ｇ</v>
      </c>
      <c r="P13" s="176">
        <f>合数一覧!I7</f>
        <v>0</v>
      </c>
      <c r="Q13" s="203" t="str">
        <f t="shared" si="13"/>
        <v/>
      </c>
      <c r="R13" s="190">
        <f>合数一覧!C7</f>
        <v>0</v>
      </c>
      <c r="S13" s="177">
        <f>IFERROR(合数一覧!J$2*R13/W13, 0)</f>
        <v>0</v>
      </c>
      <c r="T13" s="154" t="str">
        <f t="shared" si="2"/>
        <v>ｇ</v>
      </c>
      <c r="U13" s="175"/>
      <c r="V13" s="149" t="str">
        <f t="shared" si="9"/>
        <v>ｇ</v>
      </c>
      <c r="W13" s="176">
        <f>合数一覧!L7</f>
        <v>0</v>
      </c>
      <c r="X13" s="203" t="str">
        <f t="shared" si="14"/>
        <v/>
      </c>
      <c r="Y13" s="173">
        <f>合数一覧!C7</f>
        <v>0</v>
      </c>
      <c r="Z13" s="177">
        <f>IFERROR(合数一覧!M$2*Y13/AD13, 0)</f>
        <v>0</v>
      </c>
      <c r="AA13" s="154" t="str">
        <f t="shared" si="3"/>
        <v>ｇ</v>
      </c>
      <c r="AB13" s="175"/>
      <c r="AC13" s="149" t="str">
        <f t="shared" si="10"/>
        <v>ｇ</v>
      </c>
      <c r="AD13" s="176">
        <f>合数一覧!O7</f>
        <v>0</v>
      </c>
      <c r="AE13" s="203" t="str">
        <f t="shared" si="15"/>
        <v/>
      </c>
      <c r="AF13" s="190">
        <v>0</v>
      </c>
      <c r="AG13" s="177">
        <f>IFERROR(合数一覧!P$2*AF13/AK13, 0)</f>
        <v>0</v>
      </c>
      <c r="AH13" s="154" t="str">
        <f t="shared" si="4"/>
        <v>ｇ</v>
      </c>
      <c r="AI13" s="175"/>
      <c r="AJ13" s="149" t="str">
        <f t="shared" si="11"/>
        <v>ｇ</v>
      </c>
      <c r="AK13" s="176">
        <f>合数一覧!R7</f>
        <v>0</v>
      </c>
      <c r="AL13" s="207" t="str">
        <f t="shared" si="16"/>
        <v/>
      </c>
      <c r="AM13" s="230">
        <f>合数一覧!C7</f>
        <v>0</v>
      </c>
      <c r="AN13" s="177">
        <f>IFERROR(合数一覧!S$2*AM13/AR13, 0)</f>
        <v>0</v>
      </c>
      <c r="AO13" s="149" t="str">
        <f t="shared" si="5"/>
        <v>ｇ</v>
      </c>
      <c r="AP13" s="175"/>
      <c r="AQ13" s="149" t="str">
        <f t="shared" si="12"/>
        <v>ｇ</v>
      </c>
      <c r="AR13" s="176">
        <f>合数一覧!U7</f>
        <v>0</v>
      </c>
    </row>
    <row r="14" spans="1:44" ht="35.1" customHeight="1">
      <c r="A14" s="203"/>
      <c r="B14" s="190">
        <f>合数一覧!C8</f>
        <v>0</v>
      </c>
      <c r="C14" s="177">
        <f>IFERROR((合数一覧!D$2*B14)/I14, 0)</f>
        <v>0</v>
      </c>
      <c r="D14" s="149" t="str">
        <f t="shared" si="6"/>
        <v>g</v>
      </c>
      <c r="E14" s="170">
        <f t="shared" si="19"/>
        <v>0</v>
      </c>
      <c r="F14" s="174" t="str">
        <f t="shared" si="0"/>
        <v>g</v>
      </c>
      <c r="G14" s="175">
        <f t="shared" si="20"/>
        <v>0</v>
      </c>
      <c r="H14" s="149" t="str">
        <f t="shared" si="7"/>
        <v>g</v>
      </c>
      <c r="I14" s="176">
        <f>合数一覧!F8</f>
        <v>0</v>
      </c>
      <c r="J14" s="203" t="str">
        <f t="shared" si="17"/>
        <v/>
      </c>
      <c r="K14" s="190">
        <f>合数一覧!C8</f>
        <v>0</v>
      </c>
      <c r="L14" s="177">
        <f>IFERROR(合数一覧!G$2*K14/P14, 0)</f>
        <v>0</v>
      </c>
      <c r="M14" s="154" t="str">
        <f t="shared" si="1"/>
        <v>ｇ</v>
      </c>
      <c r="N14" s="175"/>
      <c r="O14" s="149" t="str">
        <f t="shared" si="8"/>
        <v>ｇ</v>
      </c>
      <c r="P14" s="176">
        <f>合数一覧!I8</f>
        <v>0</v>
      </c>
      <c r="Q14" s="203" t="str">
        <f t="shared" si="13"/>
        <v/>
      </c>
      <c r="R14" s="190">
        <f>合数一覧!C8</f>
        <v>0</v>
      </c>
      <c r="S14" s="177">
        <f>IFERROR(合数一覧!J$2*R14/W14, 0)</f>
        <v>0</v>
      </c>
      <c r="T14" s="154" t="str">
        <f t="shared" si="2"/>
        <v>ｇ</v>
      </c>
      <c r="U14" s="175"/>
      <c r="V14" s="149" t="str">
        <f t="shared" si="9"/>
        <v>ｇ</v>
      </c>
      <c r="W14" s="176">
        <f>合数一覧!L8</f>
        <v>0</v>
      </c>
      <c r="X14" s="203" t="str">
        <f t="shared" si="14"/>
        <v/>
      </c>
      <c r="Y14" s="173">
        <f>合数一覧!C8</f>
        <v>0</v>
      </c>
      <c r="Z14" s="177">
        <f>IFERROR(合数一覧!M$2*Y14/AD14, 0)</f>
        <v>0</v>
      </c>
      <c r="AA14" s="154" t="str">
        <f t="shared" si="3"/>
        <v>ｇ</v>
      </c>
      <c r="AB14" s="175"/>
      <c r="AC14" s="149" t="str">
        <f t="shared" si="10"/>
        <v>ｇ</v>
      </c>
      <c r="AD14" s="176">
        <f>合数一覧!O8</f>
        <v>0</v>
      </c>
      <c r="AE14" s="203" t="str">
        <f t="shared" si="15"/>
        <v/>
      </c>
      <c r="AF14" s="190">
        <v>0</v>
      </c>
      <c r="AG14" s="177">
        <f>IFERROR(合数一覧!P$2*AF14/AK14, 0)</f>
        <v>0</v>
      </c>
      <c r="AH14" s="154" t="str">
        <f t="shared" si="4"/>
        <v>ｇ</v>
      </c>
      <c r="AI14" s="175"/>
      <c r="AJ14" s="149" t="str">
        <f t="shared" si="11"/>
        <v>ｇ</v>
      </c>
      <c r="AK14" s="176">
        <f>合数一覧!R8</f>
        <v>0</v>
      </c>
      <c r="AL14" s="207" t="str">
        <f t="shared" si="16"/>
        <v/>
      </c>
      <c r="AM14" s="230">
        <f>合数一覧!C8</f>
        <v>0</v>
      </c>
      <c r="AN14" s="177">
        <f>IFERROR(合数一覧!S$2*AM14/AR14, 0)</f>
        <v>0</v>
      </c>
      <c r="AO14" s="149" t="str">
        <f t="shared" si="5"/>
        <v>ｇ</v>
      </c>
      <c r="AP14" s="175"/>
      <c r="AQ14" s="149" t="str">
        <f t="shared" si="12"/>
        <v>ｇ</v>
      </c>
      <c r="AR14" s="176">
        <f>合数一覧!U8</f>
        <v>0</v>
      </c>
    </row>
    <row r="15" spans="1:44" ht="35.1" customHeight="1">
      <c r="A15" s="203"/>
      <c r="B15" s="190">
        <f>合数一覧!C9</f>
        <v>0</v>
      </c>
      <c r="C15" s="177">
        <f>IFERROR((合数一覧!D$2*B15)/I15, 0)</f>
        <v>0</v>
      </c>
      <c r="D15" s="149" t="str">
        <f t="shared" si="6"/>
        <v>g</v>
      </c>
      <c r="E15" s="170">
        <f t="shared" si="19"/>
        <v>0</v>
      </c>
      <c r="F15" s="174" t="str">
        <f t="shared" si="0"/>
        <v>g</v>
      </c>
      <c r="G15" s="175">
        <f t="shared" si="20"/>
        <v>0</v>
      </c>
      <c r="H15" s="149" t="str">
        <f t="shared" si="7"/>
        <v>g</v>
      </c>
      <c r="I15" s="176">
        <f>合数一覧!F9</f>
        <v>0</v>
      </c>
      <c r="J15" s="203" t="str">
        <f t="shared" si="17"/>
        <v/>
      </c>
      <c r="K15" s="190">
        <f>合数一覧!C9</f>
        <v>0</v>
      </c>
      <c r="L15" s="177">
        <f>IFERROR(合数一覧!G$2*K15/P15, 0)</f>
        <v>0</v>
      </c>
      <c r="M15" s="154" t="str">
        <f t="shared" si="1"/>
        <v>ｇ</v>
      </c>
      <c r="N15" s="175"/>
      <c r="O15" s="149" t="str">
        <f t="shared" si="8"/>
        <v>ｇ</v>
      </c>
      <c r="P15" s="176">
        <f>合数一覧!I9</f>
        <v>0</v>
      </c>
      <c r="Q15" s="203" t="str">
        <f t="shared" si="13"/>
        <v/>
      </c>
      <c r="R15" s="190">
        <f>合数一覧!C9</f>
        <v>0</v>
      </c>
      <c r="S15" s="177">
        <f>IFERROR(合数一覧!J$2*R15/W15, 0)</f>
        <v>0</v>
      </c>
      <c r="T15" s="154" t="str">
        <f t="shared" si="2"/>
        <v>ｇ</v>
      </c>
      <c r="U15" s="175"/>
      <c r="V15" s="149" t="str">
        <f t="shared" si="9"/>
        <v>ｇ</v>
      </c>
      <c r="W15" s="176">
        <f>合数一覧!L9</f>
        <v>0</v>
      </c>
      <c r="X15" s="203" t="str">
        <f t="shared" si="14"/>
        <v/>
      </c>
      <c r="Y15" s="173">
        <f>合数一覧!C9</f>
        <v>0</v>
      </c>
      <c r="Z15" s="177">
        <f>IFERROR(合数一覧!M$2*Y15/AD15, 0)</f>
        <v>0</v>
      </c>
      <c r="AA15" s="154" t="str">
        <f t="shared" si="3"/>
        <v>ｇ</v>
      </c>
      <c r="AB15" s="175"/>
      <c r="AC15" s="149" t="str">
        <f t="shared" si="10"/>
        <v>ｇ</v>
      </c>
      <c r="AD15" s="176">
        <f>合数一覧!O9</f>
        <v>0</v>
      </c>
      <c r="AE15" s="203" t="str">
        <f t="shared" si="15"/>
        <v/>
      </c>
      <c r="AF15" s="190">
        <v>0</v>
      </c>
      <c r="AG15" s="177">
        <f>IFERROR(合数一覧!P$2*AF15/AK15, 0)</f>
        <v>0</v>
      </c>
      <c r="AH15" s="154" t="str">
        <f t="shared" si="4"/>
        <v>ｇ</v>
      </c>
      <c r="AI15" s="175"/>
      <c r="AJ15" s="149" t="str">
        <f t="shared" si="11"/>
        <v>ｇ</v>
      </c>
      <c r="AK15" s="176">
        <f>合数一覧!R9</f>
        <v>0</v>
      </c>
      <c r="AL15" s="207" t="str">
        <f t="shared" si="16"/>
        <v/>
      </c>
      <c r="AM15" s="230">
        <f>合数一覧!C9</f>
        <v>0</v>
      </c>
      <c r="AN15" s="177">
        <f>IFERROR(合数一覧!S$2*AM15/AR15, 0)</f>
        <v>0</v>
      </c>
      <c r="AO15" s="149" t="str">
        <f t="shared" si="5"/>
        <v>ｇ</v>
      </c>
      <c r="AP15" s="175"/>
      <c r="AQ15" s="149" t="str">
        <f t="shared" si="12"/>
        <v>ｇ</v>
      </c>
      <c r="AR15" s="176">
        <f>合数一覧!U9</f>
        <v>0</v>
      </c>
    </row>
    <row r="16" spans="1:44" ht="35.1" customHeight="1">
      <c r="A16" s="203"/>
      <c r="B16" s="190">
        <f>合数一覧!C10</f>
        <v>0</v>
      </c>
      <c r="C16" s="169">
        <f>IFERROR((合数一覧!D$2*B16)/I16, 0)</f>
        <v>0</v>
      </c>
      <c r="D16" s="149" t="str">
        <f t="shared" si="6"/>
        <v>g</v>
      </c>
      <c r="E16" s="170">
        <f t="shared" si="19"/>
        <v>0</v>
      </c>
      <c r="F16" s="174" t="str">
        <f t="shared" si="0"/>
        <v>g</v>
      </c>
      <c r="G16" s="171">
        <f t="shared" si="20"/>
        <v>0</v>
      </c>
      <c r="H16" s="149" t="str">
        <f t="shared" si="7"/>
        <v>g</v>
      </c>
      <c r="I16" s="172">
        <f>合数一覧!F10</f>
        <v>0</v>
      </c>
      <c r="J16" s="203" t="str">
        <f t="shared" si="17"/>
        <v/>
      </c>
      <c r="K16" s="190">
        <f>合数一覧!C10</f>
        <v>0</v>
      </c>
      <c r="L16" s="169">
        <f>IFERROR(合数一覧!G$2*K16/P16, 0)</f>
        <v>0</v>
      </c>
      <c r="M16" s="154" t="str">
        <f t="shared" si="1"/>
        <v>ｇ</v>
      </c>
      <c r="N16" s="171"/>
      <c r="O16" s="149" t="str">
        <f t="shared" si="8"/>
        <v>ｇ</v>
      </c>
      <c r="P16" s="172">
        <f>合数一覧!I10</f>
        <v>0</v>
      </c>
      <c r="Q16" s="203" t="str">
        <f t="shared" si="13"/>
        <v/>
      </c>
      <c r="R16" s="190">
        <f>合数一覧!C10</f>
        <v>0</v>
      </c>
      <c r="S16" s="169">
        <f>IFERROR(合数一覧!J$2*R16/W16, 0)</f>
        <v>0</v>
      </c>
      <c r="T16" s="154" t="str">
        <f t="shared" si="2"/>
        <v>ｇ</v>
      </c>
      <c r="U16" s="171"/>
      <c r="V16" s="149" t="str">
        <f t="shared" si="9"/>
        <v>ｇ</v>
      </c>
      <c r="W16" s="172">
        <f>合数一覧!L10</f>
        <v>0</v>
      </c>
      <c r="X16" s="203" t="str">
        <f t="shared" si="14"/>
        <v/>
      </c>
      <c r="Y16" s="173">
        <f>合数一覧!C10</f>
        <v>0</v>
      </c>
      <c r="Z16" s="169">
        <f>IFERROR(合数一覧!M$2*Y16/AD16, 0)</f>
        <v>0</v>
      </c>
      <c r="AA16" s="154" t="str">
        <f t="shared" si="3"/>
        <v>ｇ</v>
      </c>
      <c r="AB16" s="171"/>
      <c r="AC16" s="149" t="str">
        <f t="shared" si="10"/>
        <v>ｇ</v>
      </c>
      <c r="AD16" s="172">
        <f>合数一覧!O10</f>
        <v>0</v>
      </c>
      <c r="AE16" s="203" t="str">
        <f t="shared" si="15"/>
        <v/>
      </c>
      <c r="AF16" s="190">
        <v>0</v>
      </c>
      <c r="AG16" s="169">
        <f>IFERROR(合数一覧!P$2*AF16/AK16, 0)</f>
        <v>0</v>
      </c>
      <c r="AH16" s="154" t="str">
        <f t="shared" si="4"/>
        <v>ｇ</v>
      </c>
      <c r="AI16" s="171"/>
      <c r="AJ16" s="149" t="str">
        <f t="shared" si="11"/>
        <v>ｇ</v>
      </c>
      <c r="AK16" s="172">
        <f>合数一覧!R10</f>
        <v>0</v>
      </c>
      <c r="AL16" s="207" t="str">
        <f t="shared" si="16"/>
        <v/>
      </c>
      <c r="AM16" s="230">
        <f>合数一覧!C10</f>
        <v>0</v>
      </c>
      <c r="AN16" s="169">
        <f>IFERROR(合数一覧!S$2*AM16/AR16, 0)</f>
        <v>0</v>
      </c>
      <c r="AO16" s="149" t="str">
        <f t="shared" si="5"/>
        <v>ｇ</v>
      </c>
      <c r="AP16" s="171"/>
      <c r="AQ16" s="149" t="str">
        <f t="shared" si="12"/>
        <v>ｇ</v>
      </c>
      <c r="AR16" s="172">
        <f>合数一覧!U10</f>
        <v>0</v>
      </c>
    </row>
    <row r="17" spans="1:44" ht="35.1" customHeight="1">
      <c r="A17" s="203"/>
      <c r="B17" s="190">
        <f>合数一覧!C11</f>
        <v>0</v>
      </c>
      <c r="C17" s="169">
        <f>IFERROR((合数一覧!D$2*B17)/I17, 0)</f>
        <v>0</v>
      </c>
      <c r="D17" s="149" t="str">
        <f t="shared" si="6"/>
        <v>g</v>
      </c>
      <c r="E17" s="170">
        <f t="shared" si="19"/>
        <v>0</v>
      </c>
      <c r="F17" s="174" t="str">
        <f t="shared" si="0"/>
        <v>g</v>
      </c>
      <c r="G17" s="171">
        <f t="shared" si="20"/>
        <v>0</v>
      </c>
      <c r="H17" s="149" t="str">
        <f t="shared" si="7"/>
        <v>g</v>
      </c>
      <c r="I17" s="172">
        <f>合数一覧!F11</f>
        <v>0</v>
      </c>
      <c r="J17" s="203" t="str">
        <f t="shared" si="17"/>
        <v/>
      </c>
      <c r="K17" s="190">
        <f>合数一覧!C11</f>
        <v>0</v>
      </c>
      <c r="L17" s="169">
        <f>IFERROR(合数一覧!G$2*K17/P17, 0)</f>
        <v>0</v>
      </c>
      <c r="M17" s="154" t="str">
        <f t="shared" si="1"/>
        <v>ｇ</v>
      </c>
      <c r="N17" s="171"/>
      <c r="O17" s="149" t="str">
        <f t="shared" si="8"/>
        <v>ｇ</v>
      </c>
      <c r="P17" s="172">
        <f>合数一覧!I11</f>
        <v>0</v>
      </c>
      <c r="Q17" s="203" t="str">
        <f t="shared" si="13"/>
        <v/>
      </c>
      <c r="R17" s="190">
        <f>合数一覧!C11</f>
        <v>0</v>
      </c>
      <c r="S17" s="169">
        <f>IFERROR(合数一覧!J$2*R17/W17, 0)</f>
        <v>0</v>
      </c>
      <c r="T17" s="154" t="str">
        <f t="shared" si="2"/>
        <v>ｇ</v>
      </c>
      <c r="U17" s="171"/>
      <c r="V17" s="149" t="str">
        <f t="shared" si="9"/>
        <v>ｇ</v>
      </c>
      <c r="W17" s="172">
        <f>合数一覧!L11</f>
        <v>0</v>
      </c>
      <c r="X17" s="203" t="str">
        <f t="shared" si="14"/>
        <v/>
      </c>
      <c r="Y17" s="173">
        <f>合数一覧!C11</f>
        <v>0</v>
      </c>
      <c r="Z17" s="169">
        <f>IFERROR(合数一覧!M$2*Y17/AD17, 0)</f>
        <v>0</v>
      </c>
      <c r="AA17" s="154" t="str">
        <f t="shared" si="3"/>
        <v>ｇ</v>
      </c>
      <c r="AB17" s="171"/>
      <c r="AC17" s="149" t="str">
        <f t="shared" si="10"/>
        <v>ｇ</v>
      </c>
      <c r="AD17" s="172">
        <f>合数一覧!O11</f>
        <v>0</v>
      </c>
      <c r="AE17" s="203" t="str">
        <f t="shared" si="15"/>
        <v/>
      </c>
      <c r="AF17" s="190">
        <v>0</v>
      </c>
      <c r="AG17" s="169">
        <f>IFERROR(合数一覧!P$2*AF17/AK17, 0)</f>
        <v>0</v>
      </c>
      <c r="AH17" s="154" t="str">
        <f t="shared" si="4"/>
        <v>ｇ</v>
      </c>
      <c r="AI17" s="171"/>
      <c r="AJ17" s="149" t="str">
        <f t="shared" si="11"/>
        <v>ｇ</v>
      </c>
      <c r="AK17" s="172">
        <f>合数一覧!R11</f>
        <v>0</v>
      </c>
      <c r="AL17" s="207" t="str">
        <f t="shared" si="16"/>
        <v/>
      </c>
      <c r="AM17" s="230">
        <f>合数一覧!C11</f>
        <v>0</v>
      </c>
      <c r="AN17" s="169">
        <f>IFERROR(合数一覧!S$2*AM17/AR17, 0)</f>
        <v>0</v>
      </c>
      <c r="AO17" s="149" t="str">
        <f t="shared" si="5"/>
        <v>ｇ</v>
      </c>
      <c r="AP17" s="171"/>
      <c r="AQ17" s="149" t="str">
        <f t="shared" si="12"/>
        <v>ｇ</v>
      </c>
      <c r="AR17" s="172">
        <f>合数一覧!U11</f>
        <v>0</v>
      </c>
    </row>
    <row r="18" spans="1:44" ht="35.1" customHeight="1">
      <c r="A18" s="203"/>
      <c r="B18" s="190">
        <f>合数一覧!C12</f>
        <v>0</v>
      </c>
      <c r="C18" s="169">
        <f>IFERROR((合数一覧!D$2*B18)/I18, 0)</f>
        <v>0</v>
      </c>
      <c r="D18" s="149" t="str">
        <f t="shared" si="6"/>
        <v>g</v>
      </c>
      <c r="E18" s="170">
        <f t="shared" si="19"/>
        <v>0</v>
      </c>
      <c r="F18" s="174" t="str">
        <f t="shared" si="0"/>
        <v>g</v>
      </c>
      <c r="G18" s="171">
        <f t="shared" si="20"/>
        <v>0</v>
      </c>
      <c r="H18" s="149" t="str">
        <f t="shared" si="7"/>
        <v>g</v>
      </c>
      <c r="I18" s="172">
        <f>合数一覧!F12</f>
        <v>0</v>
      </c>
      <c r="J18" s="203" t="str">
        <f t="shared" si="17"/>
        <v/>
      </c>
      <c r="K18" s="190">
        <f>合数一覧!C12</f>
        <v>0</v>
      </c>
      <c r="L18" s="169">
        <f>IFERROR(合数一覧!G$2*K18/P18, 0)</f>
        <v>0</v>
      </c>
      <c r="M18" s="154" t="str">
        <f t="shared" si="1"/>
        <v>ｇ</v>
      </c>
      <c r="N18" s="171"/>
      <c r="O18" s="149" t="str">
        <f t="shared" si="8"/>
        <v>ｇ</v>
      </c>
      <c r="P18" s="172">
        <f>合数一覧!I12</f>
        <v>0</v>
      </c>
      <c r="Q18" s="203" t="str">
        <f t="shared" si="13"/>
        <v/>
      </c>
      <c r="R18" s="190">
        <f>合数一覧!C12</f>
        <v>0</v>
      </c>
      <c r="S18" s="169">
        <f>IFERROR(合数一覧!J$2*R18/W18, 0)</f>
        <v>0</v>
      </c>
      <c r="T18" s="154" t="str">
        <f t="shared" si="2"/>
        <v>ｇ</v>
      </c>
      <c r="U18" s="171"/>
      <c r="V18" s="149" t="str">
        <f t="shared" si="9"/>
        <v>ｇ</v>
      </c>
      <c r="W18" s="172">
        <f>合数一覧!L12</f>
        <v>0</v>
      </c>
      <c r="X18" s="203" t="str">
        <f t="shared" si="14"/>
        <v/>
      </c>
      <c r="Y18" s="173">
        <f>合数一覧!C12</f>
        <v>0</v>
      </c>
      <c r="Z18" s="169">
        <f>IFERROR(合数一覧!M$2*Y18/AD18, 0)</f>
        <v>0</v>
      </c>
      <c r="AA18" s="154" t="str">
        <f t="shared" si="3"/>
        <v>ｇ</v>
      </c>
      <c r="AB18" s="171"/>
      <c r="AC18" s="149" t="str">
        <f t="shared" si="10"/>
        <v>ｇ</v>
      </c>
      <c r="AD18" s="172">
        <f>合数一覧!O12</f>
        <v>0</v>
      </c>
      <c r="AE18" s="203" t="str">
        <f t="shared" si="15"/>
        <v/>
      </c>
      <c r="AF18" s="190">
        <v>0</v>
      </c>
      <c r="AG18" s="169">
        <f>IFERROR(合数一覧!P$2*AF18/AK18, 0)</f>
        <v>0</v>
      </c>
      <c r="AH18" s="154" t="str">
        <f t="shared" si="4"/>
        <v>ｇ</v>
      </c>
      <c r="AI18" s="171"/>
      <c r="AJ18" s="149" t="str">
        <f t="shared" si="11"/>
        <v>ｇ</v>
      </c>
      <c r="AK18" s="172">
        <f>合数一覧!R12</f>
        <v>0</v>
      </c>
      <c r="AL18" s="207" t="str">
        <f t="shared" si="16"/>
        <v/>
      </c>
      <c r="AM18" s="230">
        <f>合数一覧!C12</f>
        <v>0</v>
      </c>
      <c r="AN18" s="169">
        <f>IFERROR(合数一覧!S$2*AM18/AR18, 0)</f>
        <v>0</v>
      </c>
      <c r="AO18" s="149" t="str">
        <f t="shared" si="5"/>
        <v>ｇ</v>
      </c>
      <c r="AP18" s="171"/>
      <c r="AQ18" s="149" t="str">
        <f t="shared" si="12"/>
        <v>ｇ</v>
      </c>
      <c r="AR18" s="172">
        <f>合数一覧!U12</f>
        <v>0</v>
      </c>
    </row>
    <row r="19" spans="1:44" ht="35.1" customHeight="1">
      <c r="A19" s="203"/>
      <c r="B19" s="190">
        <f>合数一覧!C13</f>
        <v>0</v>
      </c>
      <c r="C19" s="169">
        <f>IFERROR((合数一覧!D$2*B19)/I19, 0)</f>
        <v>0</v>
      </c>
      <c r="D19" s="149" t="str">
        <f t="shared" si="6"/>
        <v>g</v>
      </c>
      <c r="E19" s="170">
        <f t="shared" si="19"/>
        <v>0</v>
      </c>
      <c r="F19" s="174" t="str">
        <f t="shared" si="0"/>
        <v>g</v>
      </c>
      <c r="G19" s="171">
        <f t="shared" si="20"/>
        <v>0</v>
      </c>
      <c r="H19" s="149" t="str">
        <f t="shared" si="7"/>
        <v>g</v>
      </c>
      <c r="I19" s="172">
        <f>合数一覧!F13</f>
        <v>0</v>
      </c>
      <c r="J19" s="203" t="str">
        <f t="shared" si="17"/>
        <v/>
      </c>
      <c r="K19" s="190">
        <f>合数一覧!C13</f>
        <v>0</v>
      </c>
      <c r="L19" s="169">
        <f>IFERROR(合数一覧!G$2*K19/P19, 0)</f>
        <v>0</v>
      </c>
      <c r="M19" s="154" t="str">
        <f t="shared" si="1"/>
        <v>ｇ</v>
      </c>
      <c r="N19" s="171"/>
      <c r="O19" s="149" t="str">
        <f t="shared" si="8"/>
        <v>ｇ</v>
      </c>
      <c r="P19" s="172">
        <f>合数一覧!I13</f>
        <v>0</v>
      </c>
      <c r="Q19" s="203" t="str">
        <f t="shared" si="13"/>
        <v/>
      </c>
      <c r="R19" s="190">
        <f>合数一覧!C13</f>
        <v>0</v>
      </c>
      <c r="S19" s="169">
        <f>IFERROR(合数一覧!J$2*R19/W19, 0)</f>
        <v>0</v>
      </c>
      <c r="T19" s="154" t="str">
        <f t="shared" si="2"/>
        <v>ｇ</v>
      </c>
      <c r="U19" s="171"/>
      <c r="V19" s="149" t="str">
        <f t="shared" si="9"/>
        <v>ｇ</v>
      </c>
      <c r="W19" s="172">
        <f>合数一覧!L13</f>
        <v>0</v>
      </c>
      <c r="X19" s="203" t="str">
        <f t="shared" si="14"/>
        <v/>
      </c>
      <c r="Y19" s="173">
        <f>合数一覧!C13</f>
        <v>0</v>
      </c>
      <c r="Z19" s="169">
        <f>IFERROR(合数一覧!M$2*Y19/AD19, 0)</f>
        <v>0</v>
      </c>
      <c r="AA19" s="154" t="str">
        <f t="shared" si="3"/>
        <v>ｇ</v>
      </c>
      <c r="AB19" s="171"/>
      <c r="AC19" s="149" t="str">
        <f t="shared" si="10"/>
        <v>ｇ</v>
      </c>
      <c r="AD19" s="172">
        <f>合数一覧!O13</f>
        <v>0</v>
      </c>
      <c r="AE19" s="203" t="str">
        <f t="shared" si="15"/>
        <v/>
      </c>
      <c r="AF19" s="190">
        <v>0</v>
      </c>
      <c r="AG19" s="169">
        <f>IFERROR(合数一覧!P$2*AF19/AK19, 0)</f>
        <v>0</v>
      </c>
      <c r="AH19" s="154" t="str">
        <f t="shared" si="4"/>
        <v>ｇ</v>
      </c>
      <c r="AI19" s="171"/>
      <c r="AJ19" s="149" t="str">
        <f t="shared" si="11"/>
        <v>ｇ</v>
      </c>
      <c r="AK19" s="172">
        <f>合数一覧!R13</f>
        <v>0</v>
      </c>
      <c r="AL19" s="207" t="str">
        <f t="shared" si="16"/>
        <v/>
      </c>
      <c r="AM19" s="230">
        <f>合数一覧!C13</f>
        <v>0</v>
      </c>
      <c r="AN19" s="169">
        <f>IFERROR(合数一覧!S$2*AM19/AR19, 0)</f>
        <v>0</v>
      </c>
      <c r="AO19" s="149" t="str">
        <f t="shared" si="5"/>
        <v>ｇ</v>
      </c>
      <c r="AP19" s="171"/>
      <c r="AQ19" s="149" t="str">
        <f t="shared" si="12"/>
        <v>ｇ</v>
      </c>
      <c r="AR19" s="172">
        <f>合数一覧!U13</f>
        <v>0</v>
      </c>
    </row>
    <row r="20" spans="1:44" ht="35.1" customHeight="1">
      <c r="A20" s="203"/>
      <c r="B20" s="190">
        <f>合数一覧!C14</f>
        <v>0</v>
      </c>
      <c r="C20" s="177">
        <f>IFERROR((合数一覧!D$2*B20)/I20, 0)</f>
        <v>0</v>
      </c>
      <c r="D20" s="149" t="str">
        <f t="shared" si="6"/>
        <v>g</v>
      </c>
      <c r="E20" s="170">
        <f t="shared" si="19"/>
        <v>0</v>
      </c>
      <c r="F20" s="174" t="str">
        <f t="shared" si="0"/>
        <v>g</v>
      </c>
      <c r="G20" s="175">
        <f t="shared" si="20"/>
        <v>0</v>
      </c>
      <c r="H20" s="149" t="str">
        <f t="shared" si="7"/>
        <v>g</v>
      </c>
      <c r="I20" s="176">
        <f>合数一覧!F14</f>
        <v>0</v>
      </c>
      <c r="J20" s="203" t="str">
        <f t="shared" si="17"/>
        <v/>
      </c>
      <c r="K20" s="190">
        <f>合数一覧!C14</f>
        <v>0</v>
      </c>
      <c r="L20" s="177">
        <f>IFERROR(合数一覧!G$2*K20/P20, 0)</f>
        <v>0</v>
      </c>
      <c r="M20" s="154" t="str">
        <f t="shared" si="1"/>
        <v>ｇ</v>
      </c>
      <c r="N20" s="175"/>
      <c r="O20" s="149" t="str">
        <f t="shared" si="8"/>
        <v>ｇ</v>
      </c>
      <c r="P20" s="176">
        <f>合数一覧!I14</f>
        <v>0</v>
      </c>
      <c r="Q20" s="203" t="str">
        <f t="shared" si="13"/>
        <v/>
      </c>
      <c r="R20" s="190">
        <f>合数一覧!C14</f>
        <v>0</v>
      </c>
      <c r="S20" s="177">
        <f>IFERROR(合数一覧!J$2*R20/W20, 0)</f>
        <v>0</v>
      </c>
      <c r="T20" s="154" t="str">
        <f t="shared" si="2"/>
        <v>ｇ</v>
      </c>
      <c r="U20" s="175"/>
      <c r="V20" s="149" t="str">
        <f t="shared" si="9"/>
        <v>ｇ</v>
      </c>
      <c r="W20" s="176">
        <f>合数一覧!L14</f>
        <v>0</v>
      </c>
      <c r="X20" s="203" t="str">
        <f t="shared" si="14"/>
        <v/>
      </c>
      <c r="Y20" s="173">
        <f>合数一覧!C14</f>
        <v>0</v>
      </c>
      <c r="Z20" s="177">
        <f>IFERROR(合数一覧!M$2*Y20/AD20, 0)</f>
        <v>0</v>
      </c>
      <c r="AA20" s="154" t="str">
        <f t="shared" si="3"/>
        <v>ｇ</v>
      </c>
      <c r="AB20" s="175"/>
      <c r="AC20" s="149" t="str">
        <f t="shared" si="10"/>
        <v>ｇ</v>
      </c>
      <c r="AD20" s="176">
        <f>合数一覧!O14</f>
        <v>0</v>
      </c>
      <c r="AE20" s="203" t="str">
        <f t="shared" si="15"/>
        <v/>
      </c>
      <c r="AF20" s="190">
        <v>0</v>
      </c>
      <c r="AG20" s="177">
        <f>IFERROR(合数一覧!P$2*AF20/AK20, 0)</f>
        <v>0</v>
      </c>
      <c r="AH20" s="154" t="str">
        <f t="shared" si="4"/>
        <v>ｇ</v>
      </c>
      <c r="AI20" s="175"/>
      <c r="AJ20" s="149" t="str">
        <f t="shared" si="11"/>
        <v>ｇ</v>
      </c>
      <c r="AK20" s="176">
        <f>合数一覧!R14</f>
        <v>0</v>
      </c>
      <c r="AL20" s="207" t="str">
        <f t="shared" si="16"/>
        <v/>
      </c>
      <c r="AM20" s="230">
        <f>合数一覧!C14</f>
        <v>0</v>
      </c>
      <c r="AN20" s="177">
        <f>IFERROR(合数一覧!S$2*AM20/AR20, 0)</f>
        <v>0</v>
      </c>
      <c r="AO20" s="149" t="str">
        <f t="shared" si="5"/>
        <v>ｇ</v>
      </c>
      <c r="AP20" s="175"/>
      <c r="AQ20" s="149" t="str">
        <f t="shared" si="12"/>
        <v>ｇ</v>
      </c>
      <c r="AR20" s="176">
        <f>合数一覧!U14</f>
        <v>0</v>
      </c>
    </row>
    <row r="21" spans="1:44" ht="35.1" customHeight="1">
      <c r="A21" s="203"/>
      <c r="B21" s="190">
        <f>合数一覧!C15</f>
        <v>0</v>
      </c>
      <c r="C21" s="177">
        <f>IFERROR((合数一覧!D$2*B21)/I21, 0)</f>
        <v>0</v>
      </c>
      <c r="D21" s="149" t="str">
        <f t="shared" si="6"/>
        <v>g</v>
      </c>
      <c r="E21" s="170">
        <f t="shared" si="19"/>
        <v>0</v>
      </c>
      <c r="F21" s="174" t="str">
        <f t="shared" si="0"/>
        <v>g</v>
      </c>
      <c r="G21" s="175">
        <f t="shared" si="20"/>
        <v>0</v>
      </c>
      <c r="H21" s="149" t="str">
        <f t="shared" si="7"/>
        <v>g</v>
      </c>
      <c r="I21" s="176">
        <f>合数一覧!F15</f>
        <v>0</v>
      </c>
      <c r="J21" s="203" t="str">
        <f t="shared" si="17"/>
        <v/>
      </c>
      <c r="K21" s="190">
        <f>合数一覧!C15</f>
        <v>0</v>
      </c>
      <c r="L21" s="177">
        <f>IFERROR(合数一覧!G$2*K21/P21, 0)</f>
        <v>0</v>
      </c>
      <c r="M21" s="154" t="str">
        <f t="shared" si="1"/>
        <v>ｇ</v>
      </c>
      <c r="N21" s="175"/>
      <c r="O21" s="149" t="str">
        <f t="shared" si="8"/>
        <v>ｇ</v>
      </c>
      <c r="P21" s="176">
        <f>合数一覧!I15</f>
        <v>0</v>
      </c>
      <c r="Q21" s="203" t="str">
        <f t="shared" si="13"/>
        <v/>
      </c>
      <c r="R21" s="190">
        <f>合数一覧!C15</f>
        <v>0</v>
      </c>
      <c r="S21" s="177">
        <f>IFERROR(合数一覧!J$2*R21/W21, 0)</f>
        <v>0</v>
      </c>
      <c r="T21" s="154" t="str">
        <f t="shared" si="2"/>
        <v>ｇ</v>
      </c>
      <c r="U21" s="175"/>
      <c r="V21" s="149" t="str">
        <f t="shared" si="9"/>
        <v>ｇ</v>
      </c>
      <c r="W21" s="176">
        <f>合数一覧!L15</f>
        <v>0</v>
      </c>
      <c r="X21" s="203" t="str">
        <f t="shared" si="14"/>
        <v/>
      </c>
      <c r="Y21" s="173">
        <f>合数一覧!C15</f>
        <v>0</v>
      </c>
      <c r="Z21" s="177">
        <f>IFERROR(合数一覧!M$2*Y21/AD21, 0)</f>
        <v>0</v>
      </c>
      <c r="AA21" s="154" t="str">
        <f t="shared" si="3"/>
        <v>ｇ</v>
      </c>
      <c r="AB21" s="175"/>
      <c r="AC21" s="149" t="str">
        <f t="shared" si="10"/>
        <v>ｇ</v>
      </c>
      <c r="AD21" s="176">
        <f>合数一覧!O15</f>
        <v>0</v>
      </c>
      <c r="AE21" s="203" t="str">
        <f t="shared" si="15"/>
        <v/>
      </c>
      <c r="AF21" s="190">
        <v>0</v>
      </c>
      <c r="AG21" s="177">
        <f>IFERROR(合数一覧!P$2*AF21/AK21, 0)</f>
        <v>0</v>
      </c>
      <c r="AH21" s="154" t="str">
        <f t="shared" si="4"/>
        <v>ｇ</v>
      </c>
      <c r="AI21" s="175"/>
      <c r="AJ21" s="149" t="str">
        <f t="shared" si="11"/>
        <v>ｇ</v>
      </c>
      <c r="AK21" s="176">
        <f>合数一覧!R15</f>
        <v>0</v>
      </c>
      <c r="AL21" s="207" t="str">
        <f t="shared" si="16"/>
        <v/>
      </c>
      <c r="AM21" s="230">
        <f>合数一覧!C15</f>
        <v>0</v>
      </c>
      <c r="AN21" s="177">
        <f>IFERROR(合数一覧!S$2*AM21/AR21, 0)</f>
        <v>0</v>
      </c>
      <c r="AO21" s="149" t="str">
        <f t="shared" si="5"/>
        <v>ｇ</v>
      </c>
      <c r="AP21" s="175"/>
      <c r="AQ21" s="149" t="str">
        <f t="shared" si="12"/>
        <v>ｇ</v>
      </c>
      <c r="AR21" s="176">
        <f>合数一覧!U15</f>
        <v>0</v>
      </c>
    </row>
    <row r="22" spans="1:44" ht="35.1" customHeight="1">
      <c r="A22" s="203"/>
      <c r="B22" s="190">
        <f>合数一覧!C16</f>
        <v>0</v>
      </c>
      <c r="C22" s="177">
        <f>IFERROR((合数一覧!D$2*B22)/I22, 0)</f>
        <v>0</v>
      </c>
      <c r="D22" s="149" t="str">
        <f t="shared" si="6"/>
        <v>g</v>
      </c>
      <c r="E22" s="170">
        <f t="shared" si="19"/>
        <v>0</v>
      </c>
      <c r="F22" s="174" t="str">
        <f t="shared" si="0"/>
        <v>g</v>
      </c>
      <c r="G22" s="175">
        <f t="shared" si="20"/>
        <v>0</v>
      </c>
      <c r="H22" s="149" t="str">
        <f t="shared" si="7"/>
        <v>g</v>
      </c>
      <c r="I22" s="176">
        <f>合数一覧!F16</f>
        <v>0</v>
      </c>
      <c r="J22" s="203" t="str">
        <f t="shared" si="17"/>
        <v/>
      </c>
      <c r="K22" s="190">
        <f>合数一覧!C16</f>
        <v>0</v>
      </c>
      <c r="L22" s="177">
        <f>IFERROR(合数一覧!G$2*K22/P22, 0)</f>
        <v>0</v>
      </c>
      <c r="M22" s="154" t="str">
        <f t="shared" si="1"/>
        <v>ｇ</v>
      </c>
      <c r="N22" s="175"/>
      <c r="O22" s="149" t="str">
        <f t="shared" si="8"/>
        <v>ｇ</v>
      </c>
      <c r="P22" s="176">
        <f>合数一覧!I16</f>
        <v>0</v>
      </c>
      <c r="Q22" s="203" t="str">
        <f t="shared" si="13"/>
        <v/>
      </c>
      <c r="R22" s="190">
        <f>合数一覧!C16</f>
        <v>0</v>
      </c>
      <c r="S22" s="177">
        <f>IFERROR(合数一覧!J$2*R22/W22, 0)</f>
        <v>0</v>
      </c>
      <c r="T22" s="154" t="str">
        <f t="shared" si="2"/>
        <v>ｇ</v>
      </c>
      <c r="U22" s="175"/>
      <c r="V22" s="149" t="str">
        <f t="shared" si="9"/>
        <v>ｇ</v>
      </c>
      <c r="W22" s="176">
        <f>合数一覧!L16</f>
        <v>0</v>
      </c>
      <c r="X22" s="203" t="str">
        <f t="shared" si="14"/>
        <v/>
      </c>
      <c r="Y22" s="173">
        <f>合数一覧!C16</f>
        <v>0</v>
      </c>
      <c r="Z22" s="177">
        <f>IFERROR(合数一覧!M$2*Y22/AD22, 0)</f>
        <v>0</v>
      </c>
      <c r="AA22" s="154" t="str">
        <f t="shared" si="3"/>
        <v>ｇ</v>
      </c>
      <c r="AB22" s="175"/>
      <c r="AC22" s="149" t="str">
        <f t="shared" si="10"/>
        <v>ｇ</v>
      </c>
      <c r="AD22" s="176">
        <f>合数一覧!O16</f>
        <v>0</v>
      </c>
      <c r="AE22" s="203" t="str">
        <f t="shared" si="15"/>
        <v/>
      </c>
      <c r="AF22" s="190">
        <v>0</v>
      </c>
      <c r="AG22" s="177">
        <f>IFERROR(合数一覧!P$2*AF22/AK22, 0)</f>
        <v>0</v>
      </c>
      <c r="AH22" s="154" t="str">
        <f t="shared" si="4"/>
        <v>ｇ</v>
      </c>
      <c r="AI22" s="175"/>
      <c r="AJ22" s="149" t="str">
        <f t="shared" si="11"/>
        <v>ｇ</v>
      </c>
      <c r="AK22" s="176">
        <f>合数一覧!R16</f>
        <v>0</v>
      </c>
      <c r="AL22" s="207" t="str">
        <f t="shared" si="16"/>
        <v/>
      </c>
      <c r="AM22" s="230">
        <f>合数一覧!C16</f>
        <v>0</v>
      </c>
      <c r="AN22" s="177">
        <f>IFERROR(合数一覧!S$2*AM22/AR22, 0)</f>
        <v>0</v>
      </c>
      <c r="AO22" s="149" t="str">
        <f t="shared" si="5"/>
        <v>ｇ</v>
      </c>
      <c r="AP22" s="175"/>
      <c r="AQ22" s="149" t="str">
        <f t="shared" si="12"/>
        <v>ｇ</v>
      </c>
      <c r="AR22" s="176">
        <f>合数一覧!U16</f>
        <v>0</v>
      </c>
    </row>
    <row r="23" spans="1:44" ht="35.1" customHeight="1">
      <c r="A23" s="203"/>
      <c r="B23" s="190">
        <f>合数一覧!C17</f>
        <v>0</v>
      </c>
      <c r="C23" s="177">
        <f>IFERROR((合数一覧!D$2*B23)/I23, 0)</f>
        <v>0</v>
      </c>
      <c r="D23" s="149" t="str">
        <f t="shared" si="6"/>
        <v>g</v>
      </c>
      <c r="E23" s="170">
        <f t="shared" si="19"/>
        <v>0</v>
      </c>
      <c r="F23" s="174" t="str">
        <f t="shared" si="0"/>
        <v>g</v>
      </c>
      <c r="G23" s="175">
        <f t="shared" si="20"/>
        <v>0</v>
      </c>
      <c r="H23" s="149" t="str">
        <f t="shared" si="7"/>
        <v>g</v>
      </c>
      <c r="I23" s="176">
        <f>合数一覧!F17</f>
        <v>0</v>
      </c>
      <c r="J23" s="203" t="str">
        <f t="shared" si="17"/>
        <v/>
      </c>
      <c r="K23" s="190">
        <f>合数一覧!C17</f>
        <v>0</v>
      </c>
      <c r="L23" s="177">
        <f>IFERROR(合数一覧!G$2*K23/P23, 0)</f>
        <v>0</v>
      </c>
      <c r="M23" s="154" t="str">
        <f t="shared" si="1"/>
        <v>ｇ</v>
      </c>
      <c r="N23" s="175"/>
      <c r="O23" s="149" t="str">
        <f t="shared" si="8"/>
        <v>ｇ</v>
      </c>
      <c r="P23" s="176">
        <f>合数一覧!I17</f>
        <v>0</v>
      </c>
      <c r="Q23" s="203" t="str">
        <f t="shared" si="13"/>
        <v/>
      </c>
      <c r="R23" s="190">
        <f>合数一覧!C17</f>
        <v>0</v>
      </c>
      <c r="S23" s="177">
        <f>IFERROR(合数一覧!J$2*R23/W23, 0)</f>
        <v>0</v>
      </c>
      <c r="T23" s="154" t="str">
        <f t="shared" si="2"/>
        <v>ｇ</v>
      </c>
      <c r="U23" s="175"/>
      <c r="V23" s="149" t="str">
        <f t="shared" si="9"/>
        <v>ｇ</v>
      </c>
      <c r="W23" s="176">
        <f>合数一覧!L17</f>
        <v>0</v>
      </c>
      <c r="X23" s="203" t="str">
        <f t="shared" si="14"/>
        <v/>
      </c>
      <c r="Y23" s="173">
        <f>合数一覧!C17</f>
        <v>0</v>
      </c>
      <c r="Z23" s="177">
        <f>IFERROR(合数一覧!M$2*Y23/AD23, 0)</f>
        <v>0</v>
      </c>
      <c r="AA23" s="154" t="str">
        <f t="shared" si="3"/>
        <v>ｇ</v>
      </c>
      <c r="AB23" s="175"/>
      <c r="AC23" s="149" t="str">
        <f t="shared" si="10"/>
        <v>ｇ</v>
      </c>
      <c r="AD23" s="176">
        <f>合数一覧!O17</f>
        <v>0</v>
      </c>
      <c r="AE23" s="203" t="str">
        <f t="shared" si="15"/>
        <v/>
      </c>
      <c r="AF23" s="190">
        <v>0</v>
      </c>
      <c r="AG23" s="177">
        <f>IFERROR(合数一覧!P$2*AF23/AK23, 0)</f>
        <v>0</v>
      </c>
      <c r="AH23" s="154" t="str">
        <f t="shared" si="4"/>
        <v>ｇ</v>
      </c>
      <c r="AI23" s="175"/>
      <c r="AJ23" s="149" t="str">
        <f t="shared" si="11"/>
        <v>ｇ</v>
      </c>
      <c r="AK23" s="176">
        <f>合数一覧!R17</f>
        <v>0</v>
      </c>
      <c r="AL23" s="207" t="str">
        <f t="shared" si="16"/>
        <v/>
      </c>
      <c r="AM23" s="230">
        <f>合数一覧!C17</f>
        <v>0</v>
      </c>
      <c r="AN23" s="177">
        <f>IFERROR(合数一覧!S$2*AM23/AR23, 0)</f>
        <v>0</v>
      </c>
      <c r="AO23" s="149" t="str">
        <f t="shared" si="5"/>
        <v>ｇ</v>
      </c>
      <c r="AP23" s="175"/>
      <c r="AQ23" s="149" t="str">
        <f t="shared" si="12"/>
        <v>ｇ</v>
      </c>
      <c r="AR23" s="176">
        <f>合数一覧!U17</f>
        <v>0</v>
      </c>
    </row>
    <row r="24" spans="1:44" ht="35.1" customHeight="1">
      <c r="A24" s="203"/>
      <c r="B24" s="190">
        <f>合数一覧!C18</f>
        <v>0</v>
      </c>
      <c r="C24" s="177">
        <f>IFERROR((合数一覧!D$2*B24)/I24, 0)</f>
        <v>0</v>
      </c>
      <c r="D24" s="149" t="str">
        <f t="shared" si="6"/>
        <v>g</v>
      </c>
      <c r="E24" s="170">
        <f t="shared" si="19"/>
        <v>0</v>
      </c>
      <c r="F24" s="174" t="str">
        <f t="shared" si="0"/>
        <v>g</v>
      </c>
      <c r="G24" s="175">
        <f t="shared" si="20"/>
        <v>0</v>
      </c>
      <c r="H24" s="149" t="str">
        <f t="shared" si="7"/>
        <v>g</v>
      </c>
      <c r="I24" s="176">
        <f>合数一覧!F18</f>
        <v>0</v>
      </c>
      <c r="J24" s="203" t="str">
        <f t="shared" si="17"/>
        <v/>
      </c>
      <c r="K24" s="190">
        <f>合数一覧!C18</f>
        <v>0</v>
      </c>
      <c r="L24" s="177">
        <f>IFERROR(合数一覧!G$2*K24/P24, 0)</f>
        <v>0</v>
      </c>
      <c r="M24" s="154" t="str">
        <f t="shared" si="1"/>
        <v>ｇ</v>
      </c>
      <c r="N24" s="175"/>
      <c r="O24" s="149" t="str">
        <f t="shared" si="8"/>
        <v>ｇ</v>
      </c>
      <c r="P24" s="176">
        <f>合数一覧!I18</f>
        <v>0</v>
      </c>
      <c r="Q24" s="203" t="str">
        <f t="shared" si="13"/>
        <v/>
      </c>
      <c r="R24" s="190">
        <f>合数一覧!C18</f>
        <v>0</v>
      </c>
      <c r="S24" s="177">
        <f>IFERROR(合数一覧!J$2*R24/W24, 0)</f>
        <v>0</v>
      </c>
      <c r="T24" s="154" t="str">
        <f t="shared" si="2"/>
        <v>ｇ</v>
      </c>
      <c r="U24" s="175"/>
      <c r="V24" s="149" t="str">
        <f t="shared" si="9"/>
        <v>ｇ</v>
      </c>
      <c r="W24" s="176">
        <f>合数一覧!L18</f>
        <v>0</v>
      </c>
      <c r="X24" s="203" t="str">
        <f t="shared" si="14"/>
        <v/>
      </c>
      <c r="Y24" s="173">
        <f>合数一覧!C18</f>
        <v>0</v>
      </c>
      <c r="Z24" s="177">
        <f>IFERROR(合数一覧!M$2*Y24/AD24, 0)</f>
        <v>0</v>
      </c>
      <c r="AA24" s="154" t="str">
        <f t="shared" si="3"/>
        <v>ｇ</v>
      </c>
      <c r="AB24" s="175"/>
      <c r="AC24" s="149" t="str">
        <f t="shared" si="10"/>
        <v>ｇ</v>
      </c>
      <c r="AD24" s="176">
        <f>合数一覧!O18</f>
        <v>0</v>
      </c>
      <c r="AE24" s="203" t="str">
        <f t="shared" si="15"/>
        <v/>
      </c>
      <c r="AF24" s="190">
        <v>0</v>
      </c>
      <c r="AG24" s="177">
        <f>IFERROR(合数一覧!P$2*AF24/AK24, 0)</f>
        <v>0</v>
      </c>
      <c r="AH24" s="154" t="str">
        <f t="shared" si="4"/>
        <v>ｇ</v>
      </c>
      <c r="AI24" s="175"/>
      <c r="AJ24" s="149" t="str">
        <f t="shared" si="11"/>
        <v>ｇ</v>
      </c>
      <c r="AK24" s="176">
        <f>合数一覧!R18</f>
        <v>0</v>
      </c>
      <c r="AL24" s="207" t="str">
        <f t="shared" si="16"/>
        <v/>
      </c>
      <c r="AM24" s="230">
        <f>合数一覧!C18</f>
        <v>0</v>
      </c>
      <c r="AN24" s="177">
        <f>IFERROR(合数一覧!S$2*AM24/AR24, 0)</f>
        <v>0</v>
      </c>
      <c r="AO24" s="149" t="str">
        <f t="shared" si="5"/>
        <v>ｇ</v>
      </c>
      <c r="AP24" s="175"/>
      <c r="AQ24" s="149" t="str">
        <f t="shared" si="12"/>
        <v>ｇ</v>
      </c>
      <c r="AR24" s="176">
        <f>合数一覧!U18</f>
        <v>0</v>
      </c>
    </row>
    <row r="25" spans="1:44" ht="35.1" customHeight="1">
      <c r="A25" s="203"/>
      <c r="B25" s="190">
        <f>合数一覧!C19</f>
        <v>0</v>
      </c>
      <c r="C25" s="177">
        <f>IFERROR((合数一覧!D$2*B25)/I25, 0)</f>
        <v>0</v>
      </c>
      <c r="D25" s="149" t="str">
        <f t="shared" si="6"/>
        <v>g</v>
      </c>
      <c r="E25" s="170">
        <f t="shared" si="19"/>
        <v>0</v>
      </c>
      <c r="F25" s="174" t="str">
        <f t="shared" si="0"/>
        <v>g</v>
      </c>
      <c r="G25" s="175">
        <f t="shared" si="20"/>
        <v>0</v>
      </c>
      <c r="H25" s="149" t="str">
        <f t="shared" si="7"/>
        <v>g</v>
      </c>
      <c r="I25" s="176">
        <f>合数一覧!F19</f>
        <v>0</v>
      </c>
      <c r="J25" s="203" t="str">
        <f t="shared" si="17"/>
        <v/>
      </c>
      <c r="K25" s="190">
        <f>合数一覧!C19</f>
        <v>0</v>
      </c>
      <c r="L25" s="177">
        <f>IFERROR(合数一覧!G$2*K25/P25, 0)</f>
        <v>0</v>
      </c>
      <c r="M25" s="154" t="str">
        <f t="shared" si="1"/>
        <v>ｇ</v>
      </c>
      <c r="N25" s="175"/>
      <c r="O25" s="149" t="str">
        <f t="shared" si="8"/>
        <v>ｇ</v>
      </c>
      <c r="P25" s="176">
        <f>合数一覧!I19</f>
        <v>0</v>
      </c>
      <c r="Q25" s="203" t="str">
        <f t="shared" si="13"/>
        <v/>
      </c>
      <c r="R25" s="190">
        <f>合数一覧!C19</f>
        <v>0</v>
      </c>
      <c r="S25" s="177">
        <f>IFERROR(合数一覧!J$2*R25/W25, 0)</f>
        <v>0</v>
      </c>
      <c r="T25" s="154" t="str">
        <f t="shared" si="2"/>
        <v>ｇ</v>
      </c>
      <c r="U25" s="175"/>
      <c r="V25" s="149" t="str">
        <f t="shared" si="9"/>
        <v>ｇ</v>
      </c>
      <c r="W25" s="176">
        <f>合数一覧!L19</f>
        <v>0</v>
      </c>
      <c r="X25" s="203" t="str">
        <f t="shared" si="14"/>
        <v/>
      </c>
      <c r="Y25" s="173">
        <f>合数一覧!C19</f>
        <v>0</v>
      </c>
      <c r="Z25" s="177">
        <f>IFERROR(合数一覧!M$2*Y25/AD25, 0)</f>
        <v>0</v>
      </c>
      <c r="AA25" s="154" t="str">
        <f t="shared" si="3"/>
        <v>ｇ</v>
      </c>
      <c r="AB25" s="175"/>
      <c r="AC25" s="149" t="str">
        <f t="shared" si="10"/>
        <v>ｇ</v>
      </c>
      <c r="AD25" s="176">
        <f>合数一覧!O19</f>
        <v>0</v>
      </c>
      <c r="AE25" s="203" t="str">
        <f t="shared" si="15"/>
        <v/>
      </c>
      <c r="AF25" s="190">
        <v>0</v>
      </c>
      <c r="AG25" s="177">
        <f>IFERROR(合数一覧!P$2*AF25/AK25, 0)</f>
        <v>0</v>
      </c>
      <c r="AH25" s="154" t="str">
        <f t="shared" si="4"/>
        <v>ｇ</v>
      </c>
      <c r="AI25" s="175"/>
      <c r="AJ25" s="149" t="str">
        <f t="shared" si="11"/>
        <v>ｇ</v>
      </c>
      <c r="AK25" s="176">
        <f>合数一覧!R19</f>
        <v>0</v>
      </c>
      <c r="AL25" s="207" t="str">
        <f t="shared" si="16"/>
        <v/>
      </c>
      <c r="AM25" s="230">
        <f>合数一覧!C19</f>
        <v>0</v>
      </c>
      <c r="AN25" s="177">
        <f>IFERROR(合数一覧!S$2*AM25/AR25, 0)</f>
        <v>0</v>
      </c>
      <c r="AO25" s="149" t="str">
        <f t="shared" si="5"/>
        <v>ｇ</v>
      </c>
      <c r="AP25" s="175"/>
      <c r="AQ25" s="149" t="str">
        <f t="shared" si="12"/>
        <v>ｇ</v>
      </c>
      <c r="AR25" s="176">
        <f>合数一覧!U19</f>
        <v>0</v>
      </c>
    </row>
    <row r="26" spans="1:44" ht="35.1" customHeight="1">
      <c r="A26" s="203"/>
      <c r="B26" s="190">
        <f>合数一覧!C20</f>
        <v>0</v>
      </c>
      <c r="C26" s="177">
        <f>IFERROR((合数一覧!D$2*B26)/I26, 0)</f>
        <v>0</v>
      </c>
      <c r="D26" s="149" t="str">
        <f t="shared" si="6"/>
        <v>g</v>
      </c>
      <c r="E26" s="170">
        <f t="shared" si="19"/>
        <v>0</v>
      </c>
      <c r="F26" s="174" t="str">
        <f t="shared" si="0"/>
        <v>g</v>
      </c>
      <c r="G26" s="175">
        <f t="shared" si="20"/>
        <v>0</v>
      </c>
      <c r="H26" s="149" t="str">
        <f t="shared" si="7"/>
        <v>g</v>
      </c>
      <c r="I26" s="176">
        <f>合数一覧!F20</f>
        <v>0</v>
      </c>
      <c r="J26" s="203" t="str">
        <f t="shared" si="17"/>
        <v/>
      </c>
      <c r="K26" s="190">
        <f>合数一覧!C20</f>
        <v>0</v>
      </c>
      <c r="L26" s="177">
        <f>IFERROR(合数一覧!G$2*K26/P26, 0)</f>
        <v>0</v>
      </c>
      <c r="M26" s="154" t="str">
        <f t="shared" si="1"/>
        <v>ｇ</v>
      </c>
      <c r="N26" s="175"/>
      <c r="O26" s="149" t="str">
        <f t="shared" si="8"/>
        <v>ｇ</v>
      </c>
      <c r="P26" s="176">
        <f>合数一覧!I20</f>
        <v>0</v>
      </c>
      <c r="Q26" s="203" t="str">
        <f t="shared" si="13"/>
        <v/>
      </c>
      <c r="R26" s="190">
        <f>合数一覧!C20</f>
        <v>0</v>
      </c>
      <c r="S26" s="177">
        <f>IFERROR(合数一覧!J$2*R26/W26, 0)</f>
        <v>0</v>
      </c>
      <c r="T26" s="154" t="str">
        <f t="shared" si="2"/>
        <v>ｇ</v>
      </c>
      <c r="U26" s="175"/>
      <c r="V26" s="149" t="str">
        <f t="shared" si="9"/>
        <v>ｇ</v>
      </c>
      <c r="W26" s="176">
        <f>合数一覧!L20</f>
        <v>0</v>
      </c>
      <c r="X26" s="203" t="str">
        <f t="shared" si="14"/>
        <v/>
      </c>
      <c r="Y26" s="173">
        <f>合数一覧!C20</f>
        <v>0</v>
      </c>
      <c r="Z26" s="177">
        <f>IFERROR(合数一覧!M$2*Y26/AD26, 0)</f>
        <v>0</v>
      </c>
      <c r="AA26" s="154" t="str">
        <f t="shared" si="3"/>
        <v>ｇ</v>
      </c>
      <c r="AB26" s="175"/>
      <c r="AC26" s="149" t="str">
        <f t="shared" si="10"/>
        <v>ｇ</v>
      </c>
      <c r="AD26" s="176">
        <f>合数一覧!O20</f>
        <v>0</v>
      </c>
      <c r="AE26" s="203" t="str">
        <f t="shared" si="15"/>
        <v/>
      </c>
      <c r="AF26" s="190">
        <v>0</v>
      </c>
      <c r="AG26" s="177">
        <f>IFERROR(合数一覧!P$2*AF26/AK26, 0)</f>
        <v>0</v>
      </c>
      <c r="AH26" s="154" t="str">
        <f t="shared" si="4"/>
        <v>ｇ</v>
      </c>
      <c r="AI26" s="175"/>
      <c r="AJ26" s="149" t="str">
        <f t="shared" si="11"/>
        <v>ｇ</v>
      </c>
      <c r="AK26" s="176">
        <f>合数一覧!R20</f>
        <v>0</v>
      </c>
      <c r="AL26" s="207" t="str">
        <f t="shared" si="16"/>
        <v/>
      </c>
      <c r="AM26" s="230">
        <f>合数一覧!C20</f>
        <v>0</v>
      </c>
      <c r="AN26" s="177">
        <f>IFERROR(合数一覧!S$2*AM26/AR26, 0)</f>
        <v>0</v>
      </c>
      <c r="AO26" s="149" t="str">
        <f t="shared" si="5"/>
        <v>ｇ</v>
      </c>
      <c r="AP26" s="175"/>
      <c r="AQ26" s="149" t="str">
        <f t="shared" si="12"/>
        <v>ｇ</v>
      </c>
      <c r="AR26" s="176">
        <f>合数一覧!U20</f>
        <v>0</v>
      </c>
    </row>
    <row r="27" spans="1:44" ht="35.1" customHeight="1">
      <c r="A27" s="203"/>
      <c r="B27" s="190">
        <f>合数一覧!C21</f>
        <v>0</v>
      </c>
      <c r="C27" s="177">
        <f>IFERROR((合数一覧!D$2*B27)/I27, 0)</f>
        <v>0</v>
      </c>
      <c r="D27" s="149" t="str">
        <f t="shared" si="6"/>
        <v>g</v>
      </c>
      <c r="E27" s="170">
        <f t="shared" si="19"/>
        <v>0</v>
      </c>
      <c r="F27" s="174" t="str">
        <f t="shared" si="0"/>
        <v>g</v>
      </c>
      <c r="G27" s="175">
        <f t="shared" si="20"/>
        <v>0</v>
      </c>
      <c r="H27" s="149" t="str">
        <f t="shared" si="7"/>
        <v>g</v>
      </c>
      <c r="I27" s="176">
        <f>合数一覧!F21</f>
        <v>0</v>
      </c>
      <c r="J27" s="203" t="str">
        <f t="shared" si="17"/>
        <v/>
      </c>
      <c r="K27" s="190">
        <f>合数一覧!C21</f>
        <v>0</v>
      </c>
      <c r="L27" s="177">
        <f>IFERROR(合数一覧!G$2*K27/P27, 0)</f>
        <v>0</v>
      </c>
      <c r="M27" s="154" t="str">
        <f t="shared" si="1"/>
        <v>ｇ</v>
      </c>
      <c r="N27" s="175"/>
      <c r="O27" s="149" t="str">
        <f t="shared" si="8"/>
        <v>ｇ</v>
      </c>
      <c r="P27" s="176">
        <f>合数一覧!I21</f>
        <v>0</v>
      </c>
      <c r="Q27" s="203" t="str">
        <f t="shared" si="13"/>
        <v/>
      </c>
      <c r="R27" s="190">
        <f>合数一覧!C21</f>
        <v>0</v>
      </c>
      <c r="S27" s="177">
        <f>IFERROR(合数一覧!J$2*R27/W27, 0)</f>
        <v>0</v>
      </c>
      <c r="T27" s="154" t="str">
        <f t="shared" si="2"/>
        <v>ｇ</v>
      </c>
      <c r="U27" s="175"/>
      <c r="V27" s="149" t="str">
        <f t="shared" si="9"/>
        <v>ｇ</v>
      </c>
      <c r="W27" s="176">
        <f>合数一覧!L21</f>
        <v>0</v>
      </c>
      <c r="X27" s="203" t="str">
        <f t="shared" si="14"/>
        <v/>
      </c>
      <c r="Y27" s="173">
        <f>合数一覧!C21</f>
        <v>0</v>
      </c>
      <c r="Z27" s="177">
        <f>IFERROR(合数一覧!M$2*Y27/AD27, 0)</f>
        <v>0</v>
      </c>
      <c r="AA27" s="154" t="str">
        <f t="shared" si="3"/>
        <v>ｇ</v>
      </c>
      <c r="AB27" s="175"/>
      <c r="AC27" s="149" t="str">
        <f t="shared" si="10"/>
        <v>ｇ</v>
      </c>
      <c r="AD27" s="176">
        <f>合数一覧!O21</f>
        <v>0</v>
      </c>
      <c r="AE27" s="203" t="str">
        <f t="shared" si="15"/>
        <v/>
      </c>
      <c r="AF27" s="190">
        <v>0</v>
      </c>
      <c r="AG27" s="177">
        <f>IFERROR(合数一覧!P$2*AF27/AK27, 0)</f>
        <v>0</v>
      </c>
      <c r="AH27" s="154" t="str">
        <f t="shared" si="4"/>
        <v>ｇ</v>
      </c>
      <c r="AI27" s="175"/>
      <c r="AJ27" s="149" t="str">
        <f t="shared" si="11"/>
        <v>ｇ</v>
      </c>
      <c r="AK27" s="176">
        <f>合数一覧!R21</f>
        <v>0</v>
      </c>
      <c r="AL27" s="207" t="str">
        <f t="shared" si="16"/>
        <v/>
      </c>
      <c r="AM27" s="230">
        <f>合数一覧!C21</f>
        <v>0</v>
      </c>
      <c r="AN27" s="177">
        <f>IFERROR(合数一覧!S$2*AM27/AR27, 0)</f>
        <v>0</v>
      </c>
      <c r="AO27" s="149" t="str">
        <f t="shared" si="5"/>
        <v>ｇ</v>
      </c>
      <c r="AP27" s="175"/>
      <c r="AQ27" s="149" t="str">
        <f t="shared" si="12"/>
        <v>ｇ</v>
      </c>
      <c r="AR27" s="176">
        <f>合数一覧!U21</f>
        <v>0</v>
      </c>
    </row>
    <row r="28" spans="1:44" ht="35.1" customHeight="1">
      <c r="A28" s="203"/>
      <c r="B28" s="190">
        <f>合数一覧!C22</f>
        <v>0</v>
      </c>
      <c r="C28" s="177">
        <f>IFERROR((合数一覧!D$2*B28)/I28, 0)</f>
        <v>0</v>
      </c>
      <c r="D28" s="149" t="str">
        <f t="shared" si="6"/>
        <v>g</v>
      </c>
      <c r="E28" s="170">
        <f t="shared" si="19"/>
        <v>0</v>
      </c>
      <c r="F28" s="174" t="str">
        <f t="shared" si="0"/>
        <v>g</v>
      </c>
      <c r="G28" s="175">
        <f t="shared" si="20"/>
        <v>0</v>
      </c>
      <c r="H28" s="149" t="str">
        <f t="shared" si="7"/>
        <v>g</v>
      </c>
      <c r="I28" s="176">
        <f>合数一覧!F22</f>
        <v>0</v>
      </c>
      <c r="J28" s="203" t="str">
        <f t="shared" si="17"/>
        <v/>
      </c>
      <c r="K28" s="190">
        <f>合数一覧!C22</f>
        <v>0</v>
      </c>
      <c r="L28" s="177">
        <f>IFERROR(合数一覧!G$2*K28/P28, 0)</f>
        <v>0</v>
      </c>
      <c r="M28" s="154" t="str">
        <f t="shared" si="1"/>
        <v>ｇ</v>
      </c>
      <c r="N28" s="175"/>
      <c r="O28" s="149" t="str">
        <f t="shared" si="8"/>
        <v>ｇ</v>
      </c>
      <c r="P28" s="176">
        <f>合数一覧!I22</f>
        <v>0</v>
      </c>
      <c r="Q28" s="203" t="str">
        <f t="shared" si="13"/>
        <v/>
      </c>
      <c r="R28" s="190">
        <f>合数一覧!C22</f>
        <v>0</v>
      </c>
      <c r="S28" s="177">
        <f>IFERROR(合数一覧!J$2*R28/W28, 0)</f>
        <v>0</v>
      </c>
      <c r="T28" s="154" t="str">
        <f t="shared" si="2"/>
        <v>ｇ</v>
      </c>
      <c r="U28" s="175"/>
      <c r="V28" s="149" t="str">
        <f t="shared" si="9"/>
        <v>ｇ</v>
      </c>
      <c r="W28" s="176">
        <f>合数一覧!L22</f>
        <v>0</v>
      </c>
      <c r="X28" s="203" t="str">
        <f t="shared" si="14"/>
        <v/>
      </c>
      <c r="Y28" s="173">
        <f>合数一覧!C22</f>
        <v>0</v>
      </c>
      <c r="Z28" s="177">
        <f>IFERROR(合数一覧!M$2*Y28/AD28, 0)</f>
        <v>0</v>
      </c>
      <c r="AA28" s="154" t="str">
        <f t="shared" si="3"/>
        <v>ｇ</v>
      </c>
      <c r="AB28" s="175"/>
      <c r="AC28" s="149" t="str">
        <f t="shared" si="10"/>
        <v>ｇ</v>
      </c>
      <c r="AD28" s="176">
        <f>合数一覧!O22</f>
        <v>0</v>
      </c>
      <c r="AE28" s="203" t="str">
        <f t="shared" si="15"/>
        <v/>
      </c>
      <c r="AF28" s="190">
        <v>0</v>
      </c>
      <c r="AG28" s="177">
        <f>IFERROR(合数一覧!P$2*AF28/AK28, 0)</f>
        <v>0</v>
      </c>
      <c r="AH28" s="154" t="str">
        <f t="shared" si="4"/>
        <v>ｇ</v>
      </c>
      <c r="AI28" s="175"/>
      <c r="AJ28" s="149" t="str">
        <f t="shared" si="11"/>
        <v>ｇ</v>
      </c>
      <c r="AK28" s="176">
        <f>合数一覧!R22</f>
        <v>0</v>
      </c>
      <c r="AL28" s="207" t="str">
        <f t="shared" si="16"/>
        <v/>
      </c>
      <c r="AM28" s="230">
        <f>合数一覧!C22</f>
        <v>0</v>
      </c>
      <c r="AN28" s="177">
        <f>IFERROR(合数一覧!S$2*AM28/AR28, 0)</f>
        <v>0</v>
      </c>
      <c r="AO28" s="149" t="str">
        <f t="shared" si="5"/>
        <v>ｇ</v>
      </c>
      <c r="AP28" s="175"/>
      <c r="AQ28" s="149" t="str">
        <f t="shared" si="12"/>
        <v>ｇ</v>
      </c>
      <c r="AR28" s="176">
        <f>合数一覧!U22</f>
        <v>0</v>
      </c>
    </row>
    <row r="29" spans="1:44" ht="35.1" customHeight="1">
      <c r="A29" s="203"/>
      <c r="B29" s="190">
        <f>合数一覧!C23</f>
        <v>0</v>
      </c>
      <c r="C29" s="177">
        <f>IFERROR((合数一覧!D$2*B29)/I29, 0)</f>
        <v>0</v>
      </c>
      <c r="D29" s="149" t="str">
        <f t="shared" si="6"/>
        <v>g</v>
      </c>
      <c r="E29" s="170">
        <f t="shared" si="19"/>
        <v>0</v>
      </c>
      <c r="F29" s="174" t="str">
        <f t="shared" si="0"/>
        <v>g</v>
      </c>
      <c r="G29" s="175">
        <f t="shared" si="20"/>
        <v>0</v>
      </c>
      <c r="H29" s="149" t="str">
        <f t="shared" si="7"/>
        <v>g</v>
      </c>
      <c r="I29" s="176">
        <f>合数一覧!F23</f>
        <v>0</v>
      </c>
      <c r="J29" s="203" t="str">
        <f t="shared" si="17"/>
        <v/>
      </c>
      <c r="K29" s="190">
        <f>合数一覧!C23</f>
        <v>0</v>
      </c>
      <c r="L29" s="177">
        <f>IFERROR(合数一覧!G$2*K29/P29, 0)</f>
        <v>0</v>
      </c>
      <c r="M29" s="154" t="str">
        <f t="shared" si="1"/>
        <v>ｇ</v>
      </c>
      <c r="N29" s="175"/>
      <c r="O29" s="149" t="str">
        <f t="shared" si="8"/>
        <v>ｇ</v>
      </c>
      <c r="P29" s="176">
        <f>合数一覧!I23</f>
        <v>0</v>
      </c>
      <c r="Q29" s="203" t="str">
        <f t="shared" si="13"/>
        <v/>
      </c>
      <c r="R29" s="190">
        <f>合数一覧!C23</f>
        <v>0</v>
      </c>
      <c r="S29" s="177">
        <f>IFERROR(合数一覧!J$2*R29/W29, 0)</f>
        <v>0</v>
      </c>
      <c r="T29" s="154" t="str">
        <f t="shared" si="2"/>
        <v>ｇ</v>
      </c>
      <c r="U29" s="175"/>
      <c r="V29" s="149" t="str">
        <f t="shared" si="9"/>
        <v>ｇ</v>
      </c>
      <c r="W29" s="176">
        <f>合数一覧!L23</f>
        <v>0</v>
      </c>
      <c r="X29" s="203" t="str">
        <f t="shared" si="14"/>
        <v/>
      </c>
      <c r="Y29" s="173">
        <f>合数一覧!C23</f>
        <v>0</v>
      </c>
      <c r="Z29" s="177">
        <f>IFERROR(合数一覧!M$2*Y29/AD29, 0)</f>
        <v>0</v>
      </c>
      <c r="AA29" s="154" t="str">
        <f t="shared" si="3"/>
        <v>ｇ</v>
      </c>
      <c r="AB29" s="175"/>
      <c r="AC29" s="149" t="str">
        <f t="shared" si="10"/>
        <v>ｇ</v>
      </c>
      <c r="AD29" s="176">
        <f>合数一覧!O23</f>
        <v>0</v>
      </c>
      <c r="AE29" s="203" t="str">
        <f t="shared" si="15"/>
        <v/>
      </c>
      <c r="AF29" s="190">
        <v>0</v>
      </c>
      <c r="AG29" s="177">
        <f>IFERROR(合数一覧!P$2*AF29/AK29, 0)</f>
        <v>0</v>
      </c>
      <c r="AH29" s="154" t="str">
        <f t="shared" si="4"/>
        <v>ｇ</v>
      </c>
      <c r="AI29" s="175"/>
      <c r="AJ29" s="149" t="str">
        <f t="shared" si="11"/>
        <v>ｇ</v>
      </c>
      <c r="AK29" s="176">
        <f>合数一覧!R23</f>
        <v>0</v>
      </c>
      <c r="AL29" s="207" t="str">
        <f t="shared" si="16"/>
        <v/>
      </c>
      <c r="AM29" s="230">
        <f>合数一覧!C23</f>
        <v>0</v>
      </c>
      <c r="AN29" s="177">
        <f>IFERROR(合数一覧!S$2*AM29/AR29, 0)</f>
        <v>0</v>
      </c>
      <c r="AO29" s="149" t="str">
        <f t="shared" si="5"/>
        <v>ｇ</v>
      </c>
      <c r="AP29" s="175"/>
      <c r="AQ29" s="149" t="str">
        <f t="shared" si="12"/>
        <v>ｇ</v>
      </c>
      <c r="AR29" s="176">
        <f>合数一覧!U23</f>
        <v>0</v>
      </c>
    </row>
    <row r="30" spans="1:44" ht="35.1" customHeight="1">
      <c r="A30" s="203"/>
      <c r="B30" s="190">
        <f>合数一覧!C24</f>
        <v>0</v>
      </c>
      <c r="C30" s="177">
        <f>IFERROR((合数一覧!D$2*B30)/I30, 0)</f>
        <v>0</v>
      </c>
      <c r="D30" s="149" t="str">
        <f t="shared" si="6"/>
        <v>g</v>
      </c>
      <c r="E30" s="170">
        <f t="shared" si="19"/>
        <v>0</v>
      </c>
      <c r="F30" s="174" t="str">
        <f t="shared" si="0"/>
        <v>g</v>
      </c>
      <c r="G30" s="175">
        <f t="shared" si="20"/>
        <v>0</v>
      </c>
      <c r="H30" s="149" t="str">
        <f t="shared" si="7"/>
        <v>g</v>
      </c>
      <c r="I30" s="176">
        <f>合数一覧!F24</f>
        <v>0</v>
      </c>
      <c r="J30" s="203" t="str">
        <f t="shared" si="17"/>
        <v/>
      </c>
      <c r="K30" s="190">
        <f>合数一覧!C24</f>
        <v>0</v>
      </c>
      <c r="L30" s="177">
        <f>IFERROR(合数一覧!G$2*K30/P30, 0)</f>
        <v>0</v>
      </c>
      <c r="M30" s="154" t="str">
        <f t="shared" si="1"/>
        <v>ｇ</v>
      </c>
      <c r="N30" s="175"/>
      <c r="O30" s="149" t="str">
        <f t="shared" si="8"/>
        <v>ｇ</v>
      </c>
      <c r="P30" s="176">
        <f>合数一覧!I24</f>
        <v>0</v>
      </c>
      <c r="Q30" s="203" t="str">
        <f t="shared" si="13"/>
        <v/>
      </c>
      <c r="R30" s="190">
        <f>合数一覧!C24</f>
        <v>0</v>
      </c>
      <c r="S30" s="177">
        <f>IFERROR(合数一覧!J$2*R30/W30, 0)</f>
        <v>0</v>
      </c>
      <c r="T30" s="154" t="str">
        <f t="shared" si="2"/>
        <v>ｇ</v>
      </c>
      <c r="U30" s="175"/>
      <c r="V30" s="149" t="str">
        <f t="shared" si="9"/>
        <v>ｇ</v>
      </c>
      <c r="W30" s="176">
        <f>合数一覧!L24</f>
        <v>0</v>
      </c>
      <c r="X30" s="203" t="str">
        <f t="shared" si="14"/>
        <v/>
      </c>
      <c r="Y30" s="173">
        <f>合数一覧!C24</f>
        <v>0</v>
      </c>
      <c r="Z30" s="177">
        <f>IFERROR(合数一覧!M$2*Y30/AD30, 0)</f>
        <v>0</v>
      </c>
      <c r="AA30" s="154" t="str">
        <f t="shared" si="3"/>
        <v>ｇ</v>
      </c>
      <c r="AB30" s="175"/>
      <c r="AC30" s="149" t="str">
        <f t="shared" si="10"/>
        <v>ｇ</v>
      </c>
      <c r="AD30" s="176">
        <f>合数一覧!O24</f>
        <v>0</v>
      </c>
      <c r="AE30" s="203" t="str">
        <f t="shared" si="15"/>
        <v/>
      </c>
      <c r="AF30" s="190">
        <v>0</v>
      </c>
      <c r="AG30" s="177">
        <f>IFERROR(合数一覧!P$2*AF30/AK30, 0)</f>
        <v>0</v>
      </c>
      <c r="AH30" s="154" t="str">
        <f t="shared" si="4"/>
        <v>ｇ</v>
      </c>
      <c r="AI30" s="175"/>
      <c r="AJ30" s="149" t="str">
        <f t="shared" si="11"/>
        <v>ｇ</v>
      </c>
      <c r="AK30" s="176">
        <f>合数一覧!R24</f>
        <v>0</v>
      </c>
      <c r="AL30" s="207" t="str">
        <f t="shared" si="16"/>
        <v/>
      </c>
      <c r="AM30" s="230">
        <f>合数一覧!C24</f>
        <v>0</v>
      </c>
      <c r="AN30" s="177">
        <f>IFERROR(合数一覧!S$2*AM30/AR30, 0)</f>
        <v>0</v>
      </c>
      <c r="AO30" s="149" t="str">
        <f t="shared" si="5"/>
        <v>ｇ</v>
      </c>
      <c r="AP30" s="175"/>
      <c r="AQ30" s="149" t="str">
        <f t="shared" si="12"/>
        <v>ｇ</v>
      </c>
      <c r="AR30" s="176">
        <f>合数一覧!U24</f>
        <v>0</v>
      </c>
    </row>
    <row r="31" spans="1:44" ht="35.1" customHeight="1">
      <c r="A31" s="203"/>
      <c r="B31" s="190">
        <f>合数一覧!C25</f>
        <v>0</v>
      </c>
      <c r="C31" s="177">
        <f>IFERROR((合数一覧!D$2*B31)/I31, 0)</f>
        <v>0</v>
      </c>
      <c r="D31" s="149" t="str">
        <f t="shared" si="6"/>
        <v>g</v>
      </c>
      <c r="E31" s="170">
        <f t="shared" si="19"/>
        <v>0</v>
      </c>
      <c r="F31" s="174" t="str">
        <f t="shared" si="0"/>
        <v>g</v>
      </c>
      <c r="G31" s="175">
        <f t="shared" si="20"/>
        <v>0</v>
      </c>
      <c r="H31" s="149" t="str">
        <f t="shared" si="7"/>
        <v>g</v>
      </c>
      <c r="I31" s="176">
        <f>合数一覧!F25</f>
        <v>0</v>
      </c>
      <c r="J31" s="203" t="str">
        <f t="shared" si="17"/>
        <v/>
      </c>
      <c r="K31" s="190">
        <f>合数一覧!C25</f>
        <v>0</v>
      </c>
      <c r="L31" s="177">
        <f>IFERROR(合数一覧!G$2*K31/P31, 0)</f>
        <v>0</v>
      </c>
      <c r="M31" s="154" t="str">
        <f t="shared" si="1"/>
        <v>ｇ</v>
      </c>
      <c r="N31" s="175"/>
      <c r="O31" s="149" t="str">
        <f t="shared" si="8"/>
        <v>ｇ</v>
      </c>
      <c r="P31" s="176">
        <f>合数一覧!I25</f>
        <v>0</v>
      </c>
      <c r="Q31" s="203" t="str">
        <f t="shared" si="13"/>
        <v/>
      </c>
      <c r="R31" s="190">
        <f>合数一覧!C25</f>
        <v>0</v>
      </c>
      <c r="S31" s="177">
        <f>IFERROR(合数一覧!J$2*R31/W31, 0)</f>
        <v>0</v>
      </c>
      <c r="T31" s="154" t="str">
        <f t="shared" si="2"/>
        <v>ｇ</v>
      </c>
      <c r="U31" s="175"/>
      <c r="V31" s="149" t="str">
        <f t="shared" si="9"/>
        <v>ｇ</v>
      </c>
      <c r="W31" s="176">
        <f>合数一覧!L25</f>
        <v>0</v>
      </c>
      <c r="X31" s="203" t="str">
        <f t="shared" si="14"/>
        <v/>
      </c>
      <c r="Y31" s="173">
        <f>合数一覧!C25</f>
        <v>0</v>
      </c>
      <c r="Z31" s="177">
        <f>IFERROR(合数一覧!M$2*Y31/AD31, 0)</f>
        <v>0</v>
      </c>
      <c r="AA31" s="154" t="str">
        <f t="shared" si="3"/>
        <v>ｇ</v>
      </c>
      <c r="AB31" s="175"/>
      <c r="AC31" s="149" t="str">
        <f t="shared" si="10"/>
        <v>ｇ</v>
      </c>
      <c r="AD31" s="176">
        <f>合数一覧!O25</f>
        <v>0</v>
      </c>
      <c r="AE31" s="203" t="str">
        <f t="shared" si="15"/>
        <v/>
      </c>
      <c r="AF31" s="190">
        <v>0</v>
      </c>
      <c r="AG31" s="177">
        <f>IFERROR(合数一覧!P$2*AF31/AK31, 0)</f>
        <v>0</v>
      </c>
      <c r="AH31" s="154" t="str">
        <f t="shared" si="4"/>
        <v>ｇ</v>
      </c>
      <c r="AI31" s="175"/>
      <c r="AJ31" s="149" t="str">
        <f t="shared" si="11"/>
        <v>ｇ</v>
      </c>
      <c r="AK31" s="176">
        <f>合数一覧!R25</f>
        <v>0</v>
      </c>
      <c r="AL31" s="207" t="str">
        <f t="shared" si="16"/>
        <v/>
      </c>
      <c r="AM31" s="230">
        <f>合数一覧!C25</f>
        <v>0</v>
      </c>
      <c r="AN31" s="177">
        <f>IFERROR(合数一覧!S$2*AM31/AR31, 0)</f>
        <v>0</v>
      </c>
      <c r="AO31" s="149" t="str">
        <f t="shared" si="5"/>
        <v>ｇ</v>
      </c>
      <c r="AP31" s="175"/>
      <c r="AQ31" s="149" t="str">
        <f t="shared" si="12"/>
        <v>ｇ</v>
      </c>
      <c r="AR31" s="176">
        <f>合数一覧!U25</f>
        <v>0</v>
      </c>
    </row>
    <row r="32" spans="1:44" ht="35.1" customHeight="1">
      <c r="A32" s="203"/>
      <c r="B32" s="190">
        <f>合数一覧!C26</f>
        <v>0</v>
      </c>
      <c r="C32" s="177">
        <f>IFERROR((合数一覧!D$2*B32)/I32, 0)</f>
        <v>0</v>
      </c>
      <c r="D32" s="149" t="str">
        <f t="shared" si="6"/>
        <v>g</v>
      </c>
      <c r="E32" s="170">
        <f t="shared" si="19"/>
        <v>0</v>
      </c>
      <c r="F32" s="174" t="str">
        <f t="shared" si="0"/>
        <v>g</v>
      </c>
      <c r="G32" s="175">
        <f t="shared" si="20"/>
        <v>0</v>
      </c>
      <c r="H32" s="149" t="str">
        <f t="shared" si="7"/>
        <v>g</v>
      </c>
      <c r="I32" s="176">
        <f>合数一覧!F26</f>
        <v>0</v>
      </c>
      <c r="J32" s="203" t="str">
        <f t="shared" si="17"/>
        <v/>
      </c>
      <c r="K32" s="190">
        <f>合数一覧!C26</f>
        <v>0</v>
      </c>
      <c r="L32" s="177">
        <f>IFERROR(合数一覧!G$2*K32/P32, 0)</f>
        <v>0</v>
      </c>
      <c r="M32" s="154" t="str">
        <f t="shared" si="1"/>
        <v>ｇ</v>
      </c>
      <c r="N32" s="175"/>
      <c r="O32" s="149" t="str">
        <f t="shared" si="8"/>
        <v>ｇ</v>
      </c>
      <c r="P32" s="176">
        <f>合数一覧!I26</f>
        <v>0</v>
      </c>
      <c r="Q32" s="203" t="str">
        <f t="shared" si="13"/>
        <v/>
      </c>
      <c r="R32" s="190">
        <f>合数一覧!C26</f>
        <v>0</v>
      </c>
      <c r="S32" s="177">
        <f>IFERROR(合数一覧!J$2*R32/W32, 0)</f>
        <v>0</v>
      </c>
      <c r="T32" s="154" t="str">
        <f t="shared" si="2"/>
        <v>ｇ</v>
      </c>
      <c r="U32" s="175"/>
      <c r="V32" s="149" t="str">
        <f t="shared" si="9"/>
        <v>ｇ</v>
      </c>
      <c r="W32" s="176">
        <f>合数一覧!L26</f>
        <v>0</v>
      </c>
      <c r="X32" s="203" t="str">
        <f t="shared" si="14"/>
        <v/>
      </c>
      <c r="Y32" s="173">
        <f>合数一覧!C26</f>
        <v>0</v>
      </c>
      <c r="Z32" s="177">
        <f>IFERROR(合数一覧!M$2*Y32/AD32, 0)</f>
        <v>0</v>
      </c>
      <c r="AA32" s="154" t="str">
        <f t="shared" si="3"/>
        <v>ｇ</v>
      </c>
      <c r="AB32" s="175"/>
      <c r="AC32" s="149" t="str">
        <f t="shared" si="10"/>
        <v>ｇ</v>
      </c>
      <c r="AD32" s="176">
        <f>合数一覧!O26</f>
        <v>0</v>
      </c>
      <c r="AE32" s="203" t="str">
        <f t="shared" si="15"/>
        <v/>
      </c>
      <c r="AF32" s="190">
        <v>0</v>
      </c>
      <c r="AG32" s="177">
        <f>IFERROR(合数一覧!P$2*AF32/AK32, 0)</f>
        <v>0</v>
      </c>
      <c r="AH32" s="154" t="str">
        <f t="shared" si="4"/>
        <v>ｇ</v>
      </c>
      <c r="AI32" s="175"/>
      <c r="AJ32" s="149" t="str">
        <f t="shared" si="11"/>
        <v>ｇ</v>
      </c>
      <c r="AK32" s="176">
        <f>合数一覧!R26</f>
        <v>0</v>
      </c>
      <c r="AL32" s="207" t="str">
        <f t="shared" si="16"/>
        <v/>
      </c>
      <c r="AM32" s="230">
        <f>合数一覧!C26</f>
        <v>0</v>
      </c>
      <c r="AN32" s="177">
        <f>IFERROR(合数一覧!S$2*AM32/AR32, 0)</f>
        <v>0</v>
      </c>
      <c r="AO32" s="149" t="str">
        <f t="shared" si="5"/>
        <v>ｇ</v>
      </c>
      <c r="AP32" s="175"/>
      <c r="AQ32" s="149" t="str">
        <f t="shared" si="12"/>
        <v>ｇ</v>
      </c>
      <c r="AR32" s="176">
        <f>合数一覧!U26</f>
        <v>0</v>
      </c>
    </row>
    <row r="33" spans="1:44" ht="35.1" customHeight="1">
      <c r="A33" s="203"/>
      <c r="B33" s="190">
        <f>合数一覧!C27</f>
        <v>0</v>
      </c>
      <c r="C33" s="177">
        <f>IFERROR((合数一覧!D$2*B33)/I33, 0)</f>
        <v>0</v>
      </c>
      <c r="D33" s="149" t="str">
        <f t="shared" si="6"/>
        <v>g</v>
      </c>
      <c r="E33" s="170">
        <f t="shared" si="19"/>
        <v>0</v>
      </c>
      <c r="F33" s="174" t="str">
        <f t="shared" si="0"/>
        <v>g</v>
      </c>
      <c r="G33" s="175">
        <f t="shared" si="20"/>
        <v>0</v>
      </c>
      <c r="H33" s="149" t="str">
        <f t="shared" si="7"/>
        <v>g</v>
      </c>
      <c r="I33" s="176">
        <f>合数一覧!F27</f>
        <v>0</v>
      </c>
      <c r="J33" s="203" t="str">
        <f t="shared" si="17"/>
        <v/>
      </c>
      <c r="K33" s="190">
        <f>合数一覧!C27</f>
        <v>0</v>
      </c>
      <c r="L33" s="177">
        <f>IFERROR(合数一覧!G$2*K33/P33, 0)</f>
        <v>0</v>
      </c>
      <c r="M33" s="154" t="str">
        <f t="shared" si="1"/>
        <v>ｇ</v>
      </c>
      <c r="N33" s="175"/>
      <c r="O33" s="149" t="str">
        <f t="shared" si="8"/>
        <v>ｇ</v>
      </c>
      <c r="P33" s="176">
        <f>合数一覧!I27</f>
        <v>0</v>
      </c>
      <c r="Q33" s="203" t="str">
        <f t="shared" si="13"/>
        <v/>
      </c>
      <c r="R33" s="190">
        <f>合数一覧!C27</f>
        <v>0</v>
      </c>
      <c r="S33" s="177">
        <f>IFERROR(合数一覧!J$2*R33/W33, 0)</f>
        <v>0</v>
      </c>
      <c r="T33" s="154" t="str">
        <f t="shared" si="2"/>
        <v>ｇ</v>
      </c>
      <c r="U33" s="175"/>
      <c r="V33" s="149" t="str">
        <f t="shared" si="9"/>
        <v>ｇ</v>
      </c>
      <c r="W33" s="176">
        <f>合数一覧!L27</f>
        <v>0</v>
      </c>
      <c r="X33" s="203" t="str">
        <f t="shared" si="14"/>
        <v/>
      </c>
      <c r="Y33" s="173">
        <f>合数一覧!C27</f>
        <v>0</v>
      </c>
      <c r="Z33" s="177">
        <f>IFERROR(合数一覧!M$2*Y33/AD33, 0)</f>
        <v>0</v>
      </c>
      <c r="AA33" s="154" t="str">
        <f t="shared" si="3"/>
        <v>ｇ</v>
      </c>
      <c r="AB33" s="175"/>
      <c r="AC33" s="149" t="str">
        <f t="shared" si="10"/>
        <v>ｇ</v>
      </c>
      <c r="AD33" s="176">
        <f>合数一覧!O27</f>
        <v>0</v>
      </c>
      <c r="AE33" s="203" t="str">
        <f t="shared" si="15"/>
        <v/>
      </c>
      <c r="AF33" s="190">
        <v>0</v>
      </c>
      <c r="AG33" s="177">
        <f>IFERROR(合数一覧!P$2*AF33/AK33, 0)</f>
        <v>0</v>
      </c>
      <c r="AH33" s="154" t="str">
        <f t="shared" si="4"/>
        <v>ｇ</v>
      </c>
      <c r="AI33" s="175"/>
      <c r="AJ33" s="149" t="str">
        <f t="shared" si="11"/>
        <v>ｇ</v>
      </c>
      <c r="AK33" s="176">
        <f>合数一覧!R27</f>
        <v>0</v>
      </c>
      <c r="AL33" s="207" t="str">
        <f t="shared" si="16"/>
        <v/>
      </c>
      <c r="AM33" s="230">
        <f>合数一覧!C27</f>
        <v>0</v>
      </c>
      <c r="AN33" s="177">
        <f>IFERROR(合数一覧!S$2*AM33/AR33, 0)</f>
        <v>0</v>
      </c>
      <c r="AO33" s="149" t="str">
        <f t="shared" si="5"/>
        <v>ｇ</v>
      </c>
      <c r="AP33" s="175"/>
      <c r="AQ33" s="149" t="str">
        <f t="shared" si="12"/>
        <v>ｇ</v>
      </c>
      <c r="AR33" s="176">
        <f>合数一覧!U27</f>
        <v>0</v>
      </c>
    </row>
    <row r="34" spans="1:44" ht="35.1" customHeight="1">
      <c r="A34" s="203"/>
      <c r="B34" s="190">
        <f>合数一覧!C28</f>
        <v>0</v>
      </c>
      <c r="C34" s="177">
        <f>IFERROR((合数一覧!D$2*B34)/I34, 0)</f>
        <v>0</v>
      </c>
      <c r="D34" s="149" t="str">
        <f t="shared" si="6"/>
        <v>g</v>
      </c>
      <c r="E34" s="170">
        <f t="shared" si="19"/>
        <v>0</v>
      </c>
      <c r="F34" s="174" t="str">
        <f t="shared" si="0"/>
        <v>g</v>
      </c>
      <c r="G34" s="175">
        <f t="shared" si="20"/>
        <v>0</v>
      </c>
      <c r="H34" s="149" t="str">
        <f t="shared" si="7"/>
        <v>g</v>
      </c>
      <c r="I34" s="176">
        <f>合数一覧!F28</f>
        <v>0</v>
      </c>
      <c r="J34" s="203" t="str">
        <f t="shared" si="17"/>
        <v/>
      </c>
      <c r="K34" s="190">
        <f>合数一覧!C28</f>
        <v>0</v>
      </c>
      <c r="L34" s="177">
        <f>IFERROR(合数一覧!G$2*K34/P34, 0)</f>
        <v>0</v>
      </c>
      <c r="M34" s="154" t="str">
        <f t="shared" si="1"/>
        <v>ｇ</v>
      </c>
      <c r="N34" s="175"/>
      <c r="O34" s="149" t="str">
        <f t="shared" si="8"/>
        <v>ｇ</v>
      </c>
      <c r="P34" s="176">
        <f>合数一覧!I28</f>
        <v>0</v>
      </c>
      <c r="Q34" s="203" t="str">
        <f t="shared" si="13"/>
        <v/>
      </c>
      <c r="R34" s="190">
        <f>合数一覧!C28</f>
        <v>0</v>
      </c>
      <c r="S34" s="177">
        <f>IFERROR(合数一覧!J$2*R34/W34, 0)</f>
        <v>0</v>
      </c>
      <c r="T34" s="154" t="str">
        <f t="shared" si="2"/>
        <v>ｇ</v>
      </c>
      <c r="U34" s="175"/>
      <c r="V34" s="149" t="str">
        <f t="shared" si="9"/>
        <v>ｇ</v>
      </c>
      <c r="W34" s="176">
        <f>合数一覧!L28</f>
        <v>0</v>
      </c>
      <c r="X34" s="203" t="str">
        <f t="shared" si="14"/>
        <v/>
      </c>
      <c r="Y34" s="173">
        <f>合数一覧!C28</f>
        <v>0</v>
      </c>
      <c r="Z34" s="177">
        <f>IFERROR(合数一覧!M$2*Y34/AD34, 0)</f>
        <v>0</v>
      </c>
      <c r="AA34" s="154" t="str">
        <f t="shared" si="3"/>
        <v>ｇ</v>
      </c>
      <c r="AB34" s="175"/>
      <c r="AC34" s="149" t="str">
        <f t="shared" si="10"/>
        <v>ｇ</v>
      </c>
      <c r="AD34" s="176">
        <f>合数一覧!O28</f>
        <v>0</v>
      </c>
      <c r="AE34" s="203" t="str">
        <f t="shared" si="15"/>
        <v/>
      </c>
      <c r="AF34" s="190">
        <v>0</v>
      </c>
      <c r="AG34" s="177">
        <f>IFERROR(合数一覧!P$2*AF34/AK34, 0)</f>
        <v>0</v>
      </c>
      <c r="AH34" s="154" t="str">
        <f t="shared" si="4"/>
        <v>ｇ</v>
      </c>
      <c r="AI34" s="175"/>
      <c r="AJ34" s="149" t="str">
        <f t="shared" si="11"/>
        <v>ｇ</v>
      </c>
      <c r="AK34" s="176">
        <f>合数一覧!R28</f>
        <v>0</v>
      </c>
      <c r="AL34" s="207" t="str">
        <f t="shared" si="16"/>
        <v/>
      </c>
      <c r="AM34" s="230">
        <f>合数一覧!C28</f>
        <v>0</v>
      </c>
      <c r="AN34" s="177">
        <f>IFERROR(合数一覧!S$2*AM34/AR34, 0)</f>
        <v>0</v>
      </c>
      <c r="AO34" s="149" t="str">
        <f t="shared" si="5"/>
        <v>ｇ</v>
      </c>
      <c r="AP34" s="175"/>
      <c r="AQ34" s="149" t="str">
        <f t="shared" si="12"/>
        <v>ｇ</v>
      </c>
      <c r="AR34" s="176">
        <f>合数一覧!U28</f>
        <v>0</v>
      </c>
    </row>
    <row r="35" spans="1:44" ht="35.1" customHeight="1">
      <c r="A35" s="203"/>
      <c r="B35" s="190">
        <f>合数一覧!C29</f>
        <v>0</v>
      </c>
      <c r="C35" s="177">
        <f>IFERROR((合数一覧!D$2*B35)/I35, 0)</f>
        <v>0</v>
      </c>
      <c r="D35" s="149" t="str">
        <f t="shared" si="6"/>
        <v>g</v>
      </c>
      <c r="E35" s="170">
        <f t="shared" si="19"/>
        <v>0</v>
      </c>
      <c r="F35" s="174" t="str">
        <f t="shared" si="0"/>
        <v>g</v>
      </c>
      <c r="G35" s="175">
        <f t="shared" si="20"/>
        <v>0</v>
      </c>
      <c r="H35" s="149" t="str">
        <f t="shared" si="7"/>
        <v>g</v>
      </c>
      <c r="I35" s="176">
        <f>合数一覧!F29</f>
        <v>0</v>
      </c>
      <c r="J35" s="203" t="str">
        <f t="shared" si="17"/>
        <v/>
      </c>
      <c r="K35" s="190">
        <f>合数一覧!C29</f>
        <v>0</v>
      </c>
      <c r="L35" s="177">
        <f>IFERROR(合数一覧!G$2*K35/P35, 0)</f>
        <v>0</v>
      </c>
      <c r="M35" s="154" t="str">
        <f t="shared" si="1"/>
        <v>ｇ</v>
      </c>
      <c r="N35" s="175"/>
      <c r="O35" s="149" t="str">
        <f t="shared" si="8"/>
        <v>ｇ</v>
      </c>
      <c r="P35" s="176">
        <f>合数一覧!I29</f>
        <v>0</v>
      </c>
      <c r="Q35" s="203" t="str">
        <f t="shared" si="13"/>
        <v/>
      </c>
      <c r="R35" s="190">
        <f>合数一覧!C29</f>
        <v>0</v>
      </c>
      <c r="S35" s="177">
        <f>IFERROR(合数一覧!J$2*R35/W35, 0)</f>
        <v>0</v>
      </c>
      <c r="T35" s="154" t="str">
        <f t="shared" si="2"/>
        <v>ｇ</v>
      </c>
      <c r="U35" s="175"/>
      <c r="V35" s="149" t="str">
        <f t="shared" si="9"/>
        <v>ｇ</v>
      </c>
      <c r="W35" s="176">
        <f>合数一覧!L29</f>
        <v>0</v>
      </c>
      <c r="X35" s="203" t="str">
        <f t="shared" si="14"/>
        <v/>
      </c>
      <c r="Y35" s="173">
        <f>合数一覧!C29</f>
        <v>0</v>
      </c>
      <c r="Z35" s="177">
        <f>IFERROR(合数一覧!M$2*Y35/AD35, 0)</f>
        <v>0</v>
      </c>
      <c r="AA35" s="154" t="str">
        <f t="shared" si="3"/>
        <v>ｇ</v>
      </c>
      <c r="AB35" s="175"/>
      <c r="AC35" s="149" t="str">
        <f t="shared" si="10"/>
        <v>ｇ</v>
      </c>
      <c r="AD35" s="176">
        <f>合数一覧!O29</f>
        <v>0</v>
      </c>
      <c r="AE35" s="203" t="str">
        <f t="shared" si="15"/>
        <v/>
      </c>
      <c r="AF35" s="190">
        <v>0</v>
      </c>
      <c r="AG35" s="177">
        <f>IFERROR(合数一覧!P$2*AF35/AK35, 0)</f>
        <v>0</v>
      </c>
      <c r="AH35" s="154" t="str">
        <f t="shared" si="4"/>
        <v>ｇ</v>
      </c>
      <c r="AI35" s="175"/>
      <c r="AJ35" s="149" t="str">
        <f t="shared" si="11"/>
        <v>ｇ</v>
      </c>
      <c r="AK35" s="176">
        <f>合数一覧!R29</f>
        <v>0</v>
      </c>
      <c r="AL35" s="207" t="str">
        <f t="shared" si="16"/>
        <v/>
      </c>
      <c r="AM35" s="230">
        <f>合数一覧!C29</f>
        <v>0</v>
      </c>
      <c r="AN35" s="177">
        <f>IFERROR(合数一覧!S$2*AM35/AR35, 0)</f>
        <v>0</v>
      </c>
      <c r="AO35" s="149" t="str">
        <f t="shared" si="5"/>
        <v>ｇ</v>
      </c>
      <c r="AP35" s="175"/>
      <c r="AQ35" s="149" t="str">
        <f t="shared" si="12"/>
        <v>ｇ</v>
      </c>
      <c r="AR35" s="176">
        <f>合数一覧!U29</f>
        <v>0</v>
      </c>
    </row>
    <row r="36" spans="1:44" ht="35.1" customHeight="1">
      <c r="A36" s="203"/>
      <c r="B36" s="190">
        <f>合数一覧!C30</f>
        <v>0</v>
      </c>
      <c r="C36" s="177">
        <f>IFERROR((合数一覧!D$2*B36)/I36, 0)</f>
        <v>0</v>
      </c>
      <c r="D36" s="149" t="str">
        <f t="shared" si="6"/>
        <v>g</v>
      </c>
      <c r="E36" s="170">
        <f t="shared" si="19"/>
        <v>0</v>
      </c>
      <c r="F36" s="174" t="str">
        <f t="shared" si="0"/>
        <v>g</v>
      </c>
      <c r="G36" s="175">
        <f t="shared" si="20"/>
        <v>0</v>
      </c>
      <c r="H36" s="149" t="str">
        <f t="shared" si="7"/>
        <v>g</v>
      </c>
      <c r="I36" s="176">
        <f>合数一覧!F30</f>
        <v>0</v>
      </c>
      <c r="J36" s="203" t="str">
        <f t="shared" si="17"/>
        <v/>
      </c>
      <c r="K36" s="190">
        <f>合数一覧!C30</f>
        <v>0</v>
      </c>
      <c r="L36" s="177">
        <f>IFERROR(合数一覧!G$2*K36/P36, 0)</f>
        <v>0</v>
      </c>
      <c r="M36" s="154" t="str">
        <f t="shared" si="1"/>
        <v>ｇ</v>
      </c>
      <c r="N36" s="175"/>
      <c r="O36" s="149" t="str">
        <f t="shared" si="8"/>
        <v>ｇ</v>
      </c>
      <c r="P36" s="176">
        <f>合数一覧!I30</f>
        <v>0</v>
      </c>
      <c r="Q36" s="203" t="str">
        <f t="shared" si="13"/>
        <v/>
      </c>
      <c r="R36" s="190">
        <f>合数一覧!C30</f>
        <v>0</v>
      </c>
      <c r="S36" s="177">
        <f>IFERROR(合数一覧!J$2*R36/W36, 0)</f>
        <v>0</v>
      </c>
      <c r="T36" s="154" t="str">
        <f t="shared" si="2"/>
        <v>ｇ</v>
      </c>
      <c r="U36" s="175"/>
      <c r="V36" s="149" t="str">
        <f t="shared" si="9"/>
        <v>ｇ</v>
      </c>
      <c r="W36" s="176">
        <f>合数一覧!L30</f>
        <v>0</v>
      </c>
      <c r="X36" s="203" t="str">
        <f t="shared" si="14"/>
        <v/>
      </c>
      <c r="Y36" s="173">
        <f>合数一覧!C30</f>
        <v>0</v>
      </c>
      <c r="Z36" s="177">
        <f>IFERROR(合数一覧!M$2*Y36/AD36, 0)</f>
        <v>0</v>
      </c>
      <c r="AA36" s="154" t="str">
        <f t="shared" si="3"/>
        <v>ｇ</v>
      </c>
      <c r="AB36" s="175"/>
      <c r="AC36" s="149" t="str">
        <f t="shared" si="10"/>
        <v>ｇ</v>
      </c>
      <c r="AD36" s="176">
        <f>合数一覧!O30</f>
        <v>0</v>
      </c>
      <c r="AE36" s="203" t="str">
        <f t="shared" si="15"/>
        <v/>
      </c>
      <c r="AF36" s="190">
        <v>0</v>
      </c>
      <c r="AG36" s="177">
        <f>IFERROR(合数一覧!P$2*AF36/AK36, 0)</f>
        <v>0</v>
      </c>
      <c r="AH36" s="154" t="str">
        <f t="shared" si="4"/>
        <v>ｇ</v>
      </c>
      <c r="AI36" s="175"/>
      <c r="AJ36" s="149" t="str">
        <f t="shared" si="11"/>
        <v>ｇ</v>
      </c>
      <c r="AK36" s="176">
        <f>合数一覧!R30</f>
        <v>0</v>
      </c>
      <c r="AL36" s="207" t="str">
        <f t="shared" si="16"/>
        <v/>
      </c>
      <c r="AM36" s="230">
        <f>合数一覧!C30</f>
        <v>0</v>
      </c>
      <c r="AN36" s="177">
        <f>IFERROR(合数一覧!S$2*AM36/AR36, 0)</f>
        <v>0</v>
      </c>
      <c r="AO36" s="149" t="str">
        <f t="shared" si="5"/>
        <v>ｇ</v>
      </c>
      <c r="AP36" s="175"/>
      <c r="AQ36" s="149" t="str">
        <f t="shared" si="12"/>
        <v>ｇ</v>
      </c>
      <c r="AR36" s="176">
        <f>合数一覧!U30</f>
        <v>0</v>
      </c>
    </row>
    <row r="37" spans="1:44" ht="35.1" customHeight="1">
      <c r="A37" s="203"/>
      <c r="B37" s="190">
        <f>合数一覧!C31</f>
        <v>0</v>
      </c>
      <c r="C37" s="177">
        <f>IFERROR((合数一覧!D$2*B37)/I37, 0)</f>
        <v>0</v>
      </c>
      <c r="D37" s="149" t="str">
        <f t="shared" si="6"/>
        <v>g</v>
      </c>
      <c r="E37" s="170">
        <f t="shared" si="19"/>
        <v>0</v>
      </c>
      <c r="F37" s="174" t="str">
        <f t="shared" si="0"/>
        <v>g</v>
      </c>
      <c r="G37" s="175">
        <f t="shared" si="20"/>
        <v>0</v>
      </c>
      <c r="H37" s="149" t="str">
        <f t="shared" si="7"/>
        <v>g</v>
      </c>
      <c r="I37" s="176">
        <f>合数一覧!F31</f>
        <v>0</v>
      </c>
      <c r="J37" s="203" t="str">
        <f t="shared" si="17"/>
        <v/>
      </c>
      <c r="K37" s="190">
        <f>合数一覧!C31</f>
        <v>0</v>
      </c>
      <c r="L37" s="177">
        <f>IFERROR(合数一覧!G$2*K37/P37, 0)</f>
        <v>0</v>
      </c>
      <c r="M37" s="154" t="str">
        <f t="shared" si="1"/>
        <v>ｇ</v>
      </c>
      <c r="N37" s="175"/>
      <c r="O37" s="149" t="str">
        <f t="shared" si="8"/>
        <v>ｇ</v>
      </c>
      <c r="P37" s="176">
        <f>合数一覧!I31</f>
        <v>0</v>
      </c>
      <c r="Q37" s="203" t="str">
        <f t="shared" si="13"/>
        <v/>
      </c>
      <c r="R37" s="190">
        <f>合数一覧!C31</f>
        <v>0</v>
      </c>
      <c r="S37" s="177">
        <f>IFERROR(合数一覧!J$2*R37/W37, 0)</f>
        <v>0</v>
      </c>
      <c r="T37" s="154" t="str">
        <f t="shared" si="2"/>
        <v>ｇ</v>
      </c>
      <c r="U37" s="175"/>
      <c r="V37" s="149" t="str">
        <f t="shared" si="9"/>
        <v>ｇ</v>
      </c>
      <c r="W37" s="176">
        <f>合数一覧!L31</f>
        <v>0</v>
      </c>
      <c r="X37" s="203" t="str">
        <f t="shared" si="14"/>
        <v/>
      </c>
      <c r="Y37" s="173">
        <f>合数一覧!C31</f>
        <v>0</v>
      </c>
      <c r="Z37" s="177">
        <f>IFERROR(合数一覧!M$2*Y37/AD37, 0)</f>
        <v>0</v>
      </c>
      <c r="AA37" s="154" t="str">
        <f t="shared" si="3"/>
        <v>ｇ</v>
      </c>
      <c r="AB37" s="175"/>
      <c r="AC37" s="149" t="str">
        <f t="shared" si="10"/>
        <v>ｇ</v>
      </c>
      <c r="AD37" s="176">
        <f>合数一覧!O31</f>
        <v>0</v>
      </c>
      <c r="AE37" s="203" t="str">
        <f t="shared" si="15"/>
        <v/>
      </c>
      <c r="AF37" s="190">
        <v>0</v>
      </c>
      <c r="AG37" s="177">
        <f>IFERROR(合数一覧!P$2*AF37/AK37, 0)</f>
        <v>0</v>
      </c>
      <c r="AH37" s="154" t="str">
        <f t="shared" si="4"/>
        <v>ｇ</v>
      </c>
      <c r="AI37" s="175"/>
      <c r="AJ37" s="149" t="str">
        <f t="shared" si="11"/>
        <v>ｇ</v>
      </c>
      <c r="AK37" s="176">
        <f>合数一覧!R31</f>
        <v>0</v>
      </c>
      <c r="AL37" s="207" t="str">
        <f t="shared" si="16"/>
        <v/>
      </c>
      <c r="AM37" s="230">
        <f>合数一覧!C31</f>
        <v>0</v>
      </c>
      <c r="AN37" s="177">
        <f>IFERROR(合数一覧!S$2*AM37/AR37, 0)</f>
        <v>0</v>
      </c>
      <c r="AO37" s="149" t="str">
        <f t="shared" si="5"/>
        <v>ｇ</v>
      </c>
      <c r="AP37" s="175"/>
      <c r="AQ37" s="149" t="str">
        <f t="shared" si="12"/>
        <v>ｇ</v>
      </c>
      <c r="AR37" s="176">
        <f>合数一覧!U31</f>
        <v>0</v>
      </c>
    </row>
    <row r="38" spans="1:44" ht="35.1" customHeight="1">
      <c r="A38" s="203"/>
      <c r="B38" s="190">
        <f>合数一覧!C32</f>
        <v>0</v>
      </c>
      <c r="C38" s="177">
        <f>IFERROR((合数一覧!D$2*B38)/I38, 0)</f>
        <v>0</v>
      </c>
      <c r="D38" s="149" t="str">
        <f t="shared" si="6"/>
        <v>g</v>
      </c>
      <c r="E38" s="170">
        <f t="shared" si="19"/>
        <v>0</v>
      </c>
      <c r="F38" s="174" t="str">
        <f t="shared" si="0"/>
        <v>g</v>
      </c>
      <c r="G38" s="175">
        <f t="shared" si="20"/>
        <v>0</v>
      </c>
      <c r="H38" s="149" t="str">
        <f t="shared" si="7"/>
        <v>g</v>
      </c>
      <c r="I38" s="176">
        <f>合数一覧!F32</f>
        <v>0</v>
      </c>
      <c r="J38" s="203" t="str">
        <f t="shared" si="17"/>
        <v/>
      </c>
      <c r="K38" s="190">
        <f>合数一覧!C32</f>
        <v>0</v>
      </c>
      <c r="L38" s="177">
        <f>IFERROR(合数一覧!G$2*K38/P38, 0)</f>
        <v>0</v>
      </c>
      <c r="M38" s="154" t="str">
        <f t="shared" si="1"/>
        <v>ｇ</v>
      </c>
      <c r="N38" s="175"/>
      <c r="O38" s="149" t="str">
        <f t="shared" si="8"/>
        <v>ｇ</v>
      </c>
      <c r="P38" s="176">
        <f>合数一覧!I32</f>
        <v>0</v>
      </c>
      <c r="Q38" s="203" t="str">
        <f t="shared" si="13"/>
        <v/>
      </c>
      <c r="R38" s="190">
        <f>合数一覧!C32</f>
        <v>0</v>
      </c>
      <c r="S38" s="177">
        <f>IFERROR(合数一覧!J$2*R38/W38, 0)</f>
        <v>0</v>
      </c>
      <c r="T38" s="154" t="str">
        <f t="shared" si="2"/>
        <v>ｇ</v>
      </c>
      <c r="U38" s="175"/>
      <c r="V38" s="149" t="str">
        <f t="shared" si="9"/>
        <v>ｇ</v>
      </c>
      <c r="W38" s="176">
        <f>合数一覧!L32</f>
        <v>0</v>
      </c>
      <c r="X38" s="203" t="str">
        <f t="shared" si="14"/>
        <v/>
      </c>
      <c r="Y38" s="173">
        <f>合数一覧!C32</f>
        <v>0</v>
      </c>
      <c r="Z38" s="177">
        <f>IFERROR(合数一覧!M$2*Y38/AD38, 0)</f>
        <v>0</v>
      </c>
      <c r="AA38" s="154" t="str">
        <f t="shared" si="3"/>
        <v>ｇ</v>
      </c>
      <c r="AB38" s="175"/>
      <c r="AC38" s="149" t="str">
        <f t="shared" si="10"/>
        <v>ｇ</v>
      </c>
      <c r="AD38" s="176">
        <f>合数一覧!O32</f>
        <v>0</v>
      </c>
      <c r="AE38" s="203" t="str">
        <f t="shared" si="15"/>
        <v/>
      </c>
      <c r="AF38" s="190">
        <v>0</v>
      </c>
      <c r="AG38" s="177">
        <f>IFERROR(合数一覧!P$2*AF38/AK38, 0)</f>
        <v>0</v>
      </c>
      <c r="AH38" s="154" t="str">
        <f t="shared" si="4"/>
        <v>ｇ</v>
      </c>
      <c r="AI38" s="175"/>
      <c r="AJ38" s="149" t="str">
        <f t="shared" si="11"/>
        <v>ｇ</v>
      </c>
      <c r="AK38" s="176">
        <f>合数一覧!R32</f>
        <v>0</v>
      </c>
      <c r="AL38" s="207" t="str">
        <f t="shared" si="16"/>
        <v/>
      </c>
      <c r="AM38" s="230">
        <f>合数一覧!C32</f>
        <v>0</v>
      </c>
      <c r="AN38" s="177">
        <f>IFERROR(合数一覧!S$2*AM38/AR38, 0)</f>
        <v>0</v>
      </c>
      <c r="AO38" s="149" t="str">
        <f t="shared" si="5"/>
        <v>ｇ</v>
      </c>
      <c r="AP38" s="175"/>
      <c r="AQ38" s="149" t="str">
        <f t="shared" si="12"/>
        <v>ｇ</v>
      </c>
      <c r="AR38" s="176">
        <f>合数一覧!U32</f>
        <v>0</v>
      </c>
    </row>
    <row r="39" spans="1:44" ht="35.1" customHeight="1">
      <c r="A39" s="203"/>
      <c r="B39" s="190">
        <f>合数一覧!C33</f>
        <v>0</v>
      </c>
      <c r="C39" s="177">
        <f>IFERROR((合数一覧!D$2*B39)/I39, 0)</f>
        <v>0</v>
      </c>
      <c r="D39" s="149" t="str">
        <f t="shared" si="6"/>
        <v>g</v>
      </c>
      <c r="E39" s="170">
        <f t="shared" si="19"/>
        <v>0</v>
      </c>
      <c r="F39" s="174" t="str">
        <f t="shared" si="0"/>
        <v>g</v>
      </c>
      <c r="G39" s="175">
        <f t="shared" si="20"/>
        <v>0</v>
      </c>
      <c r="H39" s="149" t="str">
        <f t="shared" si="7"/>
        <v>g</v>
      </c>
      <c r="I39" s="176">
        <f>合数一覧!F33</f>
        <v>0</v>
      </c>
      <c r="J39" s="203" t="str">
        <f t="shared" si="17"/>
        <v/>
      </c>
      <c r="K39" s="190">
        <f>合数一覧!C33</f>
        <v>0</v>
      </c>
      <c r="L39" s="177">
        <f>IFERROR(合数一覧!G$2*K39/P39, 0)</f>
        <v>0</v>
      </c>
      <c r="M39" s="154" t="str">
        <f t="shared" si="1"/>
        <v>ｇ</v>
      </c>
      <c r="N39" s="175"/>
      <c r="O39" s="149" t="str">
        <f t="shared" si="8"/>
        <v>ｇ</v>
      </c>
      <c r="P39" s="176">
        <f>合数一覧!I33</f>
        <v>0</v>
      </c>
      <c r="Q39" s="203" t="str">
        <f t="shared" si="13"/>
        <v/>
      </c>
      <c r="R39" s="190">
        <f>合数一覧!C33</f>
        <v>0</v>
      </c>
      <c r="S39" s="177">
        <f>IFERROR(合数一覧!J$2*R39/W39, 0)</f>
        <v>0</v>
      </c>
      <c r="T39" s="154" t="str">
        <f t="shared" si="2"/>
        <v>ｇ</v>
      </c>
      <c r="U39" s="175"/>
      <c r="V39" s="149" t="str">
        <f t="shared" si="9"/>
        <v>ｇ</v>
      </c>
      <c r="W39" s="176">
        <f>合数一覧!L33</f>
        <v>0</v>
      </c>
      <c r="X39" s="203" t="str">
        <f t="shared" si="14"/>
        <v/>
      </c>
      <c r="Y39" s="173">
        <f>合数一覧!C33</f>
        <v>0</v>
      </c>
      <c r="Z39" s="177">
        <f>IFERROR(合数一覧!M$2*Y39/AD39, 0)</f>
        <v>0</v>
      </c>
      <c r="AA39" s="154" t="str">
        <f t="shared" si="3"/>
        <v>ｇ</v>
      </c>
      <c r="AB39" s="175"/>
      <c r="AC39" s="149" t="str">
        <f t="shared" si="10"/>
        <v>ｇ</v>
      </c>
      <c r="AD39" s="176">
        <f>合数一覧!O33</f>
        <v>0</v>
      </c>
      <c r="AE39" s="203" t="str">
        <f t="shared" si="15"/>
        <v/>
      </c>
      <c r="AF39" s="190">
        <v>0</v>
      </c>
      <c r="AG39" s="177">
        <f>IFERROR(合数一覧!P$2*AF39/AK39, 0)</f>
        <v>0</v>
      </c>
      <c r="AH39" s="154" t="str">
        <f t="shared" si="4"/>
        <v>ｇ</v>
      </c>
      <c r="AI39" s="175"/>
      <c r="AJ39" s="149" t="str">
        <f t="shared" si="11"/>
        <v>ｇ</v>
      </c>
      <c r="AK39" s="176">
        <f>合数一覧!R33</f>
        <v>0</v>
      </c>
      <c r="AL39" s="207" t="str">
        <f t="shared" si="16"/>
        <v/>
      </c>
      <c r="AM39" s="230">
        <f>合数一覧!C33</f>
        <v>0</v>
      </c>
      <c r="AN39" s="177">
        <f>IFERROR(合数一覧!S$2*AM39/AR39, 0)</f>
        <v>0</v>
      </c>
      <c r="AO39" s="149" t="str">
        <f t="shared" si="5"/>
        <v>ｇ</v>
      </c>
      <c r="AP39" s="175"/>
      <c r="AQ39" s="149" t="str">
        <f t="shared" si="12"/>
        <v>ｇ</v>
      </c>
      <c r="AR39" s="176">
        <f>合数一覧!U33</f>
        <v>0</v>
      </c>
    </row>
    <row r="40" spans="1:44" ht="35.1" customHeight="1">
      <c r="A40" s="203"/>
      <c r="B40" s="190">
        <f>合数一覧!C34</f>
        <v>0</v>
      </c>
      <c r="C40" s="177">
        <f>IFERROR((合数一覧!D$2*B40)/I40, 0)</f>
        <v>0</v>
      </c>
      <c r="D40" s="149" t="str">
        <f t="shared" si="6"/>
        <v>g</v>
      </c>
      <c r="E40" s="170">
        <f t="shared" si="19"/>
        <v>0</v>
      </c>
      <c r="F40" s="174" t="str">
        <f t="shared" si="0"/>
        <v>g</v>
      </c>
      <c r="G40" s="175">
        <f t="shared" si="20"/>
        <v>0</v>
      </c>
      <c r="H40" s="149" t="str">
        <f t="shared" si="7"/>
        <v>g</v>
      </c>
      <c r="I40" s="176">
        <f>合数一覧!F34</f>
        <v>0</v>
      </c>
      <c r="J40" s="203" t="str">
        <f t="shared" si="17"/>
        <v/>
      </c>
      <c r="K40" s="190">
        <f>合数一覧!C34</f>
        <v>0</v>
      </c>
      <c r="L40" s="177">
        <f>IFERROR(合数一覧!G$2*K40/P40, 0)</f>
        <v>0</v>
      </c>
      <c r="M40" s="154" t="str">
        <f t="shared" si="1"/>
        <v>ｇ</v>
      </c>
      <c r="N40" s="175"/>
      <c r="O40" s="149" t="str">
        <f t="shared" si="8"/>
        <v>ｇ</v>
      </c>
      <c r="P40" s="176">
        <f>合数一覧!I34</f>
        <v>0</v>
      </c>
      <c r="Q40" s="203" t="str">
        <f t="shared" si="13"/>
        <v/>
      </c>
      <c r="R40" s="190">
        <f>合数一覧!C34</f>
        <v>0</v>
      </c>
      <c r="S40" s="177">
        <f>IFERROR(合数一覧!J$2*R40/W40, 0)</f>
        <v>0</v>
      </c>
      <c r="T40" s="154" t="str">
        <f t="shared" si="2"/>
        <v>ｇ</v>
      </c>
      <c r="U40" s="175"/>
      <c r="V40" s="149" t="str">
        <f t="shared" si="9"/>
        <v>ｇ</v>
      </c>
      <c r="W40" s="176">
        <f>合数一覧!L34</f>
        <v>0</v>
      </c>
      <c r="X40" s="203" t="str">
        <f t="shared" si="14"/>
        <v/>
      </c>
      <c r="Y40" s="173">
        <f>合数一覧!C34</f>
        <v>0</v>
      </c>
      <c r="Z40" s="177">
        <f>IFERROR(合数一覧!M$2*Y40/AD40, 0)</f>
        <v>0</v>
      </c>
      <c r="AA40" s="154" t="str">
        <f t="shared" si="3"/>
        <v>ｇ</v>
      </c>
      <c r="AB40" s="175"/>
      <c r="AC40" s="149" t="str">
        <f t="shared" si="10"/>
        <v>ｇ</v>
      </c>
      <c r="AD40" s="176">
        <f>合数一覧!O34</f>
        <v>0</v>
      </c>
      <c r="AE40" s="203" t="str">
        <f t="shared" si="15"/>
        <v/>
      </c>
      <c r="AF40" s="190">
        <v>0</v>
      </c>
      <c r="AG40" s="177">
        <f>IFERROR(合数一覧!P$2*AF40/AK40, 0)</f>
        <v>0</v>
      </c>
      <c r="AH40" s="154" t="str">
        <f t="shared" si="4"/>
        <v>ｇ</v>
      </c>
      <c r="AI40" s="175"/>
      <c r="AJ40" s="149" t="str">
        <f t="shared" si="11"/>
        <v>ｇ</v>
      </c>
      <c r="AK40" s="176">
        <f>合数一覧!R34</f>
        <v>0</v>
      </c>
      <c r="AL40" s="207" t="str">
        <f t="shared" si="16"/>
        <v/>
      </c>
      <c r="AM40" s="230">
        <f>合数一覧!C34</f>
        <v>0</v>
      </c>
      <c r="AN40" s="177">
        <f>IFERROR(合数一覧!S$2*AM40/AR40, 0)</f>
        <v>0</v>
      </c>
      <c r="AO40" s="149" t="str">
        <f t="shared" si="5"/>
        <v>ｇ</v>
      </c>
      <c r="AP40" s="175"/>
      <c r="AQ40" s="149" t="str">
        <f t="shared" si="12"/>
        <v>ｇ</v>
      </c>
      <c r="AR40" s="176">
        <f>合数一覧!U34</f>
        <v>0</v>
      </c>
    </row>
    <row r="41" spans="1:44" ht="35.1" customHeight="1">
      <c r="A41" s="203"/>
      <c r="B41" s="190">
        <f>合数一覧!C35</f>
        <v>0</v>
      </c>
      <c r="C41" s="177">
        <f>IFERROR((合数一覧!D$2*B41)/I41, 0)</f>
        <v>0</v>
      </c>
      <c r="D41" s="149" t="str">
        <f t="shared" si="6"/>
        <v>g</v>
      </c>
      <c r="E41" s="170">
        <f t="shared" si="19"/>
        <v>0</v>
      </c>
      <c r="F41" s="174" t="str">
        <f t="shared" si="0"/>
        <v>g</v>
      </c>
      <c r="G41" s="175">
        <f t="shared" si="20"/>
        <v>0</v>
      </c>
      <c r="H41" s="149" t="str">
        <f t="shared" si="7"/>
        <v>g</v>
      </c>
      <c r="I41" s="176">
        <f>合数一覧!F35</f>
        <v>0</v>
      </c>
      <c r="J41" s="203" t="str">
        <f t="shared" si="17"/>
        <v/>
      </c>
      <c r="K41" s="190">
        <f>合数一覧!C35</f>
        <v>0</v>
      </c>
      <c r="L41" s="177">
        <f>IFERROR(合数一覧!G$2*K41/P41, 0)</f>
        <v>0</v>
      </c>
      <c r="M41" s="154" t="str">
        <f t="shared" si="1"/>
        <v>ｇ</v>
      </c>
      <c r="N41" s="175"/>
      <c r="O41" s="149" t="str">
        <f t="shared" si="8"/>
        <v>ｇ</v>
      </c>
      <c r="P41" s="176">
        <f>合数一覧!I35</f>
        <v>0</v>
      </c>
      <c r="Q41" s="203" t="str">
        <f t="shared" si="13"/>
        <v/>
      </c>
      <c r="R41" s="190">
        <f>合数一覧!C35</f>
        <v>0</v>
      </c>
      <c r="S41" s="177">
        <f>IFERROR(合数一覧!J$2*R41/W41, 0)</f>
        <v>0</v>
      </c>
      <c r="T41" s="154" t="str">
        <f t="shared" si="2"/>
        <v>ｇ</v>
      </c>
      <c r="U41" s="175"/>
      <c r="V41" s="149" t="str">
        <f t="shared" si="9"/>
        <v>ｇ</v>
      </c>
      <c r="W41" s="176">
        <f>合数一覧!L35</f>
        <v>0</v>
      </c>
      <c r="X41" s="203" t="str">
        <f t="shared" si="14"/>
        <v/>
      </c>
      <c r="Y41" s="173">
        <f>合数一覧!C35</f>
        <v>0</v>
      </c>
      <c r="Z41" s="177">
        <f>IFERROR(合数一覧!M$2*Y41/AD41, 0)</f>
        <v>0</v>
      </c>
      <c r="AA41" s="154" t="str">
        <f t="shared" si="3"/>
        <v>ｇ</v>
      </c>
      <c r="AB41" s="175"/>
      <c r="AC41" s="149" t="str">
        <f t="shared" si="10"/>
        <v>ｇ</v>
      </c>
      <c r="AD41" s="176">
        <f>合数一覧!O35</f>
        <v>0</v>
      </c>
      <c r="AE41" s="203" t="str">
        <f t="shared" si="15"/>
        <v/>
      </c>
      <c r="AF41" s="190">
        <v>0</v>
      </c>
      <c r="AG41" s="177">
        <f>IFERROR(合数一覧!P$2*AF41/AK41, 0)</f>
        <v>0</v>
      </c>
      <c r="AH41" s="154" t="str">
        <f t="shared" si="4"/>
        <v>ｇ</v>
      </c>
      <c r="AI41" s="175"/>
      <c r="AJ41" s="149" t="str">
        <f t="shared" si="11"/>
        <v>ｇ</v>
      </c>
      <c r="AK41" s="176">
        <f>合数一覧!R35</f>
        <v>0</v>
      </c>
      <c r="AL41" s="207" t="str">
        <f t="shared" si="16"/>
        <v/>
      </c>
      <c r="AM41" s="230">
        <f>合数一覧!C35</f>
        <v>0</v>
      </c>
      <c r="AN41" s="177">
        <f>IFERROR(合数一覧!S$2*AM41/AR41, 0)</f>
        <v>0</v>
      </c>
      <c r="AO41" s="149" t="str">
        <f t="shared" si="5"/>
        <v>ｇ</v>
      </c>
      <c r="AP41" s="175"/>
      <c r="AQ41" s="149" t="str">
        <f t="shared" si="12"/>
        <v>ｇ</v>
      </c>
      <c r="AR41" s="176">
        <f>合数一覧!U35</f>
        <v>0</v>
      </c>
    </row>
    <row r="42" spans="1:44" ht="35.1" customHeight="1">
      <c r="A42" s="203"/>
      <c r="B42" s="190">
        <f>合数一覧!C36</f>
        <v>0</v>
      </c>
      <c r="C42" s="177">
        <f>IFERROR((合数一覧!D$2*B42)/I42, 0)</f>
        <v>0</v>
      </c>
      <c r="D42" s="149" t="str">
        <f t="shared" si="6"/>
        <v>g</v>
      </c>
      <c r="E42" s="170">
        <f t="shared" si="19"/>
        <v>0</v>
      </c>
      <c r="F42" s="174" t="str">
        <f t="shared" si="0"/>
        <v>g</v>
      </c>
      <c r="G42" s="175">
        <f t="shared" si="20"/>
        <v>0</v>
      </c>
      <c r="H42" s="149" t="str">
        <f t="shared" si="7"/>
        <v>g</v>
      </c>
      <c r="I42" s="176">
        <f>合数一覧!F36</f>
        <v>0</v>
      </c>
      <c r="J42" s="203" t="str">
        <f t="shared" si="17"/>
        <v/>
      </c>
      <c r="K42" s="190">
        <f>合数一覧!C36</f>
        <v>0</v>
      </c>
      <c r="L42" s="177">
        <f>IFERROR(合数一覧!G$2*K42/P42, 0)</f>
        <v>0</v>
      </c>
      <c r="M42" s="154" t="str">
        <f t="shared" si="1"/>
        <v>ｇ</v>
      </c>
      <c r="N42" s="175"/>
      <c r="O42" s="149" t="str">
        <f t="shared" si="8"/>
        <v>ｇ</v>
      </c>
      <c r="P42" s="176">
        <f>合数一覧!I36</f>
        <v>0</v>
      </c>
      <c r="Q42" s="203" t="str">
        <f t="shared" si="13"/>
        <v/>
      </c>
      <c r="R42" s="190">
        <f>合数一覧!C36</f>
        <v>0</v>
      </c>
      <c r="S42" s="177">
        <f>IFERROR(合数一覧!J$2*R42/W42, 0)</f>
        <v>0</v>
      </c>
      <c r="T42" s="154" t="str">
        <f t="shared" si="2"/>
        <v>ｇ</v>
      </c>
      <c r="U42" s="175"/>
      <c r="V42" s="149" t="str">
        <f t="shared" si="9"/>
        <v>ｇ</v>
      </c>
      <c r="W42" s="176">
        <f>合数一覧!L36</f>
        <v>0</v>
      </c>
      <c r="X42" s="203" t="str">
        <f t="shared" si="14"/>
        <v/>
      </c>
      <c r="Y42" s="173">
        <f>合数一覧!C36</f>
        <v>0</v>
      </c>
      <c r="Z42" s="177">
        <f>IFERROR(合数一覧!M$2*Y42/AD42, 0)</f>
        <v>0</v>
      </c>
      <c r="AA42" s="154" t="str">
        <f t="shared" si="3"/>
        <v>ｇ</v>
      </c>
      <c r="AB42" s="175"/>
      <c r="AC42" s="149" t="str">
        <f t="shared" si="10"/>
        <v>ｇ</v>
      </c>
      <c r="AD42" s="176">
        <f>合数一覧!O36</f>
        <v>0</v>
      </c>
      <c r="AE42" s="203" t="str">
        <f t="shared" si="15"/>
        <v/>
      </c>
      <c r="AF42" s="190">
        <v>0</v>
      </c>
      <c r="AG42" s="177">
        <f>IFERROR(合数一覧!P$2*AF42/AK42, 0)</f>
        <v>0</v>
      </c>
      <c r="AH42" s="154" t="str">
        <f t="shared" si="4"/>
        <v>ｇ</v>
      </c>
      <c r="AI42" s="175"/>
      <c r="AJ42" s="149" t="str">
        <f t="shared" si="11"/>
        <v>ｇ</v>
      </c>
      <c r="AK42" s="176">
        <f>合数一覧!R36</f>
        <v>0</v>
      </c>
      <c r="AL42" s="207" t="str">
        <f t="shared" si="16"/>
        <v/>
      </c>
      <c r="AM42" s="230">
        <f>合数一覧!C36</f>
        <v>0</v>
      </c>
      <c r="AN42" s="177">
        <f>IFERROR(合数一覧!S$2*AM42/AR42, 0)</f>
        <v>0</v>
      </c>
      <c r="AO42" s="149" t="str">
        <f t="shared" si="5"/>
        <v>ｇ</v>
      </c>
      <c r="AP42" s="175"/>
      <c r="AQ42" s="149" t="str">
        <f t="shared" si="12"/>
        <v>ｇ</v>
      </c>
      <c r="AR42" s="176">
        <f>合数一覧!U36</f>
        <v>0</v>
      </c>
    </row>
    <row r="43" spans="1:44" ht="35.1" customHeight="1">
      <c r="A43" s="203"/>
      <c r="B43" s="190">
        <f>合数一覧!C37</f>
        <v>0</v>
      </c>
      <c r="C43" s="177">
        <f>IFERROR((合数一覧!D$2*B43)/I43, 0)</f>
        <v>0</v>
      </c>
      <c r="D43" s="149" t="str">
        <f t="shared" si="6"/>
        <v>g</v>
      </c>
      <c r="E43" s="170">
        <f t="shared" si="19"/>
        <v>0</v>
      </c>
      <c r="F43" s="174" t="str">
        <f t="shared" si="0"/>
        <v>g</v>
      </c>
      <c r="G43" s="175">
        <f t="shared" ref="G43:G57" si="21">(C43+E43)</f>
        <v>0</v>
      </c>
      <c r="H43" s="149" t="str">
        <f t="shared" ref="H43:H57" si="22">F$2</f>
        <v>g</v>
      </c>
      <c r="I43" s="176">
        <f>合数一覧!F37</f>
        <v>0</v>
      </c>
      <c r="J43" s="203" t="str">
        <f t="shared" si="17"/>
        <v/>
      </c>
      <c r="K43" s="190">
        <f>合数一覧!C37</f>
        <v>0</v>
      </c>
      <c r="L43" s="177">
        <f>IFERROR(合数一覧!G$2*K43/P43, 0)</f>
        <v>0</v>
      </c>
      <c r="M43" s="154" t="str">
        <f t="shared" si="1"/>
        <v>ｇ</v>
      </c>
      <c r="N43" s="175"/>
      <c r="O43" s="149" t="str">
        <f t="shared" ref="O43:O57" si="23">M$2</f>
        <v>ｇ</v>
      </c>
      <c r="P43" s="176">
        <f>合数一覧!I37</f>
        <v>0</v>
      </c>
      <c r="Q43" s="203" t="str">
        <f t="shared" si="13"/>
        <v/>
      </c>
      <c r="R43" s="190">
        <f>合数一覧!C37</f>
        <v>0</v>
      </c>
      <c r="S43" s="177">
        <f>IFERROR(合数一覧!J$2*R43/W43, 0)</f>
        <v>0</v>
      </c>
      <c r="T43" s="154" t="str">
        <f t="shared" si="2"/>
        <v>ｇ</v>
      </c>
      <c r="U43" s="175"/>
      <c r="V43" s="149" t="str">
        <f t="shared" ref="V43:V57" si="24">T$2</f>
        <v>ｇ</v>
      </c>
      <c r="W43" s="176">
        <f>合数一覧!L37</f>
        <v>0</v>
      </c>
      <c r="X43" s="203" t="str">
        <f t="shared" si="14"/>
        <v/>
      </c>
      <c r="Y43" s="173">
        <f>合数一覧!C37</f>
        <v>0</v>
      </c>
      <c r="Z43" s="177">
        <f>IFERROR(合数一覧!M$2*Y43/AD43, 0)</f>
        <v>0</v>
      </c>
      <c r="AA43" s="154" t="str">
        <f t="shared" si="3"/>
        <v>ｇ</v>
      </c>
      <c r="AB43" s="175"/>
      <c r="AC43" s="149" t="str">
        <f t="shared" ref="AC43:AC57" si="25">AA$2</f>
        <v>ｇ</v>
      </c>
      <c r="AD43" s="176">
        <f>合数一覧!O37</f>
        <v>0</v>
      </c>
      <c r="AE43" s="203" t="str">
        <f t="shared" si="15"/>
        <v/>
      </c>
      <c r="AF43" s="190">
        <v>0</v>
      </c>
      <c r="AG43" s="177">
        <f>IFERROR(合数一覧!P$2*AF43/AK43, 0)</f>
        <v>0</v>
      </c>
      <c r="AH43" s="154" t="str">
        <f t="shared" si="4"/>
        <v>ｇ</v>
      </c>
      <c r="AI43" s="175"/>
      <c r="AJ43" s="149" t="str">
        <f t="shared" ref="AJ43:AJ57" si="26">AH$2</f>
        <v>ｇ</v>
      </c>
      <c r="AK43" s="176">
        <f>合数一覧!R37</f>
        <v>0</v>
      </c>
      <c r="AL43" s="207" t="str">
        <f t="shared" si="16"/>
        <v/>
      </c>
      <c r="AM43" s="230">
        <f>合数一覧!C37</f>
        <v>0</v>
      </c>
      <c r="AN43" s="177">
        <f>IFERROR(合数一覧!S$2*AM43/AR43, 0)</f>
        <v>0</v>
      </c>
      <c r="AO43" s="149" t="str">
        <f t="shared" si="5"/>
        <v>ｇ</v>
      </c>
      <c r="AP43" s="175"/>
      <c r="AQ43" s="149" t="str">
        <f t="shared" ref="AQ43:AQ57" si="27">AO$2</f>
        <v>ｇ</v>
      </c>
      <c r="AR43" s="176">
        <f>合数一覧!U37</f>
        <v>0</v>
      </c>
    </row>
    <row r="44" spans="1:44" ht="35.1" customHeight="1">
      <c r="A44" s="203"/>
      <c r="B44" s="190">
        <f>合数一覧!C38</f>
        <v>0</v>
      </c>
      <c r="C44" s="177">
        <f>IFERROR((合数一覧!D$2*B44)/I44, 0)</f>
        <v>0</v>
      </c>
      <c r="D44" s="149" t="str">
        <f t="shared" si="6"/>
        <v>g</v>
      </c>
      <c r="E44" s="170">
        <f t="shared" si="19"/>
        <v>0</v>
      </c>
      <c r="F44" s="174" t="str">
        <f t="shared" si="0"/>
        <v>g</v>
      </c>
      <c r="G44" s="175">
        <f t="shared" si="21"/>
        <v>0</v>
      </c>
      <c r="H44" s="149" t="str">
        <f t="shared" si="22"/>
        <v>g</v>
      </c>
      <c r="I44" s="176">
        <f>合数一覧!F38</f>
        <v>0</v>
      </c>
      <c r="J44" s="203" t="str">
        <f t="shared" si="17"/>
        <v/>
      </c>
      <c r="K44" s="190">
        <f>合数一覧!C38</f>
        <v>0</v>
      </c>
      <c r="L44" s="177">
        <f>IFERROR(合数一覧!G$2*K44/P44, 0)</f>
        <v>0</v>
      </c>
      <c r="M44" s="154" t="str">
        <f t="shared" si="1"/>
        <v>ｇ</v>
      </c>
      <c r="N44" s="175"/>
      <c r="O44" s="149" t="str">
        <f t="shared" si="23"/>
        <v>ｇ</v>
      </c>
      <c r="P44" s="176">
        <f>合数一覧!I38</f>
        <v>0</v>
      </c>
      <c r="Q44" s="203" t="str">
        <f t="shared" si="13"/>
        <v/>
      </c>
      <c r="R44" s="190">
        <f>合数一覧!C38</f>
        <v>0</v>
      </c>
      <c r="S44" s="177">
        <f>IFERROR(合数一覧!J$2*R44/W44, 0)</f>
        <v>0</v>
      </c>
      <c r="T44" s="154" t="str">
        <f t="shared" si="2"/>
        <v>ｇ</v>
      </c>
      <c r="U44" s="175"/>
      <c r="V44" s="149" t="str">
        <f t="shared" si="24"/>
        <v>ｇ</v>
      </c>
      <c r="W44" s="176">
        <f>合数一覧!L38</f>
        <v>0</v>
      </c>
      <c r="X44" s="203" t="str">
        <f t="shared" si="14"/>
        <v/>
      </c>
      <c r="Y44" s="173">
        <f>合数一覧!C38</f>
        <v>0</v>
      </c>
      <c r="Z44" s="177">
        <f>IFERROR(合数一覧!M$2*Y44/AD44, 0)</f>
        <v>0</v>
      </c>
      <c r="AA44" s="154" t="str">
        <f t="shared" si="3"/>
        <v>ｇ</v>
      </c>
      <c r="AB44" s="175"/>
      <c r="AC44" s="149" t="str">
        <f t="shared" si="25"/>
        <v>ｇ</v>
      </c>
      <c r="AD44" s="176">
        <f>合数一覧!O38</f>
        <v>0</v>
      </c>
      <c r="AE44" s="203" t="str">
        <f t="shared" si="15"/>
        <v/>
      </c>
      <c r="AF44" s="190">
        <v>0</v>
      </c>
      <c r="AG44" s="177">
        <f>IFERROR(合数一覧!P$2*AF44/AK44, 0)</f>
        <v>0</v>
      </c>
      <c r="AH44" s="154" t="str">
        <f t="shared" si="4"/>
        <v>ｇ</v>
      </c>
      <c r="AI44" s="175"/>
      <c r="AJ44" s="149" t="str">
        <f t="shared" si="26"/>
        <v>ｇ</v>
      </c>
      <c r="AK44" s="176">
        <f>合数一覧!R38</f>
        <v>0</v>
      </c>
      <c r="AL44" s="207" t="str">
        <f t="shared" si="16"/>
        <v/>
      </c>
      <c r="AM44" s="230">
        <f>合数一覧!C38</f>
        <v>0</v>
      </c>
      <c r="AN44" s="177">
        <f>IFERROR(合数一覧!S$2*AM44/AR44, 0)</f>
        <v>0</v>
      </c>
      <c r="AO44" s="149" t="str">
        <f t="shared" si="5"/>
        <v>ｇ</v>
      </c>
      <c r="AP44" s="175"/>
      <c r="AQ44" s="149" t="str">
        <f t="shared" si="27"/>
        <v>ｇ</v>
      </c>
      <c r="AR44" s="176">
        <f>合数一覧!U38</f>
        <v>0</v>
      </c>
    </row>
    <row r="45" spans="1:44" ht="35.1" customHeight="1">
      <c r="A45" s="203"/>
      <c r="B45" s="190">
        <f>合数一覧!C39</f>
        <v>0</v>
      </c>
      <c r="C45" s="177">
        <f>IFERROR((合数一覧!D$2*B45)/I45, 0)</f>
        <v>0</v>
      </c>
      <c r="D45" s="149" t="str">
        <f t="shared" si="6"/>
        <v>g</v>
      </c>
      <c r="E45" s="170">
        <f t="shared" si="19"/>
        <v>0</v>
      </c>
      <c r="F45" s="174" t="str">
        <f t="shared" si="0"/>
        <v>g</v>
      </c>
      <c r="G45" s="175">
        <f t="shared" si="21"/>
        <v>0</v>
      </c>
      <c r="H45" s="149" t="str">
        <f t="shared" si="22"/>
        <v>g</v>
      </c>
      <c r="I45" s="176">
        <f>合数一覧!F39</f>
        <v>0</v>
      </c>
      <c r="J45" s="203" t="str">
        <f t="shared" si="17"/>
        <v/>
      </c>
      <c r="K45" s="190">
        <f>合数一覧!C39</f>
        <v>0</v>
      </c>
      <c r="L45" s="177">
        <f>IFERROR(合数一覧!G$2*K45/P45, 0)</f>
        <v>0</v>
      </c>
      <c r="M45" s="154" t="str">
        <f t="shared" si="1"/>
        <v>ｇ</v>
      </c>
      <c r="N45" s="175"/>
      <c r="O45" s="149" t="str">
        <f t="shared" si="23"/>
        <v>ｇ</v>
      </c>
      <c r="P45" s="176">
        <f>合数一覧!I39</f>
        <v>0</v>
      </c>
      <c r="Q45" s="203" t="str">
        <f t="shared" si="13"/>
        <v/>
      </c>
      <c r="R45" s="190">
        <f>合数一覧!C39</f>
        <v>0</v>
      </c>
      <c r="S45" s="177">
        <f>IFERROR(合数一覧!J$2*R45/W45, 0)</f>
        <v>0</v>
      </c>
      <c r="T45" s="154" t="str">
        <f t="shared" si="2"/>
        <v>ｇ</v>
      </c>
      <c r="U45" s="175"/>
      <c r="V45" s="149" t="str">
        <f t="shared" si="24"/>
        <v>ｇ</v>
      </c>
      <c r="W45" s="176">
        <f>合数一覧!L39</f>
        <v>0</v>
      </c>
      <c r="X45" s="203" t="str">
        <f t="shared" si="14"/>
        <v/>
      </c>
      <c r="Y45" s="173">
        <f>合数一覧!C39</f>
        <v>0</v>
      </c>
      <c r="Z45" s="177">
        <f>IFERROR(合数一覧!M$2*Y45/AD45, 0)</f>
        <v>0</v>
      </c>
      <c r="AA45" s="154" t="str">
        <f t="shared" si="3"/>
        <v>ｇ</v>
      </c>
      <c r="AB45" s="175"/>
      <c r="AC45" s="149" t="str">
        <f t="shared" si="25"/>
        <v>ｇ</v>
      </c>
      <c r="AD45" s="176">
        <f>合数一覧!O39</f>
        <v>0</v>
      </c>
      <c r="AE45" s="203" t="str">
        <f t="shared" si="15"/>
        <v/>
      </c>
      <c r="AF45" s="190">
        <v>0</v>
      </c>
      <c r="AG45" s="177">
        <f>IFERROR(合数一覧!P$2*AF45/AK45, 0)</f>
        <v>0</v>
      </c>
      <c r="AH45" s="154" t="str">
        <f t="shared" si="4"/>
        <v>ｇ</v>
      </c>
      <c r="AI45" s="175"/>
      <c r="AJ45" s="149" t="str">
        <f t="shared" si="26"/>
        <v>ｇ</v>
      </c>
      <c r="AK45" s="176">
        <f>合数一覧!R39</f>
        <v>0</v>
      </c>
      <c r="AL45" s="207" t="str">
        <f t="shared" si="16"/>
        <v/>
      </c>
      <c r="AM45" s="230">
        <f>合数一覧!C39</f>
        <v>0</v>
      </c>
      <c r="AN45" s="177">
        <f>IFERROR(合数一覧!S$2*AM45/AR45, 0)</f>
        <v>0</v>
      </c>
      <c r="AO45" s="149" t="str">
        <f t="shared" si="5"/>
        <v>ｇ</v>
      </c>
      <c r="AP45" s="175"/>
      <c r="AQ45" s="149" t="str">
        <f t="shared" si="27"/>
        <v>ｇ</v>
      </c>
      <c r="AR45" s="176">
        <f>合数一覧!U39</f>
        <v>0</v>
      </c>
    </row>
    <row r="46" spans="1:44" ht="35.1" customHeight="1">
      <c r="A46" s="203"/>
      <c r="B46" s="190">
        <f>合数一覧!C40</f>
        <v>0</v>
      </c>
      <c r="C46" s="177">
        <f>IFERROR((合数一覧!D$2*B46)/I46, 0)</f>
        <v>0</v>
      </c>
      <c r="D46" s="149" t="str">
        <f t="shared" si="6"/>
        <v>g</v>
      </c>
      <c r="E46" s="170">
        <f t="shared" si="19"/>
        <v>0</v>
      </c>
      <c r="F46" s="174" t="str">
        <f t="shared" si="0"/>
        <v>g</v>
      </c>
      <c r="G46" s="175">
        <f t="shared" si="21"/>
        <v>0</v>
      </c>
      <c r="H46" s="149" t="str">
        <f t="shared" si="22"/>
        <v>g</v>
      </c>
      <c r="I46" s="176">
        <f>合数一覧!F40</f>
        <v>0</v>
      </c>
      <c r="J46" s="203" t="str">
        <f t="shared" si="17"/>
        <v/>
      </c>
      <c r="K46" s="190">
        <f>合数一覧!C40</f>
        <v>0</v>
      </c>
      <c r="L46" s="177">
        <f>IFERROR(合数一覧!G$2*K46/P46, 0)</f>
        <v>0</v>
      </c>
      <c r="M46" s="154" t="str">
        <f t="shared" si="1"/>
        <v>ｇ</v>
      </c>
      <c r="N46" s="175"/>
      <c r="O46" s="149" t="str">
        <f t="shared" si="23"/>
        <v>ｇ</v>
      </c>
      <c r="P46" s="176">
        <f>合数一覧!I40</f>
        <v>0</v>
      </c>
      <c r="Q46" s="203" t="str">
        <f t="shared" si="13"/>
        <v/>
      </c>
      <c r="R46" s="190">
        <f>合数一覧!C40</f>
        <v>0</v>
      </c>
      <c r="S46" s="177">
        <f>IFERROR(合数一覧!J$2*R46/W46, 0)</f>
        <v>0</v>
      </c>
      <c r="T46" s="154" t="str">
        <f t="shared" si="2"/>
        <v>ｇ</v>
      </c>
      <c r="U46" s="175"/>
      <c r="V46" s="149" t="str">
        <f t="shared" si="24"/>
        <v>ｇ</v>
      </c>
      <c r="W46" s="176">
        <f>合数一覧!L40</f>
        <v>0</v>
      </c>
      <c r="X46" s="203" t="str">
        <f t="shared" si="14"/>
        <v/>
      </c>
      <c r="Y46" s="173">
        <f>合数一覧!C40</f>
        <v>0</v>
      </c>
      <c r="Z46" s="177">
        <f>IFERROR(合数一覧!M$2*Y46/AD46, 0)</f>
        <v>0</v>
      </c>
      <c r="AA46" s="154" t="str">
        <f t="shared" si="3"/>
        <v>ｇ</v>
      </c>
      <c r="AB46" s="175"/>
      <c r="AC46" s="149" t="str">
        <f t="shared" si="25"/>
        <v>ｇ</v>
      </c>
      <c r="AD46" s="176">
        <f>合数一覧!O40</f>
        <v>0</v>
      </c>
      <c r="AE46" s="203" t="str">
        <f t="shared" si="15"/>
        <v/>
      </c>
      <c r="AF46" s="190">
        <v>0</v>
      </c>
      <c r="AG46" s="177">
        <f>IFERROR(合数一覧!P$2*AF46/AK46, 0)</f>
        <v>0</v>
      </c>
      <c r="AH46" s="154" t="str">
        <f t="shared" si="4"/>
        <v>ｇ</v>
      </c>
      <c r="AI46" s="175"/>
      <c r="AJ46" s="149" t="str">
        <f t="shared" si="26"/>
        <v>ｇ</v>
      </c>
      <c r="AK46" s="176">
        <f>合数一覧!R40</f>
        <v>0</v>
      </c>
      <c r="AL46" s="207" t="str">
        <f t="shared" si="16"/>
        <v/>
      </c>
      <c r="AM46" s="230">
        <f>合数一覧!C40</f>
        <v>0</v>
      </c>
      <c r="AN46" s="177">
        <f>IFERROR(合数一覧!S$2*AM46/AR46, 0)</f>
        <v>0</v>
      </c>
      <c r="AO46" s="149" t="str">
        <f t="shared" si="5"/>
        <v>ｇ</v>
      </c>
      <c r="AP46" s="175"/>
      <c r="AQ46" s="149" t="str">
        <f t="shared" si="27"/>
        <v>ｇ</v>
      </c>
      <c r="AR46" s="176">
        <f>合数一覧!U40</f>
        <v>0</v>
      </c>
    </row>
    <row r="47" spans="1:44" ht="35.1" customHeight="1">
      <c r="A47" s="203"/>
      <c r="B47" s="190">
        <f>合数一覧!C41</f>
        <v>0</v>
      </c>
      <c r="C47" s="177">
        <f>IFERROR((合数一覧!D$2*B47)/I47, 0)</f>
        <v>0</v>
      </c>
      <c r="D47" s="149" t="str">
        <f t="shared" si="6"/>
        <v>g</v>
      </c>
      <c r="E47" s="170">
        <f t="shared" si="19"/>
        <v>0</v>
      </c>
      <c r="F47" s="174" t="str">
        <f t="shared" si="0"/>
        <v>g</v>
      </c>
      <c r="G47" s="175">
        <f t="shared" si="21"/>
        <v>0</v>
      </c>
      <c r="H47" s="149" t="str">
        <f t="shared" si="22"/>
        <v>g</v>
      </c>
      <c r="I47" s="176">
        <f>合数一覧!F41</f>
        <v>0</v>
      </c>
      <c r="J47" s="203" t="str">
        <f t="shared" si="17"/>
        <v/>
      </c>
      <c r="K47" s="190">
        <f>合数一覧!C41</f>
        <v>0</v>
      </c>
      <c r="L47" s="177">
        <f>IFERROR(合数一覧!G$2*K47/P47, 0)</f>
        <v>0</v>
      </c>
      <c r="M47" s="154" t="str">
        <f t="shared" si="1"/>
        <v>ｇ</v>
      </c>
      <c r="N47" s="175"/>
      <c r="O47" s="149" t="str">
        <f t="shared" si="23"/>
        <v>ｇ</v>
      </c>
      <c r="P47" s="176">
        <f>合数一覧!I41</f>
        <v>0</v>
      </c>
      <c r="Q47" s="203" t="str">
        <f t="shared" si="13"/>
        <v/>
      </c>
      <c r="R47" s="190">
        <f>合数一覧!C41</f>
        <v>0</v>
      </c>
      <c r="S47" s="177">
        <f>IFERROR(合数一覧!J$2*R47/W47, 0)</f>
        <v>0</v>
      </c>
      <c r="T47" s="154" t="str">
        <f t="shared" si="2"/>
        <v>ｇ</v>
      </c>
      <c r="U47" s="175"/>
      <c r="V47" s="149" t="str">
        <f t="shared" si="24"/>
        <v>ｇ</v>
      </c>
      <c r="W47" s="176">
        <f>合数一覧!L41</f>
        <v>0</v>
      </c>
      <c r="X47" s="203" t="str">
        <f t="shared" si="14"/>
        <v/>
      </c>
      <c r="Y47" s="173">
        <f>合数一覧!C41</f>
        <v>0</v>
      </c>
      <c r="Z47" s="177">
        <f>IFERROR(合数一覧!M$2*Y47/AD47, 0)</f>
        <v>0</v>
      </c>
      <c r="AA47" s="154" t="str">
        <f t="shared" si="3"/>
        <v>ｇ</v>
      </c>
      <c r="AB47" s="175"/>
      <c r="AC47" s="149" t="str">
        <f t="shared" si="25"/>
        <v>ｇ</v>
      </c>
      <c r="AD47" s="176">
        <f>合数一覧!O41</f>
        <v>0</v>
      </c>
      <c r="AE47" s="203" t="str">
        <f t="shared" si="15"/>
        <v/>
      </c>
      <c r="AF47" s="190">
        <v>0</v>
      </c>
      <c r="AG47" s="177">
        <f>IFERROR(合数一覧!P$2*AF47/AK47, 0)</f>
        <v>0</v>
      </c>
      <c r="AH47" s="154" t="str">
        <f t="shared" si="4"/>
        <v>ｇ</v>
      </c>
      <c r="AI47" s="175"/>
      <c r="AJ47" s="149" t="str">
        <f t="shared" si="26"/>
        <v>ｇ</v>
      </c>
      <c r="AK47" s="176">
        <f>合数一覧!R41</f>
        <v>0</v>
      </c>
      <c r="AL47" s="207" t="str">
        <f t="shared" si="16"/>
        <v/>
      </c>
      <c r="AM47" s="230">
        <f>合数一覧!C41</f>
        <v>0</v>
      </c>
      <c r="AN47" s="177">
        <f>IFERROR(合数一覧!S$2*AM47/AR47, 0)</f>
        <v>0</v>
      </c>
      <c r="AO47" s="149" t="str">
        <f t="shared" si="5"/>
        <v>ｇ</v>
      </c>
      <c r="AP47" s="175"/>
      <c r="AQ47" s="149" t="str">
        <f t="shared" si="27"/>
        <v>ｇ</v>
      </c>
      <c r="AR47" s="176">
        <f>合数一覧!U41</f>
        <v>0</v>
      </c>
    </row>
    <row r="48" spans="1:44" ht="35.1" customHeight="1">
      <c r="A48" s="203"/>
      <c r="B48" s="190">
        <f>合数一覧!C42</f>
        <v>0</v>
      </c>
      <c r="C48" s="177">
        <f>IFERROR((合数一覧!D$2*B48)/I48, 0)</f>
        <v>0</v>
      </c>
      <c r="D48" s="149" t="str">
        <f t="shared" si="6"/>
        <v>g</v>
      </c>
      <c r="E48" s="170">
        <f t="shared" si="19"/>
        <v>0</v>
      </c>
      <c r="F48" s="174" t="str">
        <f t="shared" si="0"/>
        <v>g</v>
      </c>
      <c r="G48" s="175">
        <f t="shared" si="21"/>
        <v>0</v>
      </c>
      <c r="H48" s="149" t="str">
        <f t="shared" si="22"/>
        <v>g</v>
      </c>
      <c r="I48" s="176">
        <f>合数一覧!F42</f>
        <v>0</v>
      </c>
      <c r="J48" s="203" t="str">
        <f t="shared" si="17"/>
        <v/>
      </c>
      <c r="K48" s="190">
        <f>合数一覧!C42</f>
        <v>0</v>
      </c>
      <c r="L48" s="177">
        <f>IFERROR(合数一覧!G$2*K48/P48, 0)</f>
        <v>0</v>
      </c>
      <c r="M48" s="154" t="str">
        <f t="shared" si="1"/>
        <v>ｇ</v>
      </c>
      <c r="N48" s="175"/>
      <c r="O48" s="149" t="str">
        <f t="shared" si="23"/>
        <v>ｇ</v>
      </c>
      <c r="P48" s="176">
        <f>合数一覧!I42</f>
        <v>0</v>
      </c>
      <c r="Q48" s="203" t="str">
        <f t="shared" si="13"/>
        <v/>
      </c>
      <c r="R48" s="190">
        <f>合数一覧!C42</f>
        <v>0</v>
      </c>
      <c r="S48" s="177">
        <f>IFERROR(合数一覧!J$2*R48/W48, 0)</f>
        <v>0</v>
      </c>
      <c r="T48" s="154" t="str">
        <f t="shared" si="2"/>
        <v>ｇ</v>
      </c>
      <c r="U48" s="175"/>
      <c r="V48" s="149" t="str">
        <f t="shared" si="24"/>
        <v>ｇ</v>
      </c>
      <c r="W48" s="176">
        <f>合数一覧!L42</f>
        <v>0</v>
      </c>
      <c r="X48" s="203" t="str">
        <f t="shared" si="14"/>
        <v/>
      </c>
      <c r="Y48" s="173">
        <f>合数一覧!C42</f>
        <v>0</v>
      </c>
      <c r="Z48" s="177">
        <f>IFERROR(合数一覧!M$2*Y48/AD48, 0)</f>
        <v>0</v>
      </c>
      <c r="AA48" s="154" t="str">
        <f t="shared" si="3"/>
        <v>ｇ</v>
      </c>
      <c r="AB48" s="175"/>
      <c r="AC48" s="149" t="str">
        <f t="shared" si="25"/>
        <v>ｇ</v>
      </c>
      <c r="AD48" s="176">
        <f>合数一覧!O42</f>
        <v>0</v>
      </c>
      <c r="AE48" s="203" t="str">
        <f t="shared" si="15"/>
        <v/>
      </c>
      <c r="AF48" s="190">
        <v>0</v>
      </c>
      <c r="AG48" s="177">
        <f>IFERROR(合数一覧!P$2*AF48/AK48, 0)</f>
        <v>0</v>
      </c>
      <c r="AH48" s="154" t="str">
        <f t="shared" si="4"/>
        <v>ｇ</v>
      </c>
      <c r="AI48" s="175"/>
      <c r="AJ48" s="149" t="str">
        <f t="shared" si="26"/>
        <v>ｇ</v>
      </c>
      <c r="AK48" s="176">
        <f>合数一覧!R42</f>
        <v>0</v>
      </c>
      <c r="AL48" s="207" t="str">
        <f t="shared" si="16"/>
        <v/>
      </c>
      <c r="AM48" s="230">
        <f>合数一覧!C42</f>
        <v>0</v>
      </c>
      <c r="AN48" s="177">
        <f>IFERROR(合数一覧!S$2*AM48/AR48, 0)</f>
        <v>0</v>
      </c>
      <c r="AO48" s="149" t="str">
        <f t="shared" si="5"/>
        <v>ｇ</v>
      </c>
      <c r="AP48" s="175"/>
      <c r="AQ48" s="149" t="str">
        <f t="shared" si="27"/>
        <v>ｇ</v>
      </c>
      <c r="AR48" s="176">
        <f>合数一覧!U42</f>
        <v>0</v>
      </c>
    </row>
    <row r="49" spans="1:44" ht="35.1" customHeight="1">
      <c r="A49" s="203"/>
      <c r="B49" s="190">
        <f>合数一覧!C43</f>
        <v>0</v>
      </c>
      <c r="C49" s="177">
        <f>IFERROR((合数一覧!D$2*B49)/I49, 0)</f>
        <v>0</v>
      </c>
      <c r="D49" s="149" t="str">
        <f t="shared" si="6"/>
        <v>g</v>
      </c>
      <c r="E49" s="170">
        <f t="shared" si="19"/>
        <v>0</v>
      </c>
      <c r="F49" s="174" t="str">
        <f t="shared" si="0"/>
        <v>g</v>
      </c>
      <c r="G49" s="175">
        <f t="shared" si="21"/>
        <v>0</v>
      </c>
      <c r="H49" s="149" t="str">
        <f t="shared" si="22"/>
        <v>g</v>
      </c>
      <c r="I49" s="176">
        <f>合数一覧!F43</f>
        <v>0</v>
      </c>
      <c r="J49" s="203" t="str">
        <f t="shared" si="17"/>
        <v/>
      </c>
      <c r="K49" s="190">
        <f>合数一覧!C43</f>
        <v>0</v>
      </c>
      <c r="L49" s="177">
        <f>IFERROR(合数一覧!G$2*K49/P49, 0)</f>
        <v>0</v>
      </c>
      <c r="M49" s="154" t="str">
        <f t="shared" si="1"/>
        <v>ｇ</v>
      </c>
      <c r="N49" s="175"/>
      <c r="O49" s="149" t="str">
        <f t="shared" si="23"/>
        <v>ｇ</v>
      </c>
      <c r="P49" s="176">
        <f>合数一覧!I43</f>
        <v>0</v>
      </c>
      <c r="Q49" s="203" t="str">
        <f t="shared" si="13"/>
        <v/>
      </c>
      <c r="R49" s="190">
        <f>合数一覧!C43</f>
        <v>0</v>
      </c>
      <c r="S49" s="177">
        <f>IFERROR(合数一覧!J$2*R49/W49, 0)</f>
        <v>0</v>
      </c>
      <c r="T49" s="154" t="str">
        <f t="shared" si="2"/>
        <v>ｇ</v>
      </c>
      <c r="U49" s="175"/>
      <c r="V49" s="149" t="str">
        <f t="shared" si="24"/>
        <v>ｇ</v>
      </c>
      <c r="W49" s="176">
        <f>合数一覧!L43</f>
        <v>0</v>
      </c>
      <c r="X49" s="203" t="str">
        <f t="shared" si="14"/>
        <v/>
      </c>
      <c r="Y49" s="173">
        <f>合数一覧!C43</f>
        <v>0</v>
      </c>
      <c r="Z49" s="177">
        <f>IFERROR(合数一覧!M$2*Y49/AD49, 0)</f>
        <v>0</v>
      </c>
      <c r="AA49" s="154" t="str">
        <f t="shared" si="3"/>
        <v>ｇ</v>
      </c>
      <c r="AB49" s="175"/>
      <c r="AC49" s="149" t="str">
        <f t="shared" si="25"/>
        <v>ｇ</v>
      </c>
      <c r="AD49" s="176">
        <f>合数一覧!O43</f>
        <v>0</v>
      </c>
      <c r="AE49" s="203" t="str">
        <f t="shared" si="15"/>
        <v/>
      </c>
      <c r="AF49" s="190">
        <v>0</v>
      </c>
      <c r="AG49" s="177">
        <f>IFERROR(合数一覧!P$2*AF49/AK49, 0)</f>
        <v>0</v>
      </c>
      <c r="AH49" s="154" t="str">
        <f t="shared" si="4"/>
        <v>ｇ</v>
      </c>
      <c r="AI49" s="175"/>
      <c r="AJ49" s="149" t="str">
        <f t="shared" si="26"/>
        <v>ｇ</v>
      </c>
      <c r="AK49" s="176">
        <f>合数一覧!R43</f>
        <v>0</v>
      </c>
      <c r="AL49" s="207" t="str">
        <f t="shared" si="16"/>
        <v/>
      </c>
      <c r="AM49" s="230">
        <f>合数一覧!C43</f>
        <v>0</v>
      </c>
      <c r="AN49" s="177">
        <f>IFERROR(合数一覧!S$2*AM49/AR49, 0)</f>
        <v>0</v>
      </c>
      <c r="AO49" s="149" t="str">
        <f t="shared" si="5"/>
        <v>ｇ</v>
      </c>
      <c r="AP49" s="175"/>
      <c r="AQ49" s="149" t="str">
        <f t="shared" si="27"/>
        <v>ｇ</v>
      </c>
      <c r="AR49" s="176">
        <f>合数一覧!U43</f>
        <v>0</v>
      </c>
    </row>
    <row r="50" spans="1:44" ht="35.1" customHeight="1">
      <c r="A50" s="203"/>
      <c r="B50" s="190">
        <f>合数一覧!C44</f>
        <v>0</v>
      </c>
      <c r="C50" s="177">
        <f>IFERROR((合数一覧!D$2*B50)/I50, 0)</f>
        <v>0</v>
      </c>
      <c r="D50" s="149" t="str">
        <f t="shared" si="6"/>
        <v>g</v>
      </c>
      <c r="E50" s="170">
        <f t="shared" si="19"/>
        <v>0</v>
      </c>
      <c r="F50" s="174" t="str">
        <f t="shared" si="0"/>
        <v>g</v>
      </c>
      <c r="G50" s="175">
        <f t="shared" si="21"/>
        <v>0</v>
      </c>
      <c r="H50" s="149" t="str">
        <f t="shared" si="22"/>
        <v>g</v>
      </c>
      <c r="I50" s="176">
        <f>合数一覧!F44</f>
        <v>0</v>
      </c>
      <c r="J50" s="203" t="str">
        <f t="shared" si="17"/>
        <v/>
      </c>
      <c r="K50" s="190">
        <f>合数一覧!C44</f>
        <v>0</v>
      </c>
      <c r="L50" s="177">
        <f>IFERROR(合数一覧!G$2*K50/P50, 0)</f>
        <v>0</v>
      </c>
      <c r="M50" s="154" t="str">
        <f t="shared" si="1"/>
        <v>ｇ</v>
      </c>
      <c r="N50" s="175"/>
      <c r="O50" s="149" t="str">
        <f t="shared" si="23"/>
        <v>ｇ</v>
      </c>
      <c r="P50" s="176">
        <f>合数一覧!I44</f>
        <v>0</v>
      </c>
      <c r="Q50" s="203" t="str">
        <f t="shared" si="13"/>
        <v/>
      </c>
      <c r="R50" s="190">
        <f>合数一覧!C44</f>
        <v>0</v>
      </c>
      <c r="S50" s="177">
        <f>IFERROR(合数一覧!J$2*R50/W50, 0)</f>
        <v>0</v>
      </c>
      <c r="T50" s="154" t="str">
        <f t="shared" si="2"/>
        <v>ｇ</v>
      </c>
      <c r="U50" s="175"/>
      <c r="V50" s="149" t="str">
        <f t="shared" si="24"/>
        <v>ｇ</v>
      </c>
      <c r="W50" s="176">
        <f>合数一覧!L44</f>
        <v>0</v>
      </c>
      <c r="X50" s="203" t="str">
        <f t="shared" si="14"/>
        <v/>
      </c>
      <c r="Y50" s="173">
        <f>合数一覧!C44</f>
        <v>0</v>
      </c>
      <c r="Z50" s="177">
        <f>IFERROR(合数一覧!M$2*Y50/AD50, 0)</f>
        <v>0</v>
      </c>
      <c r="AA50" s="154" t="str">
        <f t="shared" si="3"/>
        <v>ｇ</v>
      </c>
      <c r="AB50" s="175"/>
      <c r="AC50" s="149" t="str">
        <f t="shared" si="25"/>
        <v>ｇ</v>
      </c>
      <c r="AD50" s="176">
        <f>合数一覧!O44</f>
        <v>0</v>
      </c>
      <c r="AE50" s="203" t="str">
        <f t="shared" si="15"/>
        <v/>
      </c>
      <c r="AF50" s="190">
        <v>0</v>
      </c>
      <c r="AG50" s="177">
        <f>IFERROR(合数一覧!P$2*AF50/AK50, 0)</f>
        <v>0</v>
      </c>
      <c r="AH50" s="154" t="str">
        <f t="shared" si="4"/>
        <v>ｇ</v>
      </c>
      <c r="AI50" s="175"/>
      <c r="AJ50" s="149" t="str">
        <f t="shared" si="26"/>
        <v>ｇ</v>
      </c>
      <c r="AK50" s="176">
        <f>合数一覧!R44</f>
        <v>0</v>
      </c>
      <c r="AL50" s="207" t="str">
        <f t="shared" si="16"/>
        <v/>
      </c>
      <c r="AM50" s="230">
        <f>合数一覧!C44</f>
        <v>0</v>
      </c>
      <c r="AN50" s="177">
        <f>IFERROR(合数一覧!S$2*AM50/AR50, 0)</f>
        <v>0</v>
      </c>
      <c r="AO50" s="149" t="str">
        <f t="shared" si="5"/>
        <v>ｇ</v>
      </c>
      <c r="AP50" s="175"/>
      <c r="AQ50" s="149" t="str">
        <f t="shared" si="27"/>
        <v>ｇ</v>
      </c>
      <c r="AR50" s="176">
        <f>合数一覧!U44</f>
        <v>0</v>
      </c>
    </row>
    <row r="51" spans="1:44" ht="35.1" customHeight="1">
      <c r="A51" s="203"/>
      <c r="B51" s="190">
        <f>合数一覧!C45</f>
        <v>0</v>
      </c>
      <c r="C51" s="177">
        <f>IFERROR((合数一覧!D$2*B51)/I51, 0)</f>
        <v>0</v>
      </c>
      <c r="D51" s="149" t="str">
        <f t="shared" si="6"/>
        <v>g</v>
      </c>
      <c r="E51" s="170">
        <f t="shared" si="19"/>
        <v>0</v>
      </c>
      <c r="F51" s="174" t="str">
        <f t="shared" si="0"/>
        <v>g</v>
      </c>
      <c r="G51" s="175">
        <f t="shared" si="21"/>
        <v>0</v>
      </c>
      <c r="H51" s="149" t="str">
        <f t="shared" si="22"/>
        <v>g</v>
      </c>
      <c r="I51" s="176">
        <f>合数一覧!F45</f>
        <v>0</v>
      </c>
      <c r="J51" s="203" t="str">
        <f t="shared" si="17"/>
        <v/>
      </c>
      <c r="K51" s="190">
        <f>合数一覧!C45</f>
        <v>0</v>
      </c>
      <c r="L51" s="177">
        <f>IFERROR(合数一覧!G$2*K51/P51, 0)</f>
        <v>0</v>
      </c>
      <c r="M51" s="154" t="str">
        <f t="shared" si="1"/>
        <v>ｇ</v>
      </c>
      <c r="N51" s="175"/>
      <c r="O51" s="149" t="str">
        <f t="shared" si="23"/>
        <v>ｇ</v>
      </c>
      <c r="P51" s="176">
        <f>合数一覧!I45</f>
        <v>0</v>
      </c>
      <c r="Q51" s="203" t="str">
        <f t="shared" si="13"/>
        <v/>
      </c>
      <c r="R51" s="190">
        <f>合数一覧!C45</f>
        <v>0</v>
      </c>
      <c r="S51" s="177">
        <f>IFERROR(合数一覧!J$2*R51/W51, 0)</f>
        <v>0</v>
      </c>
      <c r="T51" s="154" t="str">
        <f t="shared" si="2"/>
        <v>ｇ</v>
      </c>
      <c r="U51" s="175"/>
      <c r="V51" s="149" t="str">
        <f t="shared" si="24"/>
        <v>ｇ</v>
      </c>
      <c r="W51" s="176">
        <f>合数一覧!L45</f>
        <v>0</v>
      </c>
      <c r="X51" s="203" t="str">
        <f t="shared" si="14"/>
        <v/>
      </c>
      <c r="Y51" s="173">
        <f>合数一覧!C45</f>
        <v>0</v>
      </c>
      <c r="Z51" s="177">
        <f>IFERROR(合数一覧!M$2*Y51/AD51, 0)</f>
        <v>0</v>
      </c>
      <c r="AA51" s="154" t="str">
        <f t="shared" si="3"/>
        <v>ｇ</v>
      </c>
      <c r="AB51" s="175"/>
      <c r="AC51" s="149" t="str">
        <f t="shared" si="25"/>
        <v>ｇ</v>
      </c>
      <c r="AD51" s="176">
        <f>合数一覧!O45</f>
        <v>0</v>
      </c>
      <c r="AE51" s="203" t="str">
        <f t="shared" si="15"/>
        <v/>
      </c>
      <c r="AF51" s="190">
        <v>0</v>
      </c>
      <c r="AG51" s="177">
        <f>IFERROR(合数一覧!P$2*AF51/AK51, 0)</f>
        <v>0</v>
      </c>
      <c r="AH51" s="154" t="str">
        <f t="shared" si="4"/>
        <v>ｇ</v>
      </c>
      <c r="AI51" s="175"/>
      <c r="AJ51" s="149" t="str">
        <f t="shared" si="26"/>
        <v>ｇ</v>
      </c>
      <c r="AK51" s="176">
        <f>合数一覧!R45</f>
        <v>0</v>
      </c>
      <c r="AL51" s="207" t="str">
        <f t="shared" si="16"/>
        <v/>
      </c>
      <c r="AM51" s="230">
        <f>合数一覧!C45</f>
        <v>0</v>
      </c>
      <c r="AN51" s="177">
        <f>IFERROR(合数一覧!S$2*AM51/AR51, 0)</f>
        <v>0</v>
      </c>
      <c r="AO51" s="149" t="str">
        <f t="shared" si="5"/>
        <v>ｇ</v>
      </c>
      <c r="AP51" s="175"/>
      <c r="AQ51" s="149" t="str">
        <f t="shared" si="27"/>
        <v>ｇ</v>
      </c>
      <c r="AR51" s="176">
        <f>合数一覧!U45</f>
        <v>0</v>
      </c>
    </row>
    <row r="52" spans="1:44" ht="35.1" customHeight="1">
      <c r="A52" s="203"/>
      <c r="B52" s="190">
        <f>合数一覧!C46</f>
        <v>0</v>
      </c>
      <c r="C52" s="177">
        <f>IFERROR((合数一覧!D$2*B52)/I52, 0)</f>
        <v>0</v>
      </c>
      <c r="D52" s="149" t="str">
        <f t="shared" si="6"/>
        <v>g</v>
      </c>
      <c r="E52" s="170">
        <f t="shared" si="19"/>
        <v>0</v>
      </c>
      <c r="F52" s="174" t="str">
        <f t="shared" si="0"/>
        <v>g</v>
      </c>
      <c r="G52" s="175">
        <f t="shared" si="21"/>
        <v>0</v>
      </c>
      <c r="H52" s="149" t="str">
        <f t="shared" si="22"/>
        <v>g</v>
      </c>
      <c r="I52" s="176">
        <f>合数一覧!F46</f>
        <v>0</v>
      </c>
      <c r="J52" s="203" t="str">
        <f t="shared" si="17"/>
        <v/>
      </c>
      <c r="K52" s="190">
        <f>合数一覧!C46</f>
        <v>0</v>
      </c>
      <c r="L52" s="177">
        <f>IFERROR(合数一覧!G$2*K52/P52, 0)</f>
        <v>0</v>
      </c>
      <c r="M52" s="154" t="str">
        <f t="shared" si="1"/>
        <v>ｇ</v>
      </c>
      <c r="N52" s="175"/>
      <c r="O52" s="149" t="str">
        <f t="shared" si="23"/>
        <v>ｇ</v>
      </c>
      <c r="P52" s="176">
        <f>合数一覧!I46</f>
        <v>0</v>
      </c>
      <c r="Q52" s="203" t="str">
        <f t="shared" si="13"/>
        <v/>
      </c>
      <c r="R52" s="190">
        <f>合数一覧!C46</f>
        <v>0</v>
      </c>
      <c r="S52" s="177">
        <f>IFERROR(合数一覧!J$2*R52/W52, 0)</f>
        <v>0</v>
      </c>
      <c r="T52" s="154" t="str">
        <f t="shared" si="2"/>
        <v>ｇ</v>
      </c>
      <c r="U52" s="175"/>
      <c r="V52" s="149" t="str">
        <f t="shared" si="24"/>
        <v>ｇ</v>
      </c>
      <c r="W52" s="176">
        <f>合数一覧!L46</f>
        <v>0</v>
      </c>
      <c r="X52" s="203" t="str">
        <f t="shared" si="14"/>
        <v/>
      </c>
      <c r="Y52" s="173">
        <f>合数一覧!C46</f>
        <v>0</v>
      </c>
      <c r="Z52" s="177">
        <f>IFERROR(合数一覧!M$2*Y52/AD52, 0)</f>
        <v>0</v>
      </c>
      <c r="AA52" s="154" t="str">
        <f t="shared" si="3"/>
        <v>ｇ</v>
      </c>
      <c r="AB52" s="175"/>
      <c r="AC52" s="149" t="str">
        <f t="shared" si="25"/>
        <v>ｇ</v>
      </c>
      <c r="AD52" s="176">
        <f>合数一覧!O46</f>
        <v>0</v>
      </c>
      <c r="AE52" s="203" t="str">
        <f t="shared" si="15"/>
        <v/>
      </c>
      <c r="AF52" s="190">
        <v>0</v>
      </c>
      <c r="AG52" s="177">
        <f>IFERROR(合数一覧!P$2*AF52/AK52, 0)</f>
        <v>0</v>
      </c>
      <c r="AH52" s="154" t="str">
        <f t="shared" si="4"/>
        <v>ｇ</v>
      </c>
      <c r="AI52" s="175"/>
      <c r="AJ52" s="149" t="str">
        <f t="shared" si="26"/>
        <v>ｇ</v>
      </c>
      <c r="AK52" s="176">
        <f>合数一覧!R46</f>
        <v>0</v>
      </c>
      <c r="AL52" s="207" t="str">
        <f t="shared" si="16"/>
        <v/>
      </c>
      <c r="AM52" s="230">
        <f>合数一覧!C46</f>
        <v>0</v>
      </c>
      <c r="AN52" s="177">
        <f>IFERROR(合数一覧!S$2*AM52/AR52, 0)</f>
        <v>0</v>
      </c>
      <c r="AO52" s="149" t="str">
        <f t="shared" si="5"/>
        <v>ｇ</v>
      </c>
      <c r="AP52" s="175"/>
      <c r="AQ52" s="149" t="str">
        <f t="shared" si="27"/>
        <v>ｇ</v>
      </c>
      <c r="AR52" s="176">
        <f>合数一覧!U46</f>
        <v>0</v>
      </c>
    </row>
    <row r="53" spans="1:44" ht="35.1" customHeight="1">
      <c r="A53" s="203"/>
      <c r="B53" s="190">
        <f>合数一覧!C47</f>
        <v>0</v>
      </c>
      <c r="C53" s="177">
        <f>IFERROR((合数一覧!D$2*B53)/I53, 0)</f>
        <v>0</v>
      </c>
      <c r="D53" s="149" t="str">
        <f t="shared" si="6"/>
        <v>g</v>
      </c>
      <c r="E53" s="170">
        <f t="shared" si="19"/>
        <v>0</v>
      </c>
      <c r="F53" s="174" t="str">
        <f t="shared" si="0"/>
        <v>g</v>
      </c>
      <c r="G53" s="175">
        <f t="shared" si="21"/>
        <v>0</v>
      </c>
      <c r="H53" s="149" t="str">
        <f t="shared" si="22"/>
        <v>g</v>
      </c>
      <c r="I53" s="176">
        <f>合数一覧!F47</f>
        <v>0</v>
      </c>
      <c r="J53" s="203" t="str">
        <f t="shared" si="17"/>
        <v/>
      </c>
      <c r="K53" s="190">
        <f>合数一覧!C47</f>
        <v>0</v>
      </c>
      <c r="L53" s="177">
        <f>IFERROR(合数一覧!G$2*K53/P53, 0)</f>
        <v>0</v>
      </c>
      <c r="M53" s="154" t="str">
        <f t="shared" si="1"/>
        <v>ｇ</v>
      </c>
      <c r="N53" s="175"/>
      <c r="O53" s="149" t="str">
        <f t="shared" si="23"/>
        <v>ｇ</v>
      </c>
      <c r="P53" s="176">
        <f>合数一覧!I47</f>
        <v>0</v>
      </c>
      <c r="Q53" s="203" t="str">
        <f t="shared" si="13"/>
        <v/>
      </c>
      <c r="R53" s="190">
        <f>合数一覧!C47</f>
        <v>0</v>
      </c>
      <c r="S53" s="177">
        <f>IFERROR(合数一覧!J$2*R53/W53, 0)</f>
        <v>0</v>
      </c>
      <c r="T53" s="154" t="str">
        <f t="shared" si="2"/>
        <v>ｇ</v>
      </c>
      <c r="U53" s="175"/>
      <c r="V53" s="149" t="str">
        <f t="shared" si="24"/>
        <v>ｇ</v>
      </c>
      <c r="W53" s="176">
        <f>合数一覧!L47</f>
        <v>0</v>
      </c>
      <c r="X53" s="203" t="str">
        <f t="shared" si="14"/>
        <v/>
      </c>
      <c r="Y53" s="173">
        <f>合数一覧!C47</f>
        <v>0</v>
      </c>
      <c r="Z53" s="177">
        <f>IFERROR(合数一覧!M$2*Y53/AD53, 0)</f>
        <v>0</v>
      </c>
      <c r="AA53" s="154" t="str">
        <f t="shared" si="3"/>
        <v>ｇ</v>
      </c>
      <c r="AB53" s="175"/>
      <c r="AC53" s="149" t="str">
        <f t="shared" si="25"/>
        <v>ｇ</v>
      </c>
      <c r="AD53" s="176">
        <f>合数一覧!O47</f>
        <v>0</v>
      </c>
      <c r="AE53" s="203" t="str">
        <f t="shared" si="15"/>
        <v/>
      </c>
      <c r="AF53" s="190">
        <v>0</v>
      </c>
      <c r="AG53" s="177">
        <f>IFERROR(合数一覧!P$2*AF53/AK53, 0)</f>
        <v>0</v>
      </c>
      <c r="AH53" s="154" t="str">
        <f t="shared" si="4"/>
        <v>ｇ</v>
      </c>
      <c r="AI53" s="175"/>
      <c r="AJ53" s="149" t="str">
        <f t="shared" si="26"/>
        <v>ｇ</v>
      </c>
      <c r="AK53" s="176">
        <f>合数一覧!R47</f>
        <v>0</v>
      </c>
      <c r="AL53" s="207" t="str">
        <f t="shared" si="16"/>
        <v/>
      </c>
      <c r="AM53" s="230">
        <f>合数一覧!C47</f>
        <v>0</v>
      </c>
      <c r="AN53" s="177">
        <f>IFERROR(合数一覧!S$2*AM53/AR53, 0)</f>
        <v>0</v>
      </c>
      <c r="AO53" s="149" t="str">
        <f t="shared" si="5"/>
        <v>ｇ</v>
      </c>
      <c r="AP53" s="175"/>
      <c r="AQ53" s="149" t="str">
        <f t="shared" si="27"/>
        <v>ｇ</v>
      </c>
      <c r="AR53" s="176">
        <f>合数一覧!U47</f>
        <v>0</v>
      </c>
    </row>
    <row r="54" spans="1:44" ht="35.1" customHeight="1">
      <c r="A54" s="203"/>
      <c r="B54" s="190">
        <f>合数一覧!C48</f>
        <v>0</v>
      </c>
      <c r="C54" s="177">
        <f>IFERROR((合数一覧!D$2*B54)/I54, 0)</f>
        <v>0</v>
      </c>
      <c r="D54" s="149" t="str">
        <f t="shared" si="6"/>
        <v>g</v>
      </c>
      <c r="E54" s="170">
        <f t="shared" si="19"/>
        <v>0</v>
      </c>
      <c r="F54" s="174" t="str">
        <f t="shared" si="0"/>
        <v>g</v>
      </c>
      <c r="G54" s="175">
        <f t="shared" si="21"/>
        <v>0</v>
      </c>
      <c r="H54" s="149" t="str">
        <f t="shared" si="22"/>
        <v>g</v>
      </c>
      <c r="I54" s="176">
        <f>合数一覧!F48</f>
        <v>0</v>
      </c>
      <c r="J54" s="203" t="str">
        <f t="shared" si="17"/>
        <v/>
      </c>
      <c r="K54" s="190">
        <f>合数一覧!C48</f>
        <v>0</v>
      </c>
      <c r="L54" s="177">
        <f>IFERROR(合数一覧!G$2*K54/P54, 0)</f>
        <v>0</v>
      </c>
      <c r="M54" s="154" t="str">
        <f t="shared" si="1"/>
        <v>ｇ</v>
      </c>
      <c r="N54" s="175"/>
      <c r="O54" s="149" t="str">
        <f t="shared" si="23"/>
        <v>ｇ</v>
      </c>
      <c r="P54" s="176">
        <f>合数一覧!I48</f>
        <v>0</v>
      </c>
      <c r="Q54" s="203" t="str">
        <f t="shared" si="13"/>
        <v/>
      </c>
      <c r="R54" s="190">
        <f>合数一覧!C48</f>
        <v>0</v>
      </c>
      <c r="S54" s="177">
        <f>IFERROR(合数一覧!J$2*R54/W54, 0)</f>
        <v>0</v>
      </c>
      <c r="T54" s="154" t="str">
        <f t="shared" si="2"/>
        <v>ｇ</v>
      </c>
      <c r="U54" s="175"/>
      <c r="V54" s="149" t="str">
        <f t="shared" si="24"/>
        <v>ｇ</v>
      </c>
      <c r="W54" s="176">
        <f>合数一覧!L48</f>
        <v>0</v>
      </c>
      <c r="X54" s="203" t="str">
        <f t="shared" si="14"/>
        <v/>
      </c>
      <c r="Y54" s="173">
        <f>合数一覧!C48</f>
        <v>0</v>
      </c>
      <c r="Z54" s="177">
        <f>IFERROR(合数一覧!M$2*Y54/AD54, 0)</f>
        <v>0</v>
      </c>
      <c r="AA54" s="154" t="str">
        <f t="shared" si="3"/>
        <v>ｇ</v>
      </c>
      <c r="AB54" s="175"/>
      <c r="AC54" s="149" t="str">
        <f t="shared" si="25"/>
        <v>ｇ</v>
      </c>
      <c r="AD54" s="176">
        <f>合数一覧!O48</f>
        <v>0</v>
      </c>
      <c r="AE54" s="203" t="str">
        <f t="shared" si="15"/>
        <v/>
      </c>
      <c r="AF54" s="190">
        <v>0</v>
      </c>
      <c r="AG54" s="177">
        <f>IFERROR(合数一覧!P$2*AF54/AK54, 0)</f>
        <v>0</v>
      </c>
      <c r="AH54" s="154" t="str">
        <f t="shared" si="4"/>
        <v>ｇ</v>
      </c>
      <c r="AI54" s="175"/>
      <c r="AJ54" s="149" t="str">
        <f t="shared" si="26"/>
        <v>ｇ</v>
      </c>
      <c r="AK54" s="176">
        <f>合数一覧!R48</f>
        <v>0</v>
      </c>
      <c r="AL54" s="207" t="str">
        <f t="shared" si="16"/>
        <v/>
      </c>
      <c r="AM54" s="230">
        <f>合数一覧!C48</f>
        <v>0</v>
      </c>
      <c r="AN54" s="177">
        <f>IFERROR(合数一覧!S$2*AM54/AR54, 0)</f>
        <v>0</v>
      </c>
      <c r="AO54" s="149" t="str">
        <f t="shared" si="5"/>
        <v>ｇ</v>
      </c>
      <c r="AP54" s="175"/>
      <c r="AQ54" s="149" t="str">
        <f t="shared" si="27"/>
        <v>ｇ</v>
      </c>
      <c r="AR54" s="176">
        <f>合数一覧!U48</f>
        <v>0</v>
      </c>
    </row>
    <row r="55" spans="1:44" ht="35.1" customHeight="1">
      <c r="A55" s="203"/>
      <c r="B55" s="190">
        <f>合数一覧!C49</f>
        <v>0</v>
      </c>
      <c r="C55" s="177">
        <f>IFERROR((合数一覧!D$2*B55)/I55, 0)</f>
        <v>0</v>
      </c>
      <c r="D55" s="149" t="str">
        <f t="shared" si="6"/>
        <v>g</v>
      </c>
      <c r="E55" s="170">
        <f t="shared" si="19"/>
        <v>0</v>
      </c>
      <c r="F55" s="174" t="str">
        <f t="shared" si="0"/>
        <v>g</v>
      </c>
      <c r="G55" s="175">
        <f t="shared" si="21"/>
        <v>0</v>
      </c>
      <c r="H55" s="149" t="str">
        <f t="shared" si="22"/>
        <v>g</v>
      </c>
      <c r="I55" s="176">
        <f>合数一覧!F49</f>
        <v>0</v>
      </c>
      <c r="J55" s="203" t="str">
        <f t="shared" si="17"/>
        <v/>
      </c>
      <c r="K55" s="190">
        <f>合数一覧!C49</f>
        <v>0</v>
      </c>
      <c r="L55" s="177">
        <f>IFERROR(合数一覧!G$2*K55/P55, 0)</f>
        <v>0</v>
      </c>
      <c r="M55" s="154" t="str">
        <f t="shared" si="1"/>
        <v>ｇ</v>
      </c>
      <c r="N55" s="175"/>
      <c r="O55" s="149" t="str">
        <f t="shared" si="23"/>
        <v>ｇ</v>
      </c>
      <c r="P55" s="176">
        <f>合数一覧!I49</f>
        <v>0</v>
      </c>
      <c r="Q55" s="203" t="str">
        <f t="shared" si="13"/>
        <v/>
      </c>
      <c r="R55" s="190">
        <f>合数一覧!C49</f>
        <v>0</v>
      </c>
      <c r="S55" s="177">
        <f>IFERROR(合数一覧!J$2*R55/W55, 0)</f>
        <v>0</v>
      </c>
      <c r="T55" s="154" t="str">
        <f t="shared" si="2"/>
        <v>ｇ</v>
      </c>
      <c r="U55" s="175"/>
      <c r="V55" s="149" t="str">
        <f t="shared" si="24"/>
        <v>ｇ</v>
      </c>
      <c r="W55" s="176">
        <f>合数一覧!L49</f>
        <v>0</v>
      </c>
      <c r="X55" s="203" t="str">
        <f t="shared" si="14"/>
        <v/>
      </c>
      <c r="Y55" s="173">
        <f>合数一覧!C49</f>
        <v>0</v>
      </c>
      <c r="Z55" s="177">
        <f>IFERROR(合数一覧!M$2*Y55/AD55, 0)</f>
        <v>0</v>
      </c>
      <c r="AA55" s="154" t="str">
        <f t="shared" si="3"/>
        <v>ｇ</v>
      </c>
      <c r="AB55" s="175"/>
      <c r="AC55" s="149" t="str">
        <f t="shared" si="25"/>
        <v>ｇ</v>
      </c>
      <c r="AD55" s="176">
        <f>合数一覧!O49</f>
        <v>0</v>
      </c>
      <c r="AE55" s="203" t="str">
        <f t="shared" si="15"/>
        <v/>
      </c>
      <c r="AF55" s="190">
        <v>0</v>
      </c>
      <c r="AG55" s="177">
        <f>IFERROR(合数一覧!P$2*AF55/AK55, 0)</f>
        <v>0</v>
      </c>
      <c r="AH55" s="154" t="str">
        <f t="shared" si="4"/>
        <v>ｇ</v>
      </c>
      <c r="AI55" s="175"/>
      <c r="AJ55" s="149" t="str">
        <f t="shared" si="26"/>
        <v>ｇ</v>
      </c>
      <c r="AK55" s="176">
        <f>合数一覧!R49</f>
        <v>0</v>
      </c>
      <c r="AL55" s="207" t="str">
        <f t="shared" si="16"/>
        <v/>
      </c>
      <c r="AM55" s="230">
        <f>合数一覧!C49</f>
        <v>0</v>
      </c>
      <c r="AN55" s="177">
        <f>IFERROR(合数一覧!S$2*AM55/AR55, 0)</f>
        <v>0</v>
      </c>
      <c r="AO55" s="149" t="str">
        <f t="shared" si="5"/>
        <v>ｇ</v>
      </c>
      <c r="AP55" s="175"/>
      <c r="AQ55" s="149" t="str">
        <f t="shared" si="27"/>
        <v>ｇ</v>
      </c>
      <c r="AR55" s="176">
        <f>合数一覧!U49</f>
        <v>0</v>
      </c>
    </row>
    <row r="56" spans="1:44" ht="35.1" customHeight="1">
      <c r="A56" s="203"/>
      <c r="B56" s="190">
        <f>合数一覧!C50</f>
        <v>0</v>
      </c>
      <c r="C56" s="177">
        <f>IFERROR((合数一覧!D$2*B56)/I56, 0)</f>
        <v>0</v>
      </c>
      <c r="D56" s="149" t="str">
        <f t="shared" si="6"/>
        <v>g</v>
      </c>
      <c r="E56" s="170">
        <f t="shared" si="19"/>
        <v>0</v>
      </c>
      <c r="F56" s="174" t="str">
        <f t="shared" si="0"/>
        <v>g</v>
      </c>
      <c r="G56" s="175">
        <f t="shared" si="21"/>
        <v>0</v>
      </c>
      <c r="H56" s="149" t="str">
        <f t="shared" si="22"/>
        <v>g</v>
      </c>
      <c r="I56" s="176">
        <f>合数一覧!F50</f>
        <v>0</v>
      </c>
      <c r="J56" s="203" t="str">
        <f t="shared" si="17"/>
        <v/>
      </c>
      <c r="K56" s="190">
        <f>合数一覧!C50</f>
        <v>0</v>
      </c>
      <c r="L56" s="177">
        <f>IFERROR(合数一覧!G$2*K56/P56, 0)</f>
        <v>0</v>
      </c>
      <c r="M56" s="154" t="str">
        <f t="shared" si="1"/>
        <v>ｇ</v>
      </c>
      <c r="N56" s="175"/>
      <c r="O56" s="149" t="str">
        <f t="shared" si="23"/>
        <v>ｇ</v>
      </c>
      <c r="P56" s="176">
        <f>合数一覧!I50</f>
        <v>0</v>
      </c>
      <c r="Q56" s="203" t="str">
        <f t="shared" si="13"/>
        <v/>
      </c>
      <c r="R56" s="190">
        <f>合数一覧!C50</f>
        <v>0</v>
      </c>
      <c r="S56" s="177">
        <f>IFERROR(合数一覧!J$2*R56/W56, 0)</f>
        <v>0</v>
      </c>
      <c r="T56" s="154" t="str">
        <f t="shared" si="2"/>
        <v>ｇ</v>
      </c>
      <c r="U56" s="175"/>
      <c r="V56" s="149" t="str">
        <f t="shared" si="24"/>
        <v>ｇ</v>
      </c>
      <c r="W56" s="176">
        <f>合数一覧!L50</f>
        <v>0</v>
      </c>
      <c r="X56" s="203" t="str">
        <f t="shared" si="14"/>
        <v/>
      </c>
      <c r="Y56" s="173">
        <f>合数一覧!C50</f>
        <v>0</v>
      </c>
      <c r="Z56" s="177">
        <f>IFERROR(合数一覧!M$2*Y56/AD56, 0)</f>
        <v>0</v>
      </c>
      <c r="AA56" s="154" t="str">
        <f t="shared" si="3"/>
        <v>ｇ</v>
      </c>
      <c r="AB56" s="175"/>
      <c r="AC56" s="149" t="str">
        <f t="shared" si="25"/>
        <v>ｇ</v>
      </c>
      <c r="AD56" s="176">
        <f>合数一覧!O50</f>
        <v>0</v>
      </c>
      <c r="AE56" s="203" t="str">
        <f t="shared" si="15"/>
        <v/>
      </c>
      <c r="AF56" s="190">
        <v>0</v>
      </c>
      <c r="AG56" s="177">
        <f>IFERROR(合数一覧!P$2*AF56/AK56, 0)</f>
        <v>0</v>
      </c>
      <c r="AH56" s="154" t="str">
        <f t="shared" si="4"/>
        <v>ｇ</v>
      </c>
      <c r="AI56" s="175"/>
      <c r="AJ56" s="149" t="str">
        <f t="shared" si="26"/>
        <v>ｇ</v>
      </c>
      <c r="AK56" s="176">
        <f>合数一覧!R50</f>
        <v>0</v>
      </c>
      <c r="AL56" s="207" t="str">
        <f t="shared" si="16"/>
        <v/>
      </c>
      <c r="AM56" s="230">
        <f>合数一覧!C50</f>
        <v>0</v>
      </c>
      <c r="AN56" s="177">
        <f>IFERROR(合数一覧!S$2*AM56/AR56, 0)</f>
        <v>0</v>
      </c>
      <c r="AO56" s="149" t="str">
        <f t="shared" si="5"/>
        <v>ｇ</v>
      </c>
      <c r="AP56" s="175"/>
      <c r="AQ56" s="149" t="str">
        <f t="shared" si="27"/>
        <v>ｇ</v>
      </c>
      <c r="AR56" s="176">
        <f>合数一覧!U50</f>
        <v>0</v>
      </c>
    </row>
    <row r="57" spans="1:44" ht="35.1" customHeight="1">
      <c r="A57" s="203"/>
      <c r="B57" s="190">
        <f>合数一覧!C51</f>
        <v>0</v>
      </c>
      <c r="C57" s="177">
        <f>IFERROR((合数一覧!D$2*B57)/I57, 0)</f>
        <v>0</v>
      </c>
      <c r="D57" s="149" t="str">
        <f t="shared" si="6"/>
        <v>g</v>
      </c>
      <c r="E57" s="170">
        <f t="shared" si="19"/>
        <v>0</v>
      </c>
      <c r="F57" s="174" t="str">
        <f t="shared" si="0"/>
        <v>g</v>
      </c>
      <c r="G57" s="175">
        <f t="shared" si="21"/>
        <v>0</v>
      </c>
      <c r="H57" s="149" t="str">
        <f t="shared" si="22"/>
        <v>g</v>
      </c>
      <c r="I57" s="176">
        <f>合数一覧!F51</f>
        <v>0</v>
      </c>
      <c r="J57" s="203" t="str">
        <f t="shared" si="17"/>
        <v/>
      </c>
      <c r="K57" s="190">
        <f>合数一覧!C51</f>
        <v>0</v>
      </c>
      <c r="L57" s="177">
        <f>IFERROR(合数一覧!G$2*K57/P57, 0)</f>
        <v>0</v>
      </c>
      <c r="M57" s="154" t="str">
        <f t="shared" si="1"/>
        <v>ｇ</v>
      </c>
      <c r="N57" s="175"/>
      <c r="O57" s="149" t="str">
        <f t="shared" si="23"/>
        <v>ｇ</v>
      </c>
      <c r="P57" s="176">
        <f>合数一覧!I51</f>
        <v>0</v>
      </c>
      <c r="Q57" s="203" t="str">
        <f t="shared" si="13"/>
        <v/>
      </c>
      <c r="R57" s="190">
        <f>合数一覧!C51</f>
        <v>0</v>
      </c>
      <c r="S57" s="177">
        <f>IFERROR(合数一覧!J$2*R57/W57, 0)</f>
        <v>0</v>
      </c>
      <c r="T57" s="154" t="str">
        <f t="shared" si="2"/>
        <v>ｇ</v>
      </c>
      <c r="U57" s="175"/>
      <c r="V57" s="149" t="str">
        <f t="shared" si="24"/>
        <v>ｇ</v>
      </c>
      <c r="W57" s="176">
        <f>合数一覧!L51</f>
        <v>0</v>
      </c>
      <c r="X57" s="203" t="str">
        <f t="shared" si="14"/>
        <v/>
      </c>
      <c r="Y57" s="173">
        <f>合数一覧!C51</f>
        <v>0</v>
      </c>
      <c r="Z57" s="177">
        <f>IFERROR(合数一覧!M$2*Y57/AD57, 0)</f>
        <v>0</v>
      </c>
      <c r="AA57" s="154" t="str">
        <f t="shared" si="3"/>
        <v>ｇ</v>
      </c>
      <c r="AB57" s="175"/>
      <c r="AC57" s="149" t="str">
        <f t="shared" si="25"/>
        <v>ｇ</v>
      </c>
      <c r="AD57" s="176">
        <f>合数一覧!O51</f>
        <v>0</v>
      </c>
      <c r="AE57" s="203" t="str">
        <f t="shared" si="15"/>
        <v/>
      </c>
      <c r="AF57" s="190">
        <v>0</v>
      </c>
      <c r="AG57" s="177">
        <f>IFERROR(合数一覧!P$2*AF57/AK57, 0)</f>
        <v>0</v>
      </c>
      <c r="AH57" s="154" t="str">
        <f t="shared" si="4"/>
        <v>ｇ</v>
      </c>
      <c r="AI57" s="175"/>
      <c r="AJ57" s="149" t="str">
        <f t="shared" si="26"/>
        <v>ｇ</v>
      </c>
      <c r="AK57" s="176">
        <f>合数一覧!R51</f>
        <v>0</v>
      </c>
      <c r="AL57" s="207" t="str">
        <f t="shared" si="16"/>
        <v/>
      </c>
      <c r="AM57" s="230">
        <f>合数一覧!C51</f>
        <v>0</v>
      </c>
      <c r="AN57" s="177">
        <f>IFERROR(合数一覧!S$2*AM57/AR57, 0)</f>
        <v>0</v>
      </c>
      <c r="AO57" s="149" t="str">
        <f t="shared" si="5"/>
        <v>ｇ</v>
      </c>
      <c r="AP57" s="175"/>
      <c r="AQ57" s="149" t="str">
        <f t="shared" si="27"/>
        <v>ｇ</v>
      </c>
      <c r="AR57" s="176">
        <f>合数一覧!U51</f>
        <v>0</v>
      </c>
    </row>
    <row r="58" spans="1:44" ht="35.1" customHeight="1">
      <c r="A58" s="203"/>
      <c r="B58" s="190">
        <f>合数一覧!C52</f>
        <v>0</v>
      </c>
      <c r="C58" s="177">
        <f>IFERROR((合数一覧!D$2*B58)/I58, 0)</f>
        <v>0</v>
      </c>
      <c r="D58" s="149" t="str">
        <f t="shared" si="6"/>
        <v>g</v>
      </c>
      <c r="E58" s="170">
        <f t="shared" si="19"/>
        <v>0</v>
      </c>
      <c r="F58" s="174" t="str">
        <f t="shared" si="0"/>
        <v>g</v>
      </c>
      <c r="G58" s="175">
        <f t="shared" ref="G58:G69" si="28">(C58+E58)</f>
        <v>0</v>
      </c>
      <c r="H58" s="149" t="str">
        <f t="shared" ref="H58:H69" si="29">F$2</f>
        <v>g</v>
      </c>
      <c r="I58" s="176">
        <f>合数一覧!F52</f>
        <v>0</v>
      </c>
      <c r="J58" s="203" t="str">
        <f t="shared" si="17"/>
        <v/>
      </c>
      <c r="K58" s="190">
        <f>合数一覧!C52</f>
        <v>0</v>
      </c>
      <c r="L58" s="177">
        <f>IFERROR(合数一覧!G$2*K58/P58, 0)</f>
        <v>0</v>
      </c>
      <c r="M58" s="154" t="str">
        <f t="shared" si="1"/>
        <v>ｇ</v>
      </c>
      <c r="N58" s="175"/>
      <c r="O58" s="149" t="str">
        <f t="shared" ref="O58:O69" si="30">M$2</f>
        <v>ｇ</v>
      </c>
      <c r="P58" s="176">
        <f>合数一覧!I52</f>
        <v>0</v>
      </c>
      <c r="Q58" s="203" t="str">
        <f t="shared" si="13"/>
        <v/>
      </c>
      <c r="R58" s="190">
        <f>合数一覧!C52</f>
        <v>0</v>
      </c>
      <c r="S58" s="177">
        <f>IFERROR(合数一覧!J$2*R58/W58, 0)</f>
        <v>0</v>
      </c>
      <c r="T58" s="154" t="str">
        <f t="shared" si="2"/>
        <v>ｇ</v>
      </c>
      <c r="U58" s="175"/>
      <c r="V58" s="149" t="str">
        <f t="shared" ref="V58:V69" si="31">T$2</f>
        <v>ｇ</v>
      </c>
      <c r="W58" s="176">
        <f>合数一覧!L52</f>
        <v>0</v>
      </c>
      <c r="X58" s="203" t="str">
        <f t="shared" si="14"/>
        <v/>
      </c>
      <c r="Y58" s="173">
        <f>合数一覧!C52</f>
        <v>0</v>
      </c>
      <c r="Z58" s="177">
        <f>IFERROR(合数一覧!M$2*Y58/AD58, 0)</f>
        <v>0</v>
      </c>
      <c r="AA58" s="154" t="str">
        <f t="shared" si="3"/>
        <v>ｇ</v>
      </c>
      <c r="AB58" s="175"/>
      <c r="AC58" s="149" t="str">
        <f t="shared" ref="AC58:AC69" si="32">AA$2</f>
        <v>ｇ</v>
      </c>
      <c r="AD58" s="176">
        <f>合数一覧!O52</f>
        <v>0</v>
      </c>
      <c r="AE58" s="203" t="str">
        <f t="shared" si="15"/>
        <v/>
      </c>
      <c r="AF58" s="190">
        <v>0</v>
      </c>
      <c r="AG58" s="177">
        <f>IFERROR(合数一覧!P$2*AF58/AK58, 0)</f>
        <v>0</v>
      </c>
      <c r="AH58" s="154" t="str">
        <f t="shared" si="4"/>
        <v>ｇ</v>
      </c>
      <c r="AI58" s="175"/>
      <c r="AJ58" s="149" t="str">
        <f t="shared" ref="AJ58:AJ69" si="33">AH$2</f>
        <v>ｇ</v>
      </c>
      <c r="AK58" s="176">
        <f>合数一覧!R52</f>
        <v>0</v>
      </c>
      <c r="AL58" s="207" t="str">
        <f t="shared" si="16"/>
        <v/>
      </c>
      <c r="AM58" s="230">
        <f>合数一覧!C52</f>
        <v>0</v>
      </c>
      <c r="AN58" s="177">
        <f>IFERROR(合数一覧!S$2*AM58/AR58, 0)</f>
        <v>0</v>
      </c>
      <c r="AO58" s="149" t="str">
        <f t="shared" si="5"/>
        <v>ｇ</v>
      </c>
      <c r="AP58" s="175"/>
      <c r="AQ58" s="149" t="str">
        <f t="shared" ref="AQ58:AQ69" si="34">AO$2</f>
        <v>ｇ</v>
      </c>
      <c r="AR58" s="176">
        <f>合数一覧!U52</f>
        <v>0</v>
      </c>
    </row>
    <row r="59" spans="1:44" ht="35.1" customHeight="1">
      <c r="A59" s="203"/>
      <c r="B59" s="190">
        <f>合数一覧!C53</f>
        <v>0</v>
      </c>
      <c r="C59" s="177">
        <f>IFERROR((合数一覧!D$2*B59)/I59, 0)</f>
        <v>0</v>
      </c>
      <c r="D59" s="149" t="str">
        <f t="shared" si="6"/>
        <v>g</v>
      </c>
      <c r="E59" s="170">
        <f t="shared" si="19"/>
        <v>0</v>
      </c>
      <c r="F59" s="174" t="str">
        <f t="shared" si="0"/>
        <v>g</v>
      </c>
      <c r="G59" s="175">
        <f t="shared" si="28"/>
        <v>0</v>
      </c>
      <c r="H59" s="149" t="str">
        <f t="shared" si="29"/>
        <v>g</v>
      </c>
      <c r="I59" s="176">
        <f>合数一覧!F53</f>
        <v>0</v>
      </c>
      <c r="J59" s="203" t="str">
        <f t="shared" si="17"/>
        <v/>
      </c>
      <c r="K59" s="190">
        <f>合数一覧!C53</f>
        <v>0</v>
      </c>
      <c r="L59" s="177">
        <f>IFERROR(合数一覧!G$2*K59/P59, 0)</f>
        <v>0</v>
      </c>
      <c r="M59" s="154" t="str">
        <f t="shared" si="1"/>
        <v>ｇ</v>
      </c>
      <c r="N59" s="175"/>
      <c r="O59" s="149" t="str">
        <f t="shared" si="30"/>
        <v>ｇ</v>
      </c>
      <c r="P59" s="176">
        <f>合数一覧!I53</f>
        <v>0</v>
      </c>
      <c r="Q59" s="203" t="str">
        <f t="shared" si="13"/>
        <v/>
      </c>
      <c r="R59" s="190">
        <f>合数一覧!C53</f>
        <v>0</v>
      </c>
      <c r="S59" s="177">
        <f>IFERROR(合数一覧!J$2*R59/W59, 0)</f>
        <v>0</v>
      </c>
      <c r="T59" s="154" t="str">
        <f t="shared" si="2"/>
        <v>ｇ</v>
      </c>
      <c r="U59" s="175"/>
      <c r="V59" s="149" t="str">
        <f t="shared" si="31"/>
        <v>ｇ</v>
      </c>
      <c r="W59" s="176">
        <f>合数一覧!L53</f>
        <v>0</v>
      </c>
      <c r="X59" s="203" t="str">
        <f t="shared" si="14"/>
        <v/>
      </c>
      <c r="Y59" s="173">
        <f>合数一覧!C53</f>
        <v>0</v>
      </c>
      <c r="Z59" s="177">
        <f>IFERROR(合数一覧!M$2*Y59/AD59, 0)</f>
        <v>0</v>
      </c>
      <c r="AA59" s="154" t="str">
        <f t="shared" si="3"/>
        <v>ｇ</v>
      </c>
      <c r="AB59" s="175"/>
      <c r="AC59" s="149" t="str">
        <f t="shared" si="32"/>
        <v>ｇ</v>
      </c>
      <c r="AD59" s="176">
        <f>合数一覧!O53</f>
        <v>0</v>
      </c>
      <c r="AE59" s="203" t="str">
        <f t="shared" si="15"/>
        <v/>
      </c>
      <c r="AF59" s="190">
        <v>0</v>
      </c>
      <c r="AG59" s="177">
        <f>IFERROR(合数一覧!P$2*AF59/AK59, 0)</f>
        <v>0</v>
      </c>
      <c r="AH59" s="154" t="str">
        <f t="shared" si="4"/>
        <v>ｇ</v>
      </c>
      <c r="AI59" s="175"/>
      <c r="AJ59" s="149" t="str">
        <f t="shared" si="33"/>
        <v>ｇ</v>
      </c>
      <c r="AK59" s="176">
        <f>合数一覧!R53</f>
        <v>0</v>
      </c>
      <c r="AL59" s="207" t="str">
        <f t="shared" si="16"/>
        <v/>
      </c>
      <c r="AM59" s="230">
        <f>合数一覧!C53</f>
        <v>0</v>
      </c>
      <c r="AN59" s="177">
        <f>IFERROR(合数一覧!S$2*AM59/AR59, 0)</f>
        <v>0</v>
      </c>
      <c r="AO59" s="149" t="str">
        <f t="shared" si="5"/>
        <v>ｇ</v>
      </c>
      <c r="AP59" s="175"/>
      <c r="AQ59" s="149" t="str">
        <f t="shared" si="34"/>
        <v>ｇ</v>
      </c>
      <c r="AR59" s="176">
        <f>合数一覧!U53</f>
        <v>0</v>
      </c>
    </row>
    <row r="60" spans="1:44" ht="35.1" customHeight="1">
      <c r="A60" s="203"/>
      <c r="B60" s="190">
        <f>合数一覧!C54</f>
        <v>0</v>
      </c>
      <c r="C60" s="177">
        <f>IFERROR((合数一覧!D$2*B60)/I60, 0)</f>
        <v>0</v>
      </c>
      <c r="D60" s="149" t="str">
        <f t="shared" si="6"/>
        <v>g</v>
      </c>
      <c r="E60" s="170">
        <f t="shared" si="19"/>
        <v>0</v>
      </c>
      <c r="F60" s="174" t="str">
        <f t="shared" si="0"/>
        <v>g</v>
      </c>
      <c r="G60" s="175">
        <f t="shared" si="28"/>
        <v>0</v>
      </c>
      <c r="H60" s="149" t="str">
        <f t="shared" si="29"/>
        <v>g</v>
      </c>
      <c r="I60" s="176">
        <f>合数一覧!F54</f>
        <v>0</v>
      </c>
      <c r="J60" s="203" t="str">
        <f t="shared" si="17"/>
        <v/>
      </c>
      <c r="K60" s="190">
        <f>合数一覧!C54</f>
        <v>0</v>
      </c>
      <c r="L60" s="177">
        <f>IFERROR(合数一覧!G$2*K60/P60, 0)</f>
        <v>0</v>
      </c>
      <c r="M60" s="154" t="str">
        <f t="shared" si="1"/>
        <v>ｇ</v>
      </c>
      <c r="N60" s="175"/>
      <c r="O60" s="149" t="str">
        <f t="shared" si="30"/>
        <v>ｇ</v>
      </c>
      <c r="P60" s="176">
        <f>合数一覧!I54</f>
        <v>0</v>
      </c>
      <c r="Q60" s="203" t="str">
        <f t="shared" si="13"/>
        <v/>
      </c>
      <c r="R60" s="190">
        <f>合数一覧!C54</f>
        <v>0</v>
      </c>
      <c r="S60" s="177">
        <f>IFERROR(合数一覧!J$2*R60/W60, 0)</f>
        <v>0</v>
      </c>
      <c r="T60" s="154" t="str">
        <f t="shared" si="2"/>
        <v>ｇ</v>
      </c>
      <c r="U60" s="175"/>
      <c r="V60" s="149" t="str">
        <f t="shared" si="31"/>
        <v>ｇ</v>
      </c>
      <c r="W60" s="176">
        <f>合数一覧!L54</f>
        <v>0</v>
      </c>
      <c r="X60" s="203" t="str">
        <f t="shared" si="14"/>
        <v/>
      </c>
      <c r="Y60" s="173">
        <f>合数一覧!C54</f>
        <v>0</v>
      </c>
      <c r="Z60" s="177">
        <f>IFERROR(合数一覧!M$2*Y60/AD60, 0)</f>
        <v>0</v>
      </c>
      <c r="AA60" s="154" t="str">
        <f t="shared" si="3"/>
        <v>ｇ</v>
      </c>
      <c r="AB60" s="175"/>
      <c r="AC60" s="149" t="str">
        <f t="shared" si="32"/>
        <v>ｇ</v>
      </c>
      <c r="AD60" s="176">
        <f>合数一覧!O54</f>
        <v>0</v>
      </c>
      <c r="AE60" s="203" t="str">
        <f t="shared" si="15"/>
        <v/>
      </c>
      <c r="AF60" s="190">
        <v>0</v>
      </c>
      <c r="AG60" s="177">
        <f>IFERROR(合数一覧!P$2*AF60/AK60, 0)</f>
        <v>0</v>
      </c>
      <c r="AH60" s="154" t="str">
        <f t="shared" si="4"/>
        <v>ｇ</v>
      </c>
      <c r="AI60" s="175"/>
      <c r="AJ60" s="149" t="str">
        <f t="shared" si="33"/>
        <v>ｇ</v>
      </c>
      <c r="AK60" s="176">
        <f>合数一覧!R54</f>
        <v>0</v>
      </c>
      <c r="AL60" s="207" t="str">
        <f t="shared" si="16"/>
        <v/>
      </c>
      <c r="AM60" s="230">
        <f>合数一覧!C54</f>
        <v>0</v>
      </c>
      <c r="AN60" s="177">
        <f>IFERROR(合数一覧!S$2*AM60/AR60, 0)</f>
        <v>0</v>
      </c>
      <c r="AO60" s="149" t="str">
        <f t="shared" si="5"/>
        <v>ｇ</v>
      </c>
      <c r="AP60" s="175"/>
      <c r="AQ60" s="149" t="str">
        <f t="shared" si="34"/>
        <v>ｇ</v>
      </c>
      <c r="AR60" s="176">
        <f>合数一覧!U54</f>
        <v>0</v>
      </c>
    </row>
    <row r="61" spans="1:44" ht="35.1" hidden="1" customHeight="1">
      <c r="A61" s="203"/>
      <c r="B61" s="190">
        <f>合数一覧!C55</f>
        <v>0</v>
      </c>
      <c r="C61" s="177">
        <f>IFERROR((合数一覧!D$2*B61)/I61, 0)</f>
        <v>0</v>
      </c>
      <c r="D61" s="149" t="str">
        <f t="shared" si="6"/>
        <v>g</v>
      </c>
      <c r="E61" s="170">
        <f t="shared" si="19"/>
        <v>0</v>
      </c>
      <c r="F61" s="174" t="str">
        <f t="shared" si="0"/>
        <v>g</v>
      </c>
      <c r="G61" s="175">
        <f t="shared" si="28"/>
        <v>0</v>
      </c>
      <c r="H61" s="149" t="str">
        <f t="shared" si="29"/>
        <v>g</v>
      </c>
      <c r="I61" s="176">
        <f>合数一覧!F55</f>
        <v>0</v>
      </c>
      <c r="J61" s="203" t="str">
        <f t="shared" si="17"/>
        <v/>
      </c>
      <c r="K61" s="190">
        <f>合数一覧!C55</f>
        <v>0</v>
      </c>
      <c r="L61" s="177">
        <f>IFERROR(合数一覧!G$2*K61/P61, 0)</f>
        <v>0</v>
      </c>
      <c r="M61" s="154" t="str">
        <f t="shared" si="1"/>
        <v>ｇ</v>
      </c>
      <c r="N61" s="175"/>
      <c r="O61" s="149" t="str">
        <f t="shared" si="30"/>
        <v>ｇ</v>
      </c>
      <c r="P61" s="176">
        <f>合数一覧!I55</f>
        <v>0</v>
      </c>
      <c r="Q61" s="203" t="str">
        <f t="shared" si="13"/>
        <v/>
      </c>
      <c r="R61" s="190">
        <f>合数一覧!C55</f>
        <v>0</v>
      </c>
      <c r="S61" s="177">
        <f>IFERROR(合数一覧!J$2*R61/W61, 0)</f>
        <v>0</v>
      </c>
      <c r="T61" s="154" t="str">
        <f t="shared" si="2"/>
        <v>ｇ</v>
      </c>
      <c r="U61" s="175"/>
      <c r="V61" s="149" t="str">
        <f t="shared" si="31"/>
        <v>ｇ</v>
      </c>
      <c r="W61" s="176">
        <f>合数一覧!L55</f>
        <v>0</v>
      </c>
      <c r="X61" s="203" t="str">
        <f t="shared" si="14"/>
        <v/>
      </c>
      <c r="Y61" s="173">
        <f>合数一覧!C55</f>
        <v>0</v>
      </c>
      <c r="Z61" s="177">
        <f>IFERROR(合数一覧!M$2*Y61/AD61, 0)</f>
        <v>0</v>
      </c>
      <c r="AA61" s="154" t="str">
        <f t="shared" si="3"/>
        <v>ｇ</v>
      </c>
      <c r="AB61" s="175"/>
      <c r="AC61" s="149" t="str">
        <f t="shared" si="32"/>
        <v>ｇ</v>
      </c>
      <c r="AD61" s="176">
        <f>合数一覧!O55</f>
        <v>0</v>
      </c>
      <c r="AE61" s="203" t="str">
        <f t="shared" si="15"/>
        <v/>
      </c>
      <c r="AF61" s="190">
        <v>0</v>
      </c>
      <c r="AG61" s="177">
        <f>IFERROR(合数一覧!P$2*AF61/AK61, 0)</f>
        <v>0</v>
      </c>
      <c r="AH61" s="154" t="str">
        <f t="shared" si="4"/>
        <v>ｇ</v>
      </c>
      <c r="AI61" s="175"/>
      <c r="AJ61" s="149" t="str">
        <f t="shared" si="33"/>
        <v>ｇ</v>
      </c>
      <c r="AK61" s="176">
        <f>合数一覧!R55</f>
        <v>0</v>
      </c>
      <c r="AL61" s="207" t="str">
        <f t="shared" si="16"/>
        <v/>
      </c>
      <c r="AM61" s="230">
        <f>合数一覧!C55</f>
        <v>0</v>
      </c>
      <c r="AN61" s="177">
        <f>IFERROR(合数一覧!S$2*AM61/AR61, 0)</f>
        <v>0</v>
      </c>
      <c r="AO61" s="149" t="str">
        <f t="shared" si="5"/>
        <v>ｇ</v>
      </c>
      <c r="AP61" s="175"/>
      <c r="AQ61" s="149" t="str">
        <f t="shared" si="34"/>
        <v>ｇ</v>
      </c>
      <c r="AR61" s="176">
        <f>合数一覧!U55</f>
        <v>0</v>
      </c>
    </row>
    <row r="62" spans="1:44" ht="35.1" hidden="1" customHeight="1">
      <c r="A62" s="203"/>
      <c r="B62" s="190">
        <f>合数一覧!C56</f>
        <v>0</v>
      </c>
      <c r="C62" s="177">
        <f>IFERROR((合数一覧!D$2*B62)/I62, 0)</f>
        <v>0</v>
      </c>
      <c r="D62" s="149" t="str">
        <f t="shared" si="6"/>
        <v>g</v>
      </c>
      <c r="E62" s="170">
        <f t="shared" si="19"/>
        <v>0</v>
      </c>
      <c r="F62" s="174" t="str">
        <f t="shared" si="0"/>
        <v>g</v>
      </c>
      <c r="G62" s="175">
        <f t="shared" si="28"/>
        <v>0</v>
      </c>
      <c r="H62" s="149" t="str">
        <f t="shared" si="29"/>
        <v>g</v>
      </c>
      <c r="I62" s="176">
        <f>合数一覧!F56</f>
        <v>0</v>
      </c>
      <c r="J62" s="203" t="str">
        <f t="shared" si="17"/>
        <v/>
      </c>
      <c r="K62" s="190">
        <f>合数一覧!C56</f>
        <v>0</v>
      </c>
      <c r="L62" s="177">
        <f>IFERROR(合数一覧!G$2*K62/P62, 0)</f>
        <v>0</v>
      </c>
      <c r="M62" s="154" t="str">
        <f t="shared" si="1"/>
        <v>ｇ</v>
      </c>
      <c r="N62" s="175"/>
      <c r="O62" s="149" t="str">
        <f t="shared" si="30"/>
        <v>ｇ</v>
      </c>
      <c r="P62" s="176">
        <f>合数一覧!I56</f>
        <v>0</v>
      </c>
      <c r="Q62" s="203" t="str">
        <f t="shared" si="13"/>
        <v/>
      </c>
      <c r="R62" s="190">
        <f>合数一覧!C56</f>
        <v>0</v>
      </c>
      <c r="S62" s="177">
        <f>IFERROR(合数一覧!J$2*R62/W62, 0)</f>
        <v>0</v>
      </c>
      <c r="T62" s="154" t="str">
        <f t="shared" si="2"/>
        <v>ｇ</v>
      </c>
      <c r="U62" s="175"/>
      <c r="V62" s="149" t="str">
        <f t="shared" si="31"/>
        <v>ｇ</v>
      </c>
      <c r="W62" s="176">
        <f>合数一覧!L56</f>
        <v>0</v>
      </c>
      <c r="X62" s="203" t="str">
        <f t="shared" si="14"/>
        <v/>
      </c>
      <c r="Y62" s="173">
        <f>合数一覧!C56</f>
        <v>0</v>
      </c>
      <c r="Z62" s="177">
        <f>IFERROR(合数一覧!M$2*Y62/AD62, 0)</f>
        <v>0</v>
      </c>
      <c r="AA62" s="154" t="str">
        <f t="shared" si="3"/>
        <v>ｇ</v>
      </c>
      <c r="AB62" s="175"/>
      <c r="AC62" s="149" t="str">
        <f t="shared" si="32"/>
        <v>ｇ</v>
      </c>
      <c r="AD62" s="176">
        <f>合数一覧!O56</f>
        <v>0</v>
      </c>
      <c r="AE62" s="203" t="str">
        <f t="shared" si="15"/>
        <v/>
      </c>
      <c r="AF62" s="190">
        <v>0</v>
      </c>
      <c r="AG62" s="177">
        <f>IFERROR(合数一覧!P$2*AF62/AK62, 0)</f>
        <v>0</v>
      </c>
      <c r="AH62" s="154" t="str">
        <f t="shared" si="4"/>
        <v>ｇ</v>
      </c>
      <c r="AI62" s="175"/>
      <c r="AJ62" s="149" t="str">
        <f t="shared" si="33"/>
        <v>ｇ</v>
      </c>
      <c r="AK62" s="176">
        <f>合数一覧!R56</f>
        <v>0</v>
      </c>
      <c r="AL62" s="207" t="str">
        <f t="shared" si="16"/>
        <v/>
      </c>
      <c r="AM62" s="230">
        <f>合数一覧!C56</f>
        <v>0</v>
      </c>
      <c r="AN62" s="177">
        <f>IFERROR(合数一覧!S$2*AM62/AR62, 0)</f>
        <v>0</v>
      </c>
      <c r="AO62" s="149" t="str">
        <f t="shared" si="5"/>
        <v>ｇ</v>
      </c>
      <c r="AP62" s="175"/>
      <c r="AQ62" s="149" t="str">
        <f t="shared" si="34"/>
        <v>ｇ</v>
      </c>
      <c r="AR62" s="176">
        <f>合数一覧!U56</f>
        <v>0</v>
      </c>
    </row>
    <row r="63" spans="1:44" ht="35.1" hidden="1" customHeight="1">
      <c r="A63" s="203"/>
      <c r="B63" s="190">
        <f>合数一覧!C57</f>
        <v>0</v>
      </c>
      <c r="C63" s="177">
        <f>IFERROR((合数一覧!D$2*B63)/I63, 0)</f>
        <v>0</v>
      </c>
      <c r="D63" s="149" t="str">
        <f t="shared" si="6"/>
        <v>g</v>
      </c>
      <c r="E63" s="170">
        <f t="shared" si="19"/>
        <v>0</v>
      </c>
      <c r="F63" s="174" t="str">
        <f t="shared" si="0"/>
        <v>g</v>
      </c>
      <c r="G63" s="175">
        <f t="shared" si="28"/>
        <v>0</v>
      </c>
      <c r="H63" s="149" t="str">
        <f t="shared" si="29"/>
        <v>g</v>
      </c>
      <c r="I63" s="176">
        <f>合数一覧!F57</f>
        <v>0</v>
      </c>
      <c r="J63" s="203" t="str">
        <f t="shared" si="17"/>
        <v/>
      </c>
      <c r="K63" s="190">
        <f>合数一覧!C57</f>
        <v>0</v>
      </c>
      <c r="L63" s="177">
        <f>IFERROR(合数一覧!G$2*K63/P63, 0)</f>
        <v>0</v>
      </c>
      <c r="M63" s="154" t="str">
        <f t="shared" si="1"/>
        <v>ｇ</v>
      </c>
      <c r="N63" s="175"/>
      <c r="O63" s="149" t="str">
        <f t="shared" si="30"/>
        <v>ｇ</v>
      </c>
      <c r="P63" s="176">
        <f>合数一覧!I57</f>
        <v>0</v>
      </c>
      <c r="Q63" s="203" t="str">
        <f t="shared" si="13"/>
        <v/>
      </c>
      <c r="R63" s="190">
        <f>合数一覧!C57</f>
        <v>0</v>
      </c>
      <c r="S63" s="177">
        <f>IFERROR(合数一覧!J$2*R63/W63, 0)</f>
        <v>0</v>
      </c>
      <c r="T63" s="154" t="str">
        <f t="shared" si="2"/>
        <v>ｇ</v>
      </c>
      <c r="U63" s="175"/>
      <c r="V63" s="149" t="str">
        <f t="shared" si="31"/>
        <v>ｇ</v>
      </c>
      <c r="W63" s="176">
        <f>合数一覧!L57</f>
        <v>0</v>
      </c>
      <c r="X63" s="203" t="str">
        <f t="shared" si="14"/>
        <v/>
      </c>
      <c r="Y63" s="173">
        <f>合数一覧!C57</f>
        <v>0</v>
      </c>
      <c r="Z63" s="177">
        <f>IFERROR(合数一覧!M$2*Y63/AD63, 0)</f>
        <v>0</v>
      </c>
      <c r="AA63" s="154" t="str">
        <f t="shared" si="3"/>
        <v>ｇ</v>
      </c>
      <c r="AB63" s="175"/>
      <c r="AC63" s="149" t="str">
        <f t="shared" si="32"/>
        <v>ｇ</v>
      </c>
      <c r="AD63" s="176">
        <f>合数一覧!O57</f>
        <v>0</v>
      </c>
      <c r="AE63" s="203" t="str">
        <f t="shared" si="15"/>
        <v/>
      </c>
      <c r="AF63" s="190">
        <v>0</v>
      </c>
      <c r="AG63" s="177">
        <f>IFERROR(合数一覧!P$2*AF63/AK63, 0)</f>
        <v>0</v>
      </c>
      <c r="AH63" s="154" t="str">
        <f t="shared" si="4"/>
        <v>ｇ</v>
      </c>
      <c r="AI63" s="175"/>
      <c r="AJ63" s="149" t="str">
        <f t="shared" si="33"/>
        <v>ｇ</v>
      </c>
      <c r="AK63" s="176">
        <f>合数一覧!R57</f>
        <v>0</v>
      </c>
      <c r="AL63" s="207" t="str">
        <f t="shared" si="16"/>
        <v/>
      </c>
      <c r="AM63" s="230">
        <f>合数一覧!C57</f>
        <v>0</v>
      </c>
      <c r="AN63" s="177">
        <f>IFERROR(合数一覧!S$2*AM63/AR63, 0)</f>
        <v>0</v>
      </c>
      <c r="AO63" s="149" t="str">
        <f t="shared" si="5"/>
        <v>ｇ</v>
      </c>
      <c r="AP63" s="175"/>
      <c r="AQ63" s="149" t="str">
        <f t="shared" si="34"/>
        <v>ｇ</v>
      </c>
      <c r="AR63" s="176">
        <f>合数一覧!U57</f>
        <v>0</v>
      </c>
    </row>
    <row r="64" spans="1:44" ht="35.1" hidden="1" customHeight="1">
      <c r="A64" s="203"/>
      <c r="B64" s="190">
        <f>合数一覧!C58</f>
        <v>0</v>
      </c>
      <c r="C64" s="177">
        <f>IFERROR((合数一覧!D$2*B64)/I64, 0)</f>
        <v>0</v>
      </c>
      <c r="D64" s="149" t="str">
        <f t="shared" si="6"/>
        <v>g</v>
      </c>
      <c r="E64" s="170">
        <f t="shared" si="19"/>
        <v>0</v>
      </c>
      <c r="F64" s="174" t="str">
        <f t="shared" si="0"/>
        <v>g</v>
      </c>
      <c r="G64" s="175">
        <f t="shared" si="28"/>
        <v>0</v>
      </c>
      <c r="H64" s="149" t="str">
        <f t="shared" si="29"/>
        <v>g</v>
      </c>
      <c r="I64" s="176">
        <f>合数一覧!F58</f>
        <v>0</v>
      </c>
      <c r="J64" s="203" t="str">
        <f t="shared" si="17"/>
        <v/>
      </c>
      <c r="K64" s="190">
        <f>合数一覧!C58</f>
        <v>0</v>
      </c>
      <c r="L64" s="177">
        <f>IFERROR(合数一覧!G$2*K64/P64, 0)</f>
        <v>0</v>
      </c>
      <c r="M64" s="154" t="str">
        <f t="shared" si="1"/>
        <v>ｇ</v>
      </c>
      <c r="N64" s="175"/>
      <c r="O64" s="149" t="str">
        <f t="shared" si="30"/>
        <v>ｇ</v>
      </c>
      <c r="P64" s="176">
        <f>合数一覧!I58</f>
        <v>0</v>
      </c>
      <c r="Q64" s="203" t="str">
        <f t="shared" si="13"/>
        <v/>
      </c>
      <c r="R64" s="190">
        <f>合数一覧!C58</f>
        <v>0</v>
      </c>
      <c r="S64" s="177">
        <f>IFERROR(合数一覧!J$2*R64/W64, 0)</f>
        <v>0</v>
      </c>
      <c r="T64" s="154" t="str">
        <f t="shared" si="2"/>
        <v>ｇ</v>
      </c>
      <c r="U64" s="175"/>
      <c r="V64" s="149" t="str">
        <f t="shared" si="31"/>
        <v>ｇ</v>
      </c>
      <c r="W64" s="176">
        <f>合数一覧!L58</f>
        <v>0</v>
      </c>
      <c r="X64" s="203" t="str">
        <f t="shared" si="14"/>
        <v/>
      </c>
      <c r="Y64" s="173">
        <f>合数一覧!C58</f>
        <v>0</v>
      </c>
      <c r="Z64" s="177">
        <f>IFERROR(合数一覧!M$2*Y64/AD64, 0)</f>
        <v>0</v>
      </c>
      <c r="AA64" s="154" t="str">
        <f t="shared" si="3"/>
        <v>ｇ</v>
      </c>
      <c r="AB64" s="175"/>
      <c r="AC64" s="149" t="str">
        <f t="shared" si="32"/>
        <v>ｇ</v>
      </c>
      <c r="AD64" s="176">
        <f>合数一覧!O58</f>
        <v>0</v>
      </c>
      <c r="AE64" s="203" t="str">
        <f t="shared" si="15"/>
        <v/>
      </c>
      <c r="AF64" s="190">
        <v>0</v>
      </c>
      <c r="AG64" s="177">
        <f>IFERROR(合数一覧!P$2*AF64/AK64, 0)</f>
        <v>0</v>
      </c>
      <c r="AH64" s="154" t="str">
        <f t="shared" si="4"/>
        <v>ｇ</v>
      </c>
      <c r="AI64" s="175"/>
      <c r="AJ64" s="149" t="str">
        <f t="shared" si="33"/>
        <v>ｇ</v>
      </c>
      <c r="AK64" s="176">
        <f>合数一覧!R58</f>
        <v>0</v>
      </c>
      <c r="AL64" s="207" t="str">
        <f t="shared" si="16"/>
        <v/>
      </c>
      <c r="AM64" s="230">
        <f>合数一覧!C58</f>
        <v>0</v>
      </c>
      <c r="AN64" s="177">
        <f>IFERROR(合数一覧!S$2*AM64/AR64, 0)</f>
        <v>0</v>
      </c>
      <c r="AO64" s="149" t="str">
        <f t="shared" si="5"/>
        <v>ｇ</v>
      </c>
      <c r="AP64" s="175"/>
      <c r="AQ64" s="149" t="str">
        <f t="shared" si="34"/>
        <v>ｇ</v>
      </c>
      <c r="AR64" s="176">
        <f>合数一覧!U58</f>
        <v>0</v>
      </c>
    </row>
    <row r="65" spans="1:44" ht="35.1" hidden="1" customHeight="1">
      <c r="A65" s="203"/>
      <c r="B65" s="190">
        <f>合数一覧!C59</f>
        <v>0</v>
      </c>
      <c r="C65" s="177">
        <f>IFERROR((合数一覧!D$2*B65)/I65, 0)</f>
        <v>0</v>
      </c>
      <c r="D65" s="149" t="str">
        <f t="shared" si="6"/>
        <v>g</v>
      </c>
      <c r="E65" s="170">
        <f t="shared" si="19"/>
        <v>0</v>
      </c>
      <c r="F65" s="174" t="str">
        <f t="shared" si="0"/>
        <v>g</v>
      </c>
      <c r="G65" s="175">
        <f t="shared" si="28"/>
        <v>0</v>
      </c>
      <c r="H65" s="149" t="str">
        <f t="shared" si="29"/>
        <v>g</v>
      </c>
      <c r="I65" s="176">
        <f>合数一覧!F59</f>
        <v>0</v>
      </c>
      <c r="J65" s="203" t="str">
        <f t="shared" si="17"/>
        <v/>
      </c>
      <c r="K65" s="190">
        <f>合数一覧!C59</f>
        <v>0</v>
      </c>
      <c r="L65" s="177">
        <f>IFERROR(合数一覧!G$2*K65/P65, 0)</f>
        <v>0</v>
      </c>
      <c r="M65" s="154" t="str">
        <f t="shared" si="1"/>
        <v>ｇ</v>
      </c>
      <c r="N65" s="175"/>
      <c r="O65" s="149" t="str">
        <f t="shared" si="30"/>
        <v>ｇ</v>
      </c>
      <c r="P65" s="176">
        <f>合数一覧!I59</f>
        <v>0</v>
      </c>
      <c r="Q65" s="203" t="str">
        <f t="shared" si="13"/>
        <v/>
      </c>
      <c r="R65" s="190">
        <f>合数一覧!C59</f>
        <v>0</v>
      </c>
      <c r="S65" s="177">
        <f>IFERROR(合数一覧!J$2*R65/W65, 0)</f>
        <v>0</v>
      </c>
      <c r="T65" s="154" t="str">
        <f t="shared" si="2"/>
        <v>ｇ</v>
      </c>
      <c r="U65" s="175"/>
      <c r="V65" s="149" t="str">
        <f t="shared" si="31"/>
        <v>ｇ</v>
      </c>
      <c r="W65" s="176">
        <f>合数一覧!L59</f>
        <v>0</v>
      </c>
      <c r="X65" s="203" t="str">
        <f t="shared" si="14"/>
        <v/>
      </c>
      <c r="Y65" s="173">
        <f>合数一覧!C59</f>
        <v>0</v>
      </c>
      <c r="Z65" s="177">
        <f>IFERROR(合数一覧!M$2*Y65/AD65, 0)</f>
        <v>0</v>
      </c>
      <c r="AA65" s="154" t="str">
        <f t="shared" si="3"/>
        <v>ｇ</v>
      </c>
      <c r="AB65" s="175"/>
      <c r="AC65" s="149" t="str">
        <f t="shared" si="32"/>
        <v>ｇ</v>
      </c>
      <c r="AD65" s="176">
        <f>合数一覧!O59</f>
        <v>0</v>
      </c>
      <c r="AE65" s="203" t="str">
        <f t="shared" si="15"/>
        <v/>
      </c>
      <c r="AF65" s="190">
        <v>0</v>
      </c>
      <c r="AG65" s="177">
        <f>IFERROR(合数一覧!P$2*AF65/AK65, 0)</f>
        <v>0</v>
      </c>
      <c r="AH65" s="154" t="str">
        <f t="shared" si="4"/>
        <v>ｇ</v>
      </c>
      <c r="AI65" s="175"/>
      <c r="AJ65" s="149" t="str">
        <f t="shared" si="33"/>
        <v>ｇ</v>
      </c>
      <c r="AK65" s="176">
        <f>合数一覧!R59</f>
        <v>0</v>
      </c>
      <c r="AL65" s="207" t="str">
        <f t="shared" si="16"/>
        <v/>
      </c>
      <c r="AM65" s="230">
        <f>合数一覧!C59</f>
        <v>0</v>
      </c>
      <c r="AN65" s="177">
        <f>IFERROR(合数一覧!S$2*AM65/AR65, 0)</f>
        <v>0</v>
      </c>
      <c r="AO65" s="149" t="str">
        <f t="shared" si="5"/>
        <v>ｇ</v>
      </c>
      <c r="AP65" s="175"/>
      <c r="AQ65" s="149" t="str">
        <f t="shared" si="34"/>
        <v>ｇ</v>
      </c>
      <c r="AR65" s="176">
        <f>合数一覧!U59</f>
        <v>0</v>
      </c>
    </row>
    <row r="66" spans="1:44" ht="35.1" hidden="1" customHeight="1">
      <c r="A66" s="203"/>
      <c r="B66" s="190">
        <f>合数一覧!C60</f>
        <v>0</v>
      </c>
      <c r="C66" s="177">
        <f>IFERROR((合数一覧!D$2*B66)/I66, 0)</f>
        <v>0</v>
      </c>
      <c r="D66" s="149" t="str">
        <f t="shared" si="6"/>
        <v>g</v>
      </c>
      <c r="E66" s="170">
        <f t="shared" si="19"/>
        <v>0</v>
      </c>
      <c r="F66" s="174" t="str">
        <f t="shared" si="0"/>
        <v>g</v>
      </c>
      <c r="G66" s="175">
        <f t="shared" si="28"/>
        <v>0</v>
      </c>
      <c r="H66" s="149" t="str">
        <f t="shared" si="29"/>
        <v>g</v>
      </c>
      <c r="I66" s="176">
        <f>合数一覧!F60</f>
        <v>0</v>
      </c>
      <c r="J66" s="203" t="str">
        <f t="shared" si="17"/>
        <v/>
      </c>
      <c r="K66" s="190">
        <f>合数一覧!C60</f>
        <v>0</v>
      </c>
      <c r="L66" s="177">
        <f>IFERROR(合数一覧!G$2*K66/P66, 0)</f>
        <v>0</v>
      </c>
      <c r="M66" s="154" t="str">
        <f t="shared" si="1"/>
        <v>ｇ</v>
      </c>
      <c r="N66" s="175"/>
      <c r="O66" s="149" t="str">
        <f t="shared" si="30"/>
        <v>ｇ</v>
      </c>
      <c r="P66" s="176">
        <f>合数一覧!I60</f>
        <v>0</v>
      </c>
      <c r="Q66" s="203" t="str">
        <f t="shared" si="13"/>
        <v/>
      </c>
      <c r="R66" s="190">
        <f>合数一覧!C60</f>
        <v>0</v>
      </c>
      <c r="S66" s="177">
        <f>IFERROR(合数一覧!J$2*R66/W66, 0)</f>
        <v>0</v>
      </c>
      <c r="T66" s="154" t="str">
        <f t="shared" si="2"/>
        <v>ｇ</v>
      </c>
      <c r="U66" s="175"/>
      <c r="V66" s="149" t="str">
        <f t="shared" si="31"/>
        <v>ｇ</v>
      </c>
      <c r="W66" s="176">
        <f>合数一覧!L60</f>
        <v>0</v>
      </c>
      <c r="X66" s="203" t="str">
        <f t="shared" si="14"/>
        <v/>
      </c>
      <c r="Y66" s="173">
        <f>合数一覧!C60</f>
        <v>0</v>
      </c>
      <c r="Z66" s="177">
        <f>IFERROR(合数一覧!M$2*Y66/AD66, 0)</f>
        <v>0</v>
      </c>
      <c r="AA66" s="154" t="str">
        <f t="shared" si="3"/>
        <v>ｇ</v>
      </c>
      <c r="AB66" s="175"/>
      <c r="AC66" s="149" t="str">
        <f t="shared" si="32"/>
        <v>ｇ</v>
      </c>
      <c r="AD66" s="176">
        <f>合数一覧!O60</f>
        <v>0</v>
      </c>
      <c r="AE66" s="203" t="str">
        <f t="shared" si="15"/>
        <v/>
      </c>
      <c r="AF66" s="190">
        <v>0</v>
      </c>
      <c r="AG66" s="177">
        <f>IFERROR(合数一覧!P$2*AF66/AK66, 0)</f>
        <v>0</v>
      </c>
      <c r="AH66" s="154" t="str">
        <f t="shared" si="4"/>
        <v>ｇ</v>
      </c>
      <c r="AI66" s="175"/>
      <c r="AJ66" s="149" t="str">
        <f t="shared" si="33"/>
        <v>ｇ</v>
      </c>
      <c r="AK66" s="176">
        <f>合数一覧!R60</f>
        <v>0</v>
      </c>
      <c r="AL66" s="207" t="str">
        <f t="shared" si="16"/>
        <v/>
      </c>
      <c r="AM66" s="230">
        <f>合数一覧!C60</f>
        <v>0</v>
      </c>
      <c r="AN66" s="177">
        <f>IFERROR(合数一覧!S$2*AM66/AR66, 0)</f>
        <v>0</v>
      </c>
      <c r="AO66" s="149" t="str">
        <f t="shared" si="5"/>
        <v>ｇ</v>
      </c>
      <c r="AP66" s="175"/>
      <c r="AQ66" s="149" t="str">
        <f t="shared" si="34"/>
        <v>ｇ</v>
      </c>
      <c r="AR66" s="176">
        <f>合数一覧!U60</f>
        <v>0</v>
      </c>
    </row>
    <row r="67" spans="1:44" ht="35.1" hidden="1" customHeight="1">
      <c r="A67" s="203"/>
      <c r="B67" s="190">
        <f>合数一覧!C61</f>
        <v>0</v>
      </c>
      <c r="C67" s="177">
        <f>IFERROR((合数一覧!D$2*B67)/I67, 0)</f>
        <v>0</v>
      </c>
      <c r="D67" s="149" t="str">
        <f t="shared" si="6"/>
        <v>g</v>
      </c>
      <c r="E67" s="170">
        <f t="shared" si="19"/>
        <v>0</v>
      </c>
      <c r="F67" s="174" t="str">
        <f t="shared" si="0"/>
        <v>g</v>
      </c>
      <c r="G67" s="175">
        <f t="shared" si="28"/>
        <v>0</v>
      </c>
      <c r="H67" s="149" t="str">
        <f t="shared" si="29"/>
        <v>g</v>
      </c>
      <c r="I67" s="176">
        <f>合数一覧!F61</f>
        <v>0</v>
      </c>
      <c r="J67" s="203" t="str">
        <f t="shared" si="17"/>
        <v/>
      </c>
      <c r="K67" s="190">
        <f>合数一覧!C61</f>
        <v>0</v>
      </c>
      <c r="L67" s="177">
        <f>IFERROR(合数一覧!G$2*K67/P67, 0)</f>
        <v>0</v>
      </c>
      <c r="M67" s="154" t="str">
        <f t="shared" si="1"/>
        <v>ｇ</v>
      </c>
      <c r="N67" s="175"/>
      <c r="O67" s="149" t="str">
        <f t="shared" si="30"/>
        <v>ｇ</v>
      </c>
      <c r="P67" s="176">
        <f>合数一覧!I61</f>
        <v>0</v>
      </c>
      <c r="Q67" s="203" t="str">
        <f t="shared" si="13"/>
        <v/>
      </c>
      <c r="R67" s="190">
        <f>合数一覧!C61</f>
        <v>0</v>
      </c>
      <c r="S67" s="177">
        <f>IFERROR(合数一覧!J$2*R67/W67, 0)</f>
        <v>0</v>
      </c>
      <c r="T67" s="154" t="str">
        <f t="shared" si="2"/>
        <v>ｇ</v>
      </c>
      <c r="U67" s="175"/>
      <c r="V67" s="149" t="str">
        <f t="shared" si="31"/>
        <v>ｇ</v>
      </c>
      <c r="W67" s="176">
        <f>合数一覧!L61</f>
        <v>0</v>
      </c>
      <c r="X67" s="203" t="str">
        <f t="shared" si="14"/>
        <v/>
      </c>
      <c r="Y67" s="173">
        <f>合数一覧!C61</f>
        <v>0</v>
      </c>
      <c r="Z67" s="177">
        <f>IFERROR(合数一覧!M$2*Y67/AD67, 0)</f>
        <v>0</v>
      </c>
      <c r="AA67" s="154" t="str">
        <f t="shared" si="3"/>
        <v>ｇ</v>
      </c>
      <c r="AB67" s="175"/>
      <c r="AC67" s="149" t="str">
        <f t="shared" si="32"/>
        <v>ｇ</v>
      </c>
      <c r="AD67" s="176">
        <f>合数一覧!O61</f>
        <v>0</v>
      </c>
      <c r="AE67" s="203" t="str">
        <f t="shared" si="15"/>
        <v/>
      </c>
      <c r="AF67" s="190">
        <v>0</v>
      </c>
      <c r="AG67" s="177">
        <f>IFERROR(合数一覧!P$2*AF67/AK67, 0)</f>
        <v>0</v>
      </c>
      <c r="AH67" s="154" t="str">
        <f t="shared" si="4"/>
        <v>ｇ</v>
      </c>
      <c r="AI67" s="175"/>
      <c r="AJ67" s="149" t="str">
        <f t="shared" si="33"/>
        <v>ｇ</v>
      </c>
      <c r="AK67" s="176">
        <f>合数一覧!R61</f>
        <v>0</v>
      </c>
      <c r="AL67" s="207" t="str">
        <f t="shared" si="16"/>
        <v/>
      </c>
      <c r="AM67" s="230">
        <f>合数一覧!C61</f>
        <v>0</v>
      </c>
      <c r="AN67" s="177">
        <f>IFERROR(合数一覧!S$2*AM67/AR67, 0)</f>
        <v>0</v>
      </c>
      <c r="AO67" s="149" t="str">
        <f t="shared" si="5"/>
        <v>ｇ</v>
      </c>
      <c r="AP67" s="175"/>
      <c r="AQ67" s="149" t="str">
        <f t="shared" si="34"/>
        <v>ｇ</v>
      </c>
      <c r="AR67" s="176">
        <f>合数一覧!U61</f>
        <v>0</v>
      </c>
    </row>
    <row r="68" spans="1:44" ht="35.1" hidden="1" customHeight="1">
      <c r="A68" s="203"/>
      <c r="B68" s="190">
        <f>合数一覧!C62</f>
        <v>0</v>
      </c>
      <c r="C68" s="177">
        <f>IFERROR((合数一覧!D$2*B68)/I68, 0)</f>
        <v>0</v>
      </c>
      <c r="D68" s="149" t="str">
        <f t="shared" si="6"/>
        <v>g</v>
      </c>
      <c r="E68" s="170">
        <f t="shared" si="19"/>
        <v>0</v>
      </c>
      <c r="F68" s="174" t="str">
        <f t="shared" si="0"/>
        <v>g</v>
      </c>
      <c r="G68" s="175">
        <f t="shared" si="28"/>
        <v>0</v>
      </c>
      <c r="H68" s="149" t="str">
        <f t="shared" si="29"/>
        <v>g</v>
      </c>
      <c r="I68" s="176">
        <f>合数一覧!F62</f>
        <v>0</v>
      </c>
      <c r="J68" s="203" t="str">
        <f t="shared" si="17"/>
        <v/>
      </c>
      <c r="K68" s="190">
        <f>合数一覧!C62</f>
        <v>0</v>
      </c>
      <c r="L68" s="177">
        <f>IFERROR(合数一覧!G$2*K68/P68, 0)</f>
        <v>0</v>
      </c>
      <c r="M68" s="154" t="str">
        <f t="shared" si="1"/>
        <v>ｇ</v>
      </c>
      <c r="N68" s="175"/>
      <c r="O68" s="149" t="str">
        <f t="shared" si="30"/>
        <v>ｇ</v>
      </c>
      <c r="P68" s="176">
        <f>合数一覧!I62</f>
        <v>0</v>
      </c>
      <c r="Q68" s="203" t="str">
        <f t="shared" si="13"/>
        <v/>
      </c>
      <c r="R68" s="190">
        <f>合数一覧!C62</f>
        <v>0</v>
      </c>
      <c r="S68" s="177">
        <f>IFERROR(合数一覧!J$2*R68/W68, 0)</f>
        <v>0</v>
      </c>
      <c r="T68" s="154" t="str">
        <f t="shared" si="2"/>
        <v>ｇ</v>
      </c>
      <c r="U68" s="175"/>
      <c r="V68" s="149" t="str">
        <f t="shared" si="31"/>
        <v>ｇ</v>
      </c>
      <c r="W68" s="176">
        <f>合数一覧!L62</f>
        <v>0</v>
      </c>
      <c r="X68" s="203" t="str">
        <f t="shared" si="14"/>
        <v/>
      </c>
      <c r="Y68" s="173">
        <f>合数一覧!C62</f>
        <v>0</v>
      </c>
      <c r="Z68" s="177">
        <f>IFERROR(合数一覧!M$2*Y68/AD68, 0)</f>
        <v>0</v>
      </c>
      <c r="AA68" s="154" t="str">
        <f t="shared" si="3"/>
        <v>ｇ</v>
      </c>
      <c r="AB68" s="175"/>
      <c r="AC68" s="149" t="str">
        <f t="shared" si="32"/>
        <v>ｇ</v>
      </c>
      <c r="AD68" s="176">
        <f>合数一覧!O62</f>
        <v>0</v>
      </c>
      <c r="AE68" s="203" t="str">
        <f t="shared" si="15"/>
        <v/>
      </c>
      <c r="AF68" s="190">
        <v>0</v>
      </c>
      <c r="AG68" s="177">
        <f>IFERROR(合数一覧!P$2*AF68/AK68, 0)</f>
        <v>0</v>
      </c>
      <c r="AH68" s="154" t="str">
        <f t="shared" si="4"/>
        <v>ｇ</v>
      </c>
      <c r="AI68" s="175"/>
      <c r="AJ68" s="149" t="str">
        <f t="shared" si="33"/>
        <v>ｇ</v>
      </c>
      <c r="AK68" s="176">
        <f>合数一覧!R62</f>
        <v>0</v>
      </c>
      <c r="AL68" s="207" t="str">
        <f t="shared" si="16"/>
        <v/>
      </c>
      <c r="AM68" s="230">
        <f>合数一覧!C62</f>
        <v>0</v>
      </c>
      <c r="AN68" s="177">
        <f>IFERROR(合数一覧!S$2*AM68/AR68, 0)</f>
        <v>0</v>
      </c>
      <c r="AO68" s="149" t="str">
        <f t="shared" si="5"/>
        <v>ｇ</v>
      </c>
      <c r="AP68" s="175"/>
      <c r="AQ68" s="149" t="str">
        <f t="shared" si="34"/>
        <v>ｇ</v>
      </c>
      <c r="AR68" s="176">
        <f>合数一覧!U62</f>
        <v>0</v>
      </c>
    </row>
    <row r="69" spans="1:44" ht="35.1" hidden="1" customHeight="1">
      <c r="A69" s="203"/>
      <c r="B69" s="190">
        <f>合数一覧!C63</f>
        <v>0</v>
      </c>
      <c r="C69" s="177">
        <f>IFERROR((合数一覧!D$2*B69)/I69, 0)</f>
        <v>0</v>
      </c>
      <c r="D69" s="149" t="str">
        <f t="shared" si="6"/>
        <v>g</v>
      </c>
      <c r="E69" s="170">
        <f t="shared" si="19"/>
        <v>0</v>
      </c>
      <c r="F69" s="174" t="str">
        <f t="shared" si="0"/>
        <v>g</v>
      </c>
      <c r="G69" s="175">
        <f t="shared" si="28"/>
        <v>0</v>
      </c>
      <c r="H69" s="149" t="str">
        <f t="shared" si="29"/>
        <v>g</v>
      </c>
      <c r="I69" s="176">
        <f>合数一覧!F63</f>
        <v>0</v>
      </c>
      <c r="J69" s="203" t="str">
        <f t="shared" si="17"/>
        <v/>
      </c>
      <c r="K69" s="190">
        <f>合数一覧!C63</f>
        <v>0</v>
      </c>
      <c r="L69" s="177">
        <f>IFERROR(合数一覧!G$2*K69/P69, 0)</f>
        <v>0</v>
      </c>
      <c r="M69" s="154" t="str">
        <f t="shared" si="1"/>
        <v>ｇ</v>
      </c>
      <c r="N69" s="175"/>
      <c r="O69" s="149" t="str">
        <f t="shared" si="30"/>
        <v>ｇ</v>
      </c>
      <c r="P69" s="176">
        <f>合数一覧!I63</f>
        <v>0</v>
      </c>
      <c r="Q69" s="203" t="str">
        <f t="shared" si="13"/>
        <v/>
      </c>
      <c r="R69" s="190">
        <f>合数一覧!C63</f>
        <v>0</v>
      </c>
      <c r="S69" s="177">
        <f>IFERROR(合数一覧!J$2*R69/W69, 0)</f>
        <v>0</v>
      </c>
      <c r="T69" s="154" t="str">
        <f t="shared" si="2"/>
        <v>ｇ</v>
      </c>
      <c r="U69" s="175"/>
      <c r="V69" s="149" t="str">
        <f t="shared" si="31"/>
        <v>ｇ</v>
      </c>
      <c r="W69" s="176">
        <f>合数一覧!L63</f>
        <v>0</v>
      </c>
      <c r="X69" s="203" t="str">
        <f t="shared" si="14"/>
        <v/>
      </c>
      <c r="Y69" s="173">
        <f>合数一覧!C63</f>
        <v>0</v>
      </c>
      <c r="Z69" s="177">
        <f>IFERROR(合数一覧!M$2*Y69/AD69, 0)</f>
        <v>0</v>
      </c>
      <c r="AA69" s="154" t="str">
        <f t="shared" si="3"/>
        <v>ｇ</v>
      </c>
      <c r="AB69" s="175"/>
      <c r="AC69" s="149" t="str">
        <f t="shared" si="32"/>
        <v>ｇ</v>
      </c>
      <c r="AD69" s="176">
        <f>合数一覧!O63</f>
        <v>0</v>
      </c>
      <c r="AE69" s="203" t="str">
        <f t="shared" si="15"/>
        <v/>
      </c>
      <c r="AF69" s="190">
        <v>0</v>
      </c>
      <c r="AG69" s="177">
        <f>IFERROR(合数一覧!P$2*AF69/AK69, 0)</f>
        <v>0</v>
      </c>
      <c r="AH69" s="154" t="str">
        <f t="shared" si="4"/>
        <v>ｇ</v>
      </c>
      <c r="AI69" s="175"/>
      <c r="AJ69" s="149" t="str">
        <f t="shared" si="33"/>
        <v>ｇ</v>
      </c>
      <c r="AK69" s="176">
        <f>合数一覧!R63</f>
        <v>0</v>
      </c>
      <c r="AL69" s="207" t="str">
        <f t="shared" si="16"/>
        <v/>
      </c>
      <c r="AM69" s="230">
        <f>合数一覧!C63</f>
        <v>0</v>
      </c>
      <c r="AN69" s="177">
        <f>IFERROR(合数一覧!S$2*AM69/AR69, 0)</f>
        <v>0</v>
      </c>
      <c r="AO69" s="149" t="str">
        <f t="shared" si="5"/>
        <v>ｇ</v>
      </c>
      <c r="AP69" s="175"/>
      <c r="AQ69" s="149" t="str">
        <f t="shared" si="34"/>
        <v>ｇ</v>
      </c>
      <c r="AR69" s="176">
        <f>合数一覧!U63</f>
        <v>0</v>
      </c>
    </row>
    <row r="70" spans="1:44" ht="35.1" customHeight="1">
      <c r="A70" s="203"/>
      <c r="B70" s="190">
        <f>合数一覧!C64</f>
        <v>0</v>
      </c>
      <c r="C70" s="177">
        <f>IFERROR((合数一覧!D$2*B70)/I70, 0)</f>
        <v>0</v>
      </c>
      <c r="D70" s="233" t="str">
        <f t="shared" si="6"/>
        <v>g</v>
      </c>
      <c r="E70" s="234">
        <f t="shared" si="19"/>
        <v>0</v>
      </c>
      <c r="F70" s="174" t="str">
        <f t="shared" si="0"/>
        <v>g</v>
      </c>
      <c r="G70" s="175">
        <f t="shared" si="20"/>
        <v>0</v>
      </c>
      <c r="H70" s="233" t="str">
        <f t="shared" si="7"/>
        <v>g</v>
      </c>
      <c r="I70" s="176">
        <f>合数一覧!F64</f>
        <v>0</v>
      </c>
      <c r="J70" s="203" t="str">
        <f t="shared" si="17"/>
        <v/>
      </c>
      <c r="K70" s="190">
        <f>合数一覧!C64</f>
        <v>0</v>
      </c>
      <c r="L70" s="177">
        <f>IFERROR(合数一覧!G$2*K70/P70, 0)</f>
        <v>0</v>
      </c>
      <c r="M70" s="235" t="str">
        <f t="shared" si="1"/>
        <v>ｇ</v>
      </c>
      <c r="N70" s="175"/>
      <c r="O70" s="233" t="str">
        <f t="shared" si="8"/>
        <v>ｇ</v>
      </c>
      <c r="P70" s="176">
        <f>合数一覧!I64</f>
        <v>0</v>
      </c>
      <c r="Q70" s="203" t="str">
        <f t="shared" si="13"/>
        <v/>
      </c>
      <c r="R70" s="190">
        <f>合数一覧!C64</f>
        <v>0</v>
      </c>
      <c r="S70" s="177">
        <f>IFERROR(合数一覧!J$2*R70/W70, 0)</f>
        <v>0</v>
      </c>
      <c r="T70" s="235" t="str">
        <f t="shared" si="2"/>
        <v>ｇ</v>
      </c>
      <c r="U70" s="175"/>
      <c r="V70" s="233" t="str">
        <f t="shared" si="9"/>
        <v>ｇ</v>
      </c>
      <c r="W70" s="176">
        <f>合数一覧!L64</f>
        <v>0</v>
      </c>
      <c r="X70" s="203" t="str">
        <f t="shared" si="14"/>
        <v/>
      </c>
      <c r="Y70" s="173">
        <f>合数一覧!C64</f>
        <v>0</v>
      </c>
      <c r="Z70" s="177">
        <f>IFERROR(合数一覧!M$2*Y70/AD70, 0)</f>
        <v>0</v>
      </c>
      <c r="AA70" s="235" t="str">
        <f t="shared" si="3"/>
        <v>ｇ</v>
      </c>
      <c r="AB70" s="175"/>
      <c r="AC70" s="233" t="str">
        <f t="shared" si="10"/>
        <v>ｇ</v>
      </c>
      <c r="AD70" s="176">
        <f>合数一覧!O64</f>
        <v>0</v>
      </c>
      <c r="AE70" s="203" t="str">
        <f t="shared" si="15"/>
        <v/>
      </c>
      <c r="AF70" s="190">
        <v>0</v>
      </c>
      <c r="AG70" s="177">
        <f>IFERROR(合数一覧!P$2*AF70/AK70, 0)</f>
        <v>0</v>
      </c>
      <c r="AH70" s="235" t="str">
        <f t="shared" si="4"/>
        <v>ｇ</v>
      </c>
      <c r="AI70" s="175"/>
      <c r="AJ70" s="233" t="str">
        <f t="shared" si="11"/>
        <v>ｇ</v>
      </c>
      <c r="AK70" s="176">
        <f>合数一覧!R64</f>
        <v>0</v>
      </c>
      <c r="AL70" s="207" t="str">
        <f t="shared" si="16"/>
        <v/>
      </c>
      <c r="AM70" s="230">
        <f>合数一覧!C64</f>
        <v>0</v>
      </c>
      <c r="AN70" s="177">
        <f>IFERROR(合数一覧!S$2*AM70/AR70, 0)</f>
        <v>0</v>
      </c>
      <c r="AO70" s="233" t="str">
        <f t="shared" si="5"/>
        <v>ｇ</v>
      </c>
      <c r="AP70" s="175"/>
      <c r="AQ70" s="233" t="str">
        <f t="shared" si="12"/>
        <v>ｇ</v>
      </c>
      <c r="AR70" s="176">
        <f>合数一覧!U64</f>
        <v>0</v>
      </c>
    </row>
    <row r="71" spans="1:44" ht="35.1" customHeight="1">
      <c r="A71" s="203"/>
      <c r="B71" s="190">
        <f>合数一覧!C65</f>
        <v>0</v>
      </c>
      <c r="C71" s="177">
        <f>IFERROR((合数一覧!D$2*B71)/I71, 0)</f>
        <v>0</v>
      </c>
      <c r="D71" s="233" t="str">
        <f t="shared" si="6"/>
        <v>g</v>
      </c>
      <c r="E71" s="234">
        <f t="shared" ref="E71:E91" si="35">IFERROR(C71*E$1, 0)</f>
        <v>0</v>
      </c>
      <c r="F71" s="174" t="str">
        <f t="shared" si="0"/>
        <v>g</v>
      </c>
      <c r="G71" s="175">
        <f t="shared" ref="G71:G91" si="36">(C71+E71)</f>
        <v>0</v>
      </c>
      <c r="H71" s="233" t="str">
        <f t="shared" ref="H71:H91" si="37">F$2</f>
        <v>g</v>
      </c>
      <c r="I71" s="176">
        <f>合数一覧!F65</f>
        <v>0</v>
      </c>
      <c r="J71" s="203" t="str">
        <f t="shared" si="17"/>
        <v/>
      </c>
      <c r="K71" s="190">
        <f>合数一覧!C65</f>
        <v>0</v>
      </c>
      <c r="L71" s="177">
        <f>IFERROR(合数一覧!G$2*K71/P71, 0)</f>
        <v>0</v>
      </c>
      <c r="M71" s="235" t="str">
        <f t="shared" si="1"/>
        <v>ｇ</v>
      </c>
      <c r="N71" s="175"/>
      <c r="O71" s="233" t="str">
        <f t="shared" ref="O71:O91" si="38">M$2</f>
        <v>ｇ</v>
      </c>
      <c r="P71" s="176">
        <f>合数一覧!I65</f>
        <v>0</v>
      </c>
      <c r="Q71" s="203" t="str">
        <f t="shared" si="13"/>
        <v/>
      </c>
      <c r="R71" s="190">
        <f>合数一覧!C65</f>
        <v>0</v>
      </c>
      <c r="S71" s="177">
        <f>IFERROR(合数一覧!J$2*R71/W71, 0)</f>
        <v>0</v>
      </c>
      <c r="T71" s="235" t="str">
        <f t="shared" si="2"/>
        <v>ｇ</v>
      </c>
      <c r="U71" s="175"/>
      <c r="V71" s="233" t="str">
        <f t="shared" ref="V71:V91" si="39">T$2</f>
        <v>ｇ</v>
      </c>
      <c r="W71" s="176">
        <f>合数一覧!L65</f>
        <v>0</v>
      </c>
      <c r="X71" s="203" t="str">
        <f t="shared" si="14"/>
        <v/>
      </c>
      <c r="Y71" s="173">
        <f>合数一覧!C65</f>
        <v>0</v>
      </c>
      <c r="Z71" s="177">
        <f>IFERROR(合数一覧!M$2*Y71/AD71, 0)</f>
        <v>0</v>
      </c>
      <c r="AA71" s="235" t="str">
        <f t="shared" si="3"/>
        <v>ｇ</v>
      </c>
      <c r="AB71" s="175"/>
      <c r="AC71" s="233" t="str">
        <f t="shared" ref="AC71:AC91" si="40">AA$2</f>
        <v>ｇ</v>
      </c>
      <c r="AD71" s="176">
        <f>合数一覧!O65</f>
        <v>0</v>
      </c>
      <c r="AE71" s="203" t="str">
        <f t="shared" si="15"/>
        <v/>
      </c>
      <c r="AF71" s="190">
        <v>0</v>
      </c>
      <c r="AG71" s="177">
        <f>IFERROR(合数一覧!P$2*AF71/AK71, 0)</f>
        <v>0</v>
      </c>
      <c r="AH71" s="235" t="str">
        <f t="shared" si="4"/>
        <v>ｇ</v>
      </c>
      <c r="AI71" s="175"/>
      <c r="AJ71" s="233" t="str">
        <f t="shared" ref="AJ71:AJ91" si="41">AH$2</f>
        <v>ｇ</v>
      </c>
      <c r="AK71" s="176">
        <f>合数一覧!R65</f>
        <v>0</v>
      </c>
      <c r="AL71" s="207" t="str">
        <f t="shared" si="16"/>
        <v/>
      </c>
      <c r="AM71" s="230">
        <f>合数一覧!C65</f>
        <v>0</v>
      </c>
      <c r="AN71" s="177">
        <f>IFERROR(合数一覧!S$2*AM71/AR71, 0)</f>
        <v>0</v>
      </c>
      <c r="AO71" s="233" t="str">
        <f t="shared" si="5"/>
        <v>ｇ</v>
      </c>
      <c r="AP71" s="175"/>
      <c r="AQ71" s="233" t="str">
        <f t="shared" ref="AQ71:AQ91" si="42">AO$2</f>
        <v>ｇ</v>
      </c>
      <c r="AR71" s="176">
        <f>合数一覧!U65</f>
        <v>0</v>
      </c>
    </row>
    <row r="72" spans="1:44" ht="35.1" customHeight="1">
      <c r="A72" s="203"/>
      <c r="B72" s="190">
        <f>合数一覧!C66</f>
        <v>0</v>
      </c>
      <c r="C72" s="177">
        <f>IFERROR((合数一覧!D$2*B72)/I72, 0)</f>
        <v>0</v>
      </c>
      <c r="D72" s="233" t="str">
        <f t="shared" ref="D72:D91" si="43">D$2</f>
        <v>g</v>
      </c>
      <c r="E72" s="234">
        <f t="shared" si="35"/>
        <v>0</v>
      </c>
      <c r="F72" s="174" t="str">
        <f t="shared" ref="F72:F91" si="44">F$2</f>
        <v>g</v>
      </c>
      <c r="G72" s="175">
        <f t="shared" si="36"/>
        <v>0</v>
      </c>
      <c r="H72" s="233" t="str">
        <f t="shared" si="37"/>
        <v>g</v>
      </c>
      <c r="I72" s="176">
        <f>合数一覧!F66</f>
        <v>0</v>
      </c>
      <c r="J72" s="203" t="str">
        <f t="shared" ref="J72:J91" si="45">IF($A72="", "", $A72)</f>
        <v/>
      </c>
      <c r="K72" s="190">
        <f>合数一覧!C66</f>
        <v>0</v>
      </c>
      <c r="L72" s="177">
        <f>IFERROR(合数一覧!G$2*K72/P72, 0)</f>
        <v>0</v>
      </c>
      <c r="M72" s="235" t="str">
        <f t="shared" ref="M72:M91" si="46">M$2</f>
        <v>ｇ</v>
      </c>
      <c r="N72" s="175"/>
      <c r="O72" s="233" t="str">
        <f t="shared" si="38"/>
        <v>ｇ</v>
      </c>
      <c r="P72" s="176">
        <f>合数一覧!I66</f>
        <v>0</v>
      </c>
      <c r="Q72" s="203" t="str">
        <f t="shared" ref="Q72:Q91" si="47">IF($A72="", "", $A72)</f>
        <v/>
      </c>
      <c r="R72" s="190">
        <f>合数一覧!C66</f>
        <v>0</v>
      </c>
      <c r="S72" s="177">
        <f>IFERROR(合数一覧!J$2*R72/W72, 0)</f>
        <v>0</v>
      </c>
      <c r="T72" s="235" t="str">
        <f t="shared" ref="T72:T91" si="48">T$2</f>
        <v>ｇ</v>
      </c>
      <c r="U72" s="175"/>
      <c r="V72" s="233" t="str">
        <f t="shared" si="39"/>
        <v>ｇ</v>
      </c>
      <c r="W72" s="176">
        <f>合数一覧!L66</f>
        <v>0</v>
      </c>
      <c r="X72" s="203" t="str">
        <f t="shared" ref="X72:X91" si="49">IF($A72="", "", $A72)</f>
        <v/>
      </c>
      <c r="Y72" s="173">
        <f>合数一覧!C66</f>
        <v>0</v>
      </c>
      <c r="Z72" s="177">
        <f>IFERROR(合数一覧!M$2*Y72/AD72, 0)</f>
        <v>0</v>
      </c>
      <c r="AA72" s="235" t="str">
        <f t="shared" ref="AA72:AA91" si="50">AA$2</f>
        <v>ｇ</v>
      </c>
      <c r="AB72" s="175"/>
      <c r="AC72" s="233" t="str">
        <f t="shared" si="40"/>
        <v>ｇ</v>
      </c>
      <c r="AD72" s="176">
        <f>合数一覧!O66</f>
        <v>0</v>
      </c>
      <c r="AE72" s="203" t="str">
        <f t="shared" ref="AE72:AE91" si="51">IF($A72="", "", $A72)</f>
        <v/>
      </c>
      <c r="AF72" s="190">
        <v>0</v>
      </c>
      <c r="AG72" s="177">
        <f>IFERROR(合数一覧!P$2*AF72/AK72, 0)</f>
        <v>0</v>
      </c>
      <c r="AH72" s="235" t="str">
        <f t="shared" ref="AH72:AH91" si="52">AH$2</f>
        <v>ｇ</v>
      </c>
      <c r="AI72" s="175"/>
      <c r="AJ72" s="233" t="str">
        <f t="shared" si="41"/>
        <v>ｇ</v>
      </c>
      <c r="AK72" s="176">
        <f>合数一覧!R66</f>
        <v>0</v>
      </c>
      <c r="AL72" s="207" t="str">
        <f t="shared" ref="AL72:AL91" si="53">IF($A72="", "", $A72)</f>
        <v/>
      </c>
      <c r="AM72" s="230">
        <f>合数一覧!C66</f>
        <v>0</v>
      </c>
      <c r="AN72" s="177">
        <f>IFERROR(合数一覧!S$2*AM72/AR72, 0)</f>
        <v>0</v>
      </c>
      <c r="AO72" s="233" t="str">
        <f t="shared" ref="AO72:AO91" si="54">AO$2</f>
        <v>ｇ</v>
      </c>
      <c r="AP72" s="175"/>
      <c r="AQ72" s="233" t="str">
        <f t="shared" si="42"/>
        <v>ｇ</v>
      </c>
      <c r="AR72" s="176">
        <f>合数一覧!U66</f>
        <v>0</v>
      </c>
    </row>
    <row r="73" spans="1:44" ht="35.1" customHeight="1">
      <c r="A73" s="203"/>
      <c r="B73" s="190">
        <f>合数一覧!C67</f>
        <v>0</v>
      </c>
      <c r="C73" s="177">
        <f>IFERROR((合数一覧!D$2*B73)/I73, 0)</f>
        <v>0</v>
      </c>
      <c r="D73" s="233" t="str">
        <f t="shared" si="43"/>
        <v>g</v>
      </c>
      <c r="E73" s="234">
        <f t="shared" si="35"/>
        <v>0</v>
      </c>
      <c r="F73" s="174" t="str">
        <f t="shared" si="44"/>
        <v>g</v>
      </c>
      <c r="G73" s="175">
        <f t="shared" si="36"/>
        <v>0</v>
      </c>
      <c r="H73" s="233" t="str">
        <f t="shared" si="37"/>
        <v>g</v>
      </c>
      <c r="I73" s="176">
        <f>合数一覧!F67</f>
        <v>0</v>
      </c>
      <c r="J73" s="203" t="str">
        <f t="shared" si="45"/>
        <v/>
      </c>
      <c r="K73" s="190">
        <f>合数一覧!C67</f>
        <v>0</v>
      </c>
      <c r="L73" s="177">
        <f>IFERROR(合数一覧!G$2*K73/P73, 0)</f>
        <v>0</v>
      </c>
      <c r="M73" s="235" t="str">
        <f t="shared" si="46"/>
        <v>ｇ</v>
      </c>
      <c r="N73" s="175"/>
      <c r="O73" s="233" t="str">
        <f t="shared" si="38"/>
        <v>ｇ</v>
      </c>
      <c r="P73" s="176">
        <f>合数一覧!I67</f>
        <v>0</v>
      </c>
      <c r="Q73" s="203" t="str">
        <f t="shared" si="47"/>
        <v/>
      </c>
      <c r="R73" s="190">
        <f>合数一覧!C67</f>
        <v>0</v>
      </c>
      <c r="S73" s="177">
        <f>IFERROR(合数一覧!J$2*R73/W73, 0)</f>
        <v>0</v>
      </c>
      <c r="T73" s="235" t="str">
        <f t="shared" si="48"/>
        <v>ｇ</v>
      </c>
      <c r="U73" s="175"/>
      <c r="V73" s="233" t="str">
        <f t="shared" si="39"/>
        <v>ｇ</v>
      </c>
      <c r="W73" s="176">
        <f>合数一覧!L67</f>
        <v>0</v>
      </c>
      <c r="X73" s="203" t="str">
        <f t="shared" si="49"/>
        <v/>
      </c>
      <c r="Y73" s="173">
        <f>合数一覧!C67</f>
        <v>0</v>
      </c>
      <c r="Z73" s="177">
        <f>IFERROR(合数一覧!M$2*Y73/AD73, 0)</f>
        <v>0</v>
      </c>
      <c r="AA73" s="235" t="str">
        <f t="shared" si="50"/>
        <v>ｇ</v>
      </c>
      <c r="AB73" s="175"/>
      <c r="AC73" s="233" t="str">
        <f t="shared" si="40"/>
        <v>ｇ</v>
      </c>
      <c r="AD73" s="176">
        <f>合数一覧!O67</f>
        <v>0</v>
      </c>
      <c r="AE73" s="203" t="str">
        <f t="shared" si="51"/>
        <v/>
      </c>
      <c r="AF73" s="190">
        <v>0</v>
      </c>
      <c r="AG73" s="177">
        <f>IFERROR(合数一覧!P$2*AF73/AK73, 0)</f>
        <v>0</v>
      </c>
      <c r="AH73" s="235" t="str">
        <f t="shared" si="52"/>
        <v>ｇ</v>
      </c>
      <c r="AI73" s="175"/>
      <c r="AJ73" s="233" t="str">
        <f t="shared" si="41"/>
        <v>ｇ</v>
      </c>
      <c r="AK73" s="176">
        <f>合数一覧!R67</f>
        <v>0</v>
      </c>
      <c r="AL73" s="207" t="str">
        <f t="shared" si="53"/>
        <v/>
      </c>
      <c r="AM73" s="230">
        <f>合数一覧!C67</f>
        <v>0</v>
      </c>
      <c r="AN73" s="177">
        <f>IFERROR(合数一覧!S$2*AM73/AR73, 0)</f>
        <v>0</v>
      </c>
      <c r="AO73" s="233" t="str">
        <f t="shared" si="54"/>
        <v>ｇ</v>
      </c>
      <c r="AP73" s="175"/>
      <c r="AQ73" s="233" t="str">
        <f t="shared" si="42"/>
        <v>ｇ</v>
      </c>
      <c r="AR73" s="176">
        <f>合数一覧!U67</f>
        <v>0</v>
      </c>
    </row>
    <row r="74" spans="1:44" ht="35.1" customHeight="1">
      <c r="A74" s="203"/>
      <c r="B74" s="190">
        <f>合数一覧!C68</f>
        <v>0</v>
      </c>
      <c r="C74" s="177">
        <f>IFERROR((合数一覧!D$2*B74)/I74, 0)</f>
        <v>0</v>
      </c>
      <c r="D74" s="233" t="str">
        <f t="shared" si="43"/>
        <v>g</v>
      </c>
      <c r="E74" s="234">
        <f t="shared" si="35"/>
        <v>0</v>
      </c>
      <c r="F74" s="174" t="str">
        <f t="shared" si="44"/>
        <v>g</v>
      </c>
      <c r="G74" s="175">
        <f t="shared" si="36"/>
        <v>0</v>
      </c>
      <c r="H74" s="233" t="str">
        <f t="shared" si="37"/>
        <v>g</v>
      </c>
      <c r="I74" s="176">
        <f>合数一覧!F68</f>
        <v>0</v>
      </c>
      <c r="J74" s="203" t="str">
        <f t="shared" si="45"/>
        <v/>
      </c>
      <c r="K74" s="190">
        <f>合数一覧!C68</f>
        <v>0</v>
      </c>
      <c r="L74" s="177">
        <f>IFERROR(合数一覧!G$2*K74/P74, 0)</f>
        <v>0</v>
      </c>
      <c r="M74" s="235" t="str">
        <f t="shared" si="46"/>
        <v>ｇ</v>
      </c>
      <c r="N74" s="175"/>
      <c r="O74" s="233" t="str">
        <f t="shared" si="38"/>
        <v>ｇ</v>
      </c>
      <c r="P74" s="176">
        <f>合数一覧!I68</f>
        <v>0</v>
      </c>
      <c r="Q74" s="203" t="str">
        <f t="shared" si="47"/>
        <v/>
      </c>
      <c r="R74" s="190">
        <f>合数一覧!C68</f>
        <v>0</v>
      </c>
      <c r="S74" s="177">
        <f>IFERROR(合数一覧!J$2*R74/W74, 0)</f>
        <v>0</v>
      </c>
      <c r="T74" s="235" t="str">
        <f t="shared" si="48"/>
        <v>ｇ</v>
      </c>
      <c r="U74" s="175"/>
      <c r="V74" s="233" t="str">
        <f t="shared" si="39"/>
        <v>ｇ</v>
      </c>
      <c r="W74" s="176">
        <f>合数一覧!L68</f>
        <v>0</v>
      </c>
      <c r="X74" s="203" t="str">
        <f t="shared" si="49"/>
        <v/>
      </c>
      <c r="Y74" s="173">
        <f>合数一覧!C68</f>
        <v>0</v>
      </c>
      <c r="Z74" s="177">
        <f>IFERROR(合数一覧!M$2*Y74/AD74, 0)</f>
        <v>0</v>
      </c>
      <c r="AA74" s="235" t="str">
        <f t="shared" si="50"/>
        <v>ｇ</v>
      </c>
      <c r="AB74" s="175"/>
      <c r="AC74" s="233" t="str">
        <f t="shared" si="40"/>
        <v>ｇ</v>
      </c>
      <c r="AD74" s="176">
        <f>合数一覧!O68</f>
        <v>0</v>
      </c>
      <c r="AE74" s="203" t="str">
        <f t="shared" si="51"/>
        <v/>
      </c>
      <c r="AF74" s="190">
        <v>0</v>
      </c>
      <c r="AG74" s="177">
        <f>IFERROR(合数一覧!P$2*AF74/AK74, 0)</f>
        <v>0</v>
      </c>
      <c r="AH74" s="235" t="str">
        <f t="shared" si="52"/>
        <v>ｇ</v>
      </c>
      <c r="AI74" s="175"/>
      <c r="AJ74" s="233" t="str">
        <f t="shared" si="41"/>
        <v>ｇ</v>
      </c>
      <c r="AK74" s="176">
        <f>合数一覧!R68</f>
        <v>0</v>
      </c>
      <c r="AL74" s="207" t="str">
        <f t="shared" si="53"/>
        <v/>
      </c>
      <c r="AM74" s="230">
        <f>合数一覧!C68</f>
        <v>0</v>
      </c>
      <c r="AN74" s="177">
        <f>IFERROR(合数一覧!S$2*AM74/AR74, 0)</f>
        <v>0</v>
      </c>
      <c r="AO74" s="233" t="str">
        <f t="shared" si="54"/>
        <v>ｇ</v>
      </c>
      <c r="AP74" s="175"/>
      <c r="AQ74" s="233" t="str">
        <f t="shared" si="42"/>
        <v>ｇ</v>
      </c>
      <c r="AR74" s="176">
        <f>合数一覧!U68</f>
        <v>0</v>
      </c>
    </row>
    <row r="75" spans="1:44" ht="35.1" customHeight="1">
      <c r="A75" s="203"/>
      <c r="B75" s="190">
        <f>合数一覧!C69</f>
        <v>0</v>
      </c>
      <c r="C75" s="177">
        <f>IFERROR((合数一覧!D$2*B75)/I75, 0)</f>
        <v>0</v>
      </c>
      <c r="D75" s="233" t="str">
        <f t="shared" si="43"/>
        <v>g</v>
      </c>
      <c r="E75" s="234">
        <f t="shared" si="35"/>
        <v>0</v>
      </c>
      <c r="F75" s="174" t="str">
        <f t="shared" si="44"/>
        <v>g</v>
      </c>
      <c r="G75" s="175">
        <f t="shared" si="36"/>
        <v>0</v>
      </c>
      <c r="H75" s="233" t="str">
        <f t="shared" si="37"/>
        <v>g</v>
      </c>
      <c r="I75" s="176">
        <f>合数一覧!F69</f>
        <v>0</v>
      </c>
      <c r="J75" s="203" t="str">
        <f t="shared" si="45"/>
        <v/>
      </c>
      <c r="K75" s="190">
        <f>合数一覧!C69</f>
        <v>0</v>
      </c>
      <c r="L75" s="177">
        <f>IFERROR(合数一覧!G$2*K75/P75, 0)</f>
        <v>0</v>
      </c>
      <c r="M75" s="235" t="str">
        <f t="shared" si="46"/>
        <v>ｇ</v>
      </c>
      <c r="N75" s="175"/>
      <c r="O75" s="233" t="str">
        <f t="shared" si="38"/>
        <v>ｇ</v>
      </c>
      <c r="P75" s="176">
        <f>合数一覧!I69</f>
        <v>0</v>
      </c>
      <c r="Q75" s="203" t="str">
        <f t="shared" si="47"/>
        <v/>
      </c>
      <c r="R75" s="190">
        <f>合数一覧!C69</f>
        <v>0</v>
      </c>
      <c r="S75" s="177">
        <f>IFERROR(合数一覧!J$2*R75/W75, 0)</f>
        <v>0</v>
      </c>
      <c r="T75" s="235" t="str">
        <f t="shared" si="48"/>
        <v>ｇ</v>
      </c>
      <c r="U75" s="175"/>
      <c r="V75" s="233" t="str">
        <f t="shared" si="39"/>
        <v>ｇ</v>
      </c>
      <c r="W75" s="176">
        <f>合数一覧!L69</f>
        <v>0</v>
      </c>
      <c r="X75" s="203" t="str">
        <f t="shared" si="49"/>
        <v/>
      </c>
      <c r="Y75" s="173">
        <f>合数一覧!C69</f>
        <v>0</v>
      </c>
      <c r="Z75" s="177">
        <f>IFERROR(合数一覧!M$2*Y75/AD75, 0)</f>
        <v>0</v>
      </c>
      <c r="AA75" s="235" t="str">
        <f t="shared" si="50"/>
        <v>ｇ</v>
      </c>
      <c r="AB75" s="175"/>
      <c r="AC75" s="233" t="str">
        <f t="shared" si="40"/>
        <v>ｇ</v>
      </c>
      <c r="AD75" s="176">
        <f>合数一覧!O69</f>
        <v>0</v>
      </c>
      <c r="AE75" s="203" t="str">
        <f t="shared" si="51"/>
        <v/>
      </c>
      <c r="AF75" s="190">
        <v>0</v>
      </c>
      <c r="AG75" s="177">
        <f>IFERROR(合数一覧!P$2*AF75/AK75, 0)</f>
        <v>0</v>
      </c>
      <c r="AH75" s="235" t="str">
        <f t="shared" si="52"/>
        <v>ｇ</v>
      </c>
      <c r="AI75" s="175"/>
      <c r="AJ75" s="233" t="str">
        <f t="shared" si="41"/>
        <v>ｇ</v>
      </c>
      <c r="AK75" s="176">
        <f>合数一覧!R69</f>
        <v>0</v>
      </c>
      <c r="AL75" s="207" t="str">
        <f t="shared" si="53"/>
        <v/>
      </c>
      <c r="AM75" s="230">
        <f>合数一覧!C69</f>
        <v>0</v>
      </c>
      <c r="AN75" s="177">
        <f>IFERROR(合数一覧!S$2*AM75/AR75, 0)</f>
        <v>0</v>
      </c>
      <c r="AO75" s="233" t="str">
        <f t="shared" si="54"/>
        <v>ｇ</v>
      </c>
      <c r="AP75" s="175"/>
      <c r="AQ75" s="233" t="str">
        <f t="shared" si="42"/>
        <v>ｇ</v>
      </c>
      <c r="AR75" s="176">
        <f>合数一覧!U69</f>
        <v>0</v>
      </c>
    </row>
    <row r="76" spans="1:44" ht="35.1" hidden="1" customHeight="1">
      <c r="A76" s="203"/>
      <c r="B76" s="190">
        <f>合数一覧!C70</f>
        <v>0</v>
      </c>
      <c r="C76" s="177">
        <f>IFERROR((合数一覧!D$2*B76)/I76, 0)</f>
        <v>0</v>
      </c>
      <c r="D76" s="233" t="str">
        <f t="shared" si="43"/>
        <v>g</v>
      </c>
      <c r="E76" s="234">
        <f t="shared" si="35"/>
        <v>0</v>
      </c>
      <c r="F76" s="174" t="str">
        <f t="shared" si="44"/>
        <v>g</v>
      </c>
      <c r="G76" s="175">
        <f t="shared" si="36"/>
        <v>0</v>
      </c>
      <c r="H76" s="233" t="str">
        <f t="shared" si="37"/>
        <v>g</v>
      </c>
      <c r="I76" s="176">
        <f>合数一覧!F70</f>
        <v>0</v>
      </c>
      <c r="J76" s="203" t="str">
        <f t="shared" si="45"/>
        <v/>
      </c>
      <c r="K76" s="190">
        <f>合数一覧!C70</f>
        <v>0</v>
      </c>
      <c r="L76" s="177">
        <f>IFERROR(合数一覧!G$2*K76/P76, 0)</f>
        <v>0</v>
      </c>
      <c r="M76" s="235" t="str">
        <f t="shared" si="46"/>
        <v>ｇ</v>
      </c>
      <c r="N76" s="175"/>
      <c r="O76" s="233" t="str">
        <f t="shared" si="38"/>
        <v>ｇ</v>
      </c>
      <c r="P76" s="176">
        <f>合数一覧!I70</f>
        <v>0</v>
      </c>
      <c r="Q76" s="203" t="str">
        <f t="shared" si="47"/>
        <v/>
      </c>
      <c r="R76" s="190">
        <f>合数一覧!C70</f>
        <v>0</v>
      </c>
      <c r="S76" s="177">
        <f>IFERROR(合数一覧!J$2*R76/W76, 0)</f>
        <v>0</v>
      </c>
      <c r="T76" s="235" t="str">
        <f t="shared" si="48"/>
        <v>ｇ</v>
      </c>
      <c r="U76" s="175"/>
      <c r="V76" s="233" t="str">
        <f t="shared" si="39"/>
        <v>ｇ</v>
      </c>
      <c r="W76" s="176">
        <f>合数一覧!L70</f>
        <v>0</v>
      </c>
      <c r="X76" s="203" t="str">
        <f t="shared" si="49"/>
        <v/>
      </c>
      <c r="Y76" s="173">
        <f>合数一覧!C70</f>
        <v>0</v>
      </c>
      <c r="Z76" s="177">
        <f>IFERROR(合数一覧!M$2*Y76/AD76, 0)</f>
        <v>0</v>
      </c>
      <c r="AA76" s="235" t="str">
        <f t="shared" si="50"/>
        <v>ｇ</v>
      </c>
      <c r="AB76" s="175"/>
      <c r="AC76" s="233" t="str">
        <f t="shared" si="40"/>
        <v>ｇ</v>
      </c>
      <c r="AD76" s="176">
        <f>合数一覧!O70</f>
        <v>0</v>
      </c>
      <c r="AE76" s="203" t="str">
        <f t="shared" si="51"/>
        <v/>
      </c>
      <c r="AF76" s="190">
        <v>0</v>
      </c>
      <c r="AG76" s="177">
        <f>IFERROR(合数一覧!P$2*AF76/AK76, 0)</f>
        <v>0</v>
      </c>
      <c r="AH76" s="235" t="str">
        <f t="shared" si="52"/>
        <v>ｇ</v>
      </c>
      <c r="AI76" s="175"/>
      <c r="AJ76" s="233" t="str">
        <f t="shared" si="41"/>
        <v>ｇ</v>
      </c>
      <c r="AK76" s="176">
        <f>合数一覧!R70</f>
        <v>0</v>
      </c>
      <c r="AL76" s="207" t="str">
        <f t="shared" si="53"/>
        <v/>
      </c>
      <c r="AM76" s="230">
        <f>合数一覧!C70</f>
        <v>0</v>
      </c>
      <c r="AN76" s="177">
        <f>IFERROR(合数一覧!S$2*AM76/AR76, 0)</f>
        <v>0</v>
      </c>
      <c r="AO76" s="233" t="str">
        <f t="shared" si="54"/>
        <v>ｇ</v>
      </c>
      <c r="AP76" s="175"/>
      <c r="AQ76" s="233" t="str">
        <f t="shared" si="42"/>
        <v>ｇ</v>
      </c>
      <c r="AR76" s="176">
        <f>合数一覧!U70</f>
        <v>0</v>
      </c>
    </row>
    <row r="77" spans="1:44" ht="35.1" hidden="1" customHeight="1">
      <c r="A77" s="203"/>
      <c r="B77" s="190">
        <f>合数一覧!C71</f>
        <v>0</v>
      </c>
      <c r="C77" s="177">
        <f>IFERROR((合数一覧!D$2*B77)/I77, 0)</f>
        <v>0</v>
      </c>
      <c r="D77" s="233" t="str">
        <f t="shared" si="43"/>
        <v>g</v>
      </c>
      <c r="E77" s="234">
        <f t="shared" si="35"/>
        <v>0</v>
      </c>
      <c r="F77" s="174" t="str">
        <f t="shared" si="44"/>
        <v>g</v>
      </c>
      <c r="G77" s="175">
        <f t="shared" si="36"/>
        <v>0</v>
      </c>
      <c r="H77" s="233" t="str">
        <f t="shared" si="37"/>
        <v>g</v>
      </c>
      <c r="I77" s="176">
        <f>合数一覧!F71</f>
        <v>0</v>
      </c>
      <c r="J77" s="203" t="str">
        <f t="shared" si="45"/>
        <v/>
      </c>
      <c r="K77" s="190">
        <f>合数一覧!C71</f>
        <v>0</v>
      </c>
      <c r="L77" s="177">
        <f>IFERROR(合数一覧!G$2*K77/P77, 0)</f>
        <v>0</v>
      </c>
      <c r="M77" s="235" t="str">
        <f t="shared" si="46"/>
        <v>ｇ</v>
      </c>
      <c r="N77" s="175"/>
      <c r="O77" s="233" t="str">
        <f t="shared" si="38"/>
        <v>ｇ</v>
      </c>
      <c r="P77" s="176">
        <f>合数一覧!I71</f>
        <v>0</v>
      </c>
      <c r="Q77" s="203" t="str">
        <f t="shared" si="47"/>
        <v/>
      </c>
      <c r="R77" s="190">
        <f>合数一覧!C71</f>
        <v>0</v>
      </c>
      <c r="S77" s="177">
        <f>IFERROR(合数一覧!J$2*R77/W77, 0)</f>
        <v>0</v>
      </c>
      <c r="T77" s="235" t="str">
        <f t="shared" si="48"/>
        <v>ｇ</v>
      </c>
      <c r="U77" s="175"/>
      <c r="V77" s="233" t="str">
        <f t="shared" si="39"/>
        <v>ｇ</v>
      </c>
      <c r="W77" s="176">
        <f>合数一覧!L71</f>
        <v>0</v>
      </c>
      <c r="X77" s="203" t="str">
        <f t="shared" si="49"/>
        <v/>
      </c>
      <c r="Y77" s="173">
        <f>合数一覧!C71</f>
        <v>0</v>
      </c>
      <c r="Z77" s="177">
        <f>IFERROR(合数一覧!M$2*Y77/AD77, 0)</f>
        <v>0</v>
      </c>
      <c r="AA77" s="235" t="str">
        <f t="shared" si="50"/>
        <v>ｇ</v>
      </c>
      <c r="AB77" s="175"/>
      <c r="AC77" s="233" t="str">
        <f t="shared" si="40"/>
        <v>ｇ</v>
      </c>
      <c r="AD77" s="176">
        <f>合数一覧!O71</f>
        <v>0</v>
      </c>
      <c r="AE77" s="203" t="str">
        <f t="shared" si="51"/>
        <v/>
      </c>
      <c r="AF77" s="190">
        <v>0</v>
      </c>
      <c r="AG77" s="177">
        <f>IFERROR(合数一覧!P$2*AF77/AK77, 0)</f>
        <v>0</v>
      </c>
      <c r="AH77" s="235" t="str">
        <f t="shared" si="52"/>
        <v>ｇ</v>
      </c>
      <c r="AI77" s="175"/>
      <c r="AJ77" s="233" t="str">
        <f t="shared" si="41"/>
        <v>ｇ</v>
      </c>
      <c r="AK77" s="176">
        <f>合数一覧!R71</f>
        <v>0</v>
      </c>
      <c r="AL77" s="207" t="str">
        <f t="shared" si="53"/>
        <v/>
      </c>
      <c r="AM77" s="230">
        <f>合数一覧!C71</f>
        <v>0</v>
      </c>
      <c r="AN77" s="177">
        <f>IFERROR(合数一覧!S$2*AM77/AR77, 0)</f>
        <v>0</v>
      </c>
      <c r="AO77" s="233" t="str">
        <f t="shared" si="54"/>
        <v>ｇ</v>
      </c>
      <c r="AP77" s="175"/>
      <c r="AQ77" s="233" t="str">
        <f t="shared" si="42"/>
        <v>ｇ</v>
      </c>
      <c r="AR77" s="176">
        <f>合数一覧!U71</f>
        <v>0</v>
      </c>
    </row>
    <row r="78" spans="1:44" ht="35.1" hidden="1" customHeight="1">
      <c r="A78" s="203"/>
      <c r="B78" s="190">
        <f>合数一覧!C72</f>
        <v>0</v>
      </c>
      <c r="C78" s="177">
        <f>IFERROR((合数一覧!D$2*B78)/I78, 0)</f>
        <v>0</v>
      </c>
      <c r="D78" s="233" t="str">
        <f t="shared" si="43"/>
        <v>g</v>
      </c>
      <c r="E78" s="234">
        <f t="shared" si="35"/>
        <v>0</v>
      </c>
      <c r="F78" s="174" t="str">
        <f t="shared" si="44"/>
        <v>g</v>
      </c>
      <c r="G78" s="175">
        <f t="shared" si="36"/>
        <v>0</v>
      </c>
      <c r="H78" s="233" t="str">
        <f t="shared" si="37"/>
        <v>g</v>
      </c>
      <c r="I78" s="176">
        <f>合数一覧!F72</f>
        <v>0</v>
      </c>
      <c r="J78" s="203" t="str">
        <f t="shared" si="45"/>
        <v/>
      </c>
      <c r="K78" s="190">
        <f>合数一覧!C72</f>
        <v>0</v>
      </c>
      <c r="L78" s="177">
        <f>IFERROR(合数一覧!G$2*K78/P78, 0)</f>
        <v>0</v>
      </c>
      <c r="M78" s="235" t="str">
        <f t="shared" si="46"/>
        <v>ｇ</v>
      </c>
      <c r="N78" s="175"/>
      <c r="O78" s="233" t="str">
        <f t="shared" si="38"/>
        <v>ｇ</v>
      </c>
      <c r="P78" s="176">
        <f>合数一覧!I72</f>
        <v>0</v>
      </c>
      <c r="Q78" s="203" t="str">
        <f t="shared" si="47"/>
        <v/>
      </c>
      <c r="R78" s="190">
        <f>合数一覧!C72</f>
        <v>0</v>
      </c>
      <c r="S78" s="177">
        <f>IFERROR(合数一覧!J$2*R78/W78, 0)</f>
        <v>0</v>
      </c>
      <c r="T78" s="235" t="str">
        <f t="shared" si="48"/>
        <v>ｇ</v>
      </c>
      <c r="U78" s="175"/>
      <c r="V78" s="233" t="str">
        <f t="shared" si="39"/>
        <v>ｇ</v>
      </c>
      <c r="W78" s="176">
        <f>合数一覧!L72</f>
        <v>0</v>
      </c>
      <c r="X78" s="203" t="str">
        <f t="shared" si="49"/>
        <v/>
      </c>
      <c r="Y78" s="173">
        <f>合数一覧!C72</f>
        <v>0</v>
      </c>
      <c r="Z78" s="177">
        <f>IFERROR(合数一覧!M$2*Y78/AD78, 0)</f>
        <v>0</v>
      </c>
      <c r="AA78" s="235" t="str">
        <f t="shared" si="50"/>
        <v>ｇ</v>
      </c>
      <c r="AB78" s="175"/>
      <c r="AC78" s="233" t="str">
        <f t="shared" si="40"/>
        <v>ｇ</v>
      </c>
      <c r="AD78" s="176">
        <f>合数一覧!O72</f>
        <v>0</v>
      </c>
      <c r="AE78" s="203" t="str">
        <f t="shared" si="51"/>
        <v/>
      </c>
      <c r="AF78" s="190">
        <v>0</v>
      </c>
      <c r="AG78" s="177">
        <f>IFERROR(合数一覧!P$2*AF78/AK78, 0)</f>
        <v>0</v>
      </c>
      <c r="AH78" s="235" t="str">
        <f t="shared" si="52"/>
        <v>ｇ</v>
      </c>
      <c r="AI78" s="175"/>
      <c r="AJ78" s="233" t="str">
        <f t="shared" si="41"/>
        <v>ｇ</v>
      </c>
      <c r="AK78" s="176">
        <f>合数一覧!R72</f>
        <v>0</v>
      </c>
      <c r="AL78" s="207" t="str">
        <f t="shared" si="53"/>
        <v/>
      </c>
      <c r="AM78" s="230">
        <f>合数一覧!C72</f>
        <v>0</v>
      </c>
      <c r="AN78" s="177">
        <f>IFERROR(合数一覧!S$2*AM78/AR78, 0)</f>
        <v>0</v>
      </c>
      <c r="AO78" s="233" t="str">
        <f t="shared" si="54"/>
        <v>ｇ</v>
      </c>
      <c r="AP78" s="175"/>
      <c r="AQ78" s="233" t="str">
        <f t="shared" si="42"/>
        <v>ｇ</v>
      </c>
      <c r="AR78" s="176">
        <f>合数一覧!U72</f>
        <v>0</v>
      </c>
    </row>
    <row r="79" spans="1:44" ht="35.1" hidden="1" customHeight="1">
      <c r="A79" s="203"/>
      <c r="B79" s="190">
        <f>合数一覧!C73</f>
        <v>0</v>
      </c>
      <c r="C79" s="177">
        <f>IFERROR((合数一覧!D$2*B79)/I79, 0)</f>
        <v>0</v>
      </c>
      <c r="D79" s="233" t="str">
        <f t="shared" si="43"/>
        <v>g</v>
      </c>
      <c r="E79" s="234">
        <f t="shared" si="35"/>
        <v>0</v>
      </c>
      <c r="F79" s="174" t="str">
        <f t="shared" si="44"/>
        <v>g</v>
      </c>
      <c r="G79" s="175">
        <f t="shared" si="36"/>
        <v>0</v>
      </c>
      <c r="H79" s="233" t="str">
        <f t="shared" si="37"/>
        <v>g</v>
      </c>
      <c r="I79" s="176">
        <f>合数一覧!F73</f>
        <v>0</v>
      </c>
      <c r="J79" s="203" t="str">
        <f t="shared" si="45"/>
        <v/>
      </c>
      <c r="K79" s="190">
        <f>合数一覧!C73</f>
        <v>0</v>
      </c>
      <c r="L79" s="177">
        <f>IFERROR(合数一覧!G$2*K79/P79, 0)</f>
        <v>0</v>
      </c>
      <c r="M79" s="235" t="str">
        <f t="shared" si="46"/>
        <v>ｇ</v>
      </c>
      <c r="N79" s="175"/>
      <c r="O79" s="233" t="str">
        <f t="shared" si="38"/>
        <v>ｇ</v>
      </c>
      <c r="P79" s="176">
        <f>合数一覧!I73</f>
        <v>0</v>
      </c>
      <c r="Q79" s="203" t="str">
        <f t="shared" si="47"/>
        <v/>
      </c>
      <c r="R79" s="190">
        <f>合数一覧!C73</f>
        <v>0</v>
      </c>
      <c r="S79" s="177">
        <f>IFERROR(合数一覧!J$2*R79/W79, 0)</f>
        <v>0</v>
      </c>
      <c r="T79" s="235" t="str">
        <f t="shared" si="48"/>
        <v>ｇ</v>
      </c>
      <c r="U79" s="175"/>
      <c r="V79" s="233" t="str">
        <f t="shared" si="39"/>
        <v>ｇ</v>
      </c>
      <c r="W79" s="176">
        <f>合数一覧!L73</f>
        <v>0</v>
      </c>
      <c r="X79" s="203" t="str">
        <f t="shared" si="49"/>
        <v/>
      </c>
      <c r="Y79" s="173">
        <f>合数一覧!C73</f>
        <v>0</v>
      </c>
      <c r="Z79" s="177">
        <f>IFERROR(合数一覧!M$2*Y79/AD79, 0)</f>
        <v>0</v>
      </c>
      <c r="AA79" s="235" t="str">
        <f t="shared" si="50"/>
        <v>ｇ</v>
      </c>
      <c r="AB79" s="175"/>
      <c r="AC79" s="233" t="str">
        <f t="shared" si="40"/>
        <v>ｇ</v>
      </c>
      <c r="AD79" s="176">
        <f>合数一覧!O73</f>
        <v>0</v>
      </c>
      <c r="AE79" s="203" t="str">
        <f t="shared" si="51"/>
        <v/>
      </c>
      <c r="AF79" s="190">
        <v>0</v>
      </c>
      <c r="AG79" s="177">
        <f>IFERROR(合数一覧!P$2*AF79/AK79, 0)</f>
        <v>0</v>
      </c>
      <c r="AH79" s="235" t="str">
        <f t="shared" si="52"/>
        <v>ｇ</v>
      </c>
      <c r="AI79" s="175"/>
      <c r="AJ79" s="233" t="str">
        <f t="shared" si="41"/>
        <v>ｇ</v>
      </c>
      <c r="AK79" s="176">
        <f>合数一覧!R73</f>
        <v>0</v>
      </c>
      <c r="AL79" s="207" t="str">
        <f t="shared" si="53"/>
        <v/>
      </c>
      <c r="AM79" s="230">
        <f>合数一覧!C73</f>
        <v>0</v>
      </c>
      <c r="AN79" s="177">
        <f>IFERROR(合数一覧!S$2*AM79/AR79, 0)</f>
        <v>0</v>
      </c>
      <c r="AO79" s="233" t="str">
        <f t="shared" si="54"/>
        <v>ｇ</v>
      </c>
      <c r="AP79" s="175"/>
      <c r="AQ79" s="233" t="str">
        <f t="shared" si="42"/>
        <v>ｇ</v>
      </c>
      <c r="AR79" s="176">
        <f>合数一覧!U73</f>
        <v>0</v>
      </c>
    </row>
    <row r="80" spans="1:44" ht="35.1" hidden="1" customHeight="1">
      <c r="A80" s="203"/>
      <c r="B80" s="190">
        <f>合数一覧!C74</f>
        <v>0</v>
      </c>
      <c r="C80" s="177">
        <f>IFERROR((合数一覧!D$2*B80)/I80, 0)</f>
        <v>0</v>
      </c>
      <c r="D80" s="233" t="str">
        <f t="shared" si="43"/>
        <v>g</v>
      </c>
      <c r="E80" s="234">
        <f t="shared" si="35"/>
        <v>0</v>
      </c>
      <c r="F80" s="174" t="str">
        <f t="shared" si="44"/>
        <v>g</v>
      </c>
      <c r="G80" s="175">
        <f t="shared" si="36"/>
        <v>0</v>
      </c>
      <c r="H80" s="233" t="str">
        <f t="shared" si="37"/>
        <v>g</v>
      </c>
      <c r="I80" s="176">
        <f>合数一覧!F74</f>
        <v>0</v>
      </c>
      <c r="J80" s="203" t="str">
        <f t="shared" si="45"/>
        <v/>
      </c>
      <c r="K80" s="190">
        <f>合数一覧!C74</f>
        <v>0</v>
      </c>
      <c r="L80" s="177">
        <f>IFERROR(合数一覧!G$2*K80/P80, 0)</f>
        <v>0</v>
      </c>
      <c r="M80" s="235" t="str">
        <f t="shared" si="46"/>
        <v>ｇ</v>
      </c>
      <c r="N80" s="175"/>
      <c r="O80" s="233" t="str">
        <f t="shared" si="38"/>
        <v>ｇ</v>
      </c>
      <c r="P80" s="176">
        <f>合数一覧!I74</f>
        <v>0</v>
      </c>
      <c r="Q80" s="203" t="str">
        <f t="shared" si="47"/>
        <v/>
      </c>
      <c r="R80" s="190">
        <f>合数一覧!C74</f>
        <v>0</v>
      </c>
      <c r="S80" s="177">
        <f>IFERROR(合数一覧!J$2*R80/W80, 0)</f>
        <v>0</v>
      </c>
      <c r="T80" s="235" t="str">
        <f t="shared" si="48"/>
        <v>ｇ</v>
      </c>
      <c r="U80" s="175"/>
      <c r="V80" s="233" t="str">
        <f t="shared" si="39"/>
        <v>ｇ</v>
      </c>
      <c r="W80" s="176">
        <f>合数一覧!L74</f>
        <v>0</v>
      </c>
      <c r="X80" s="203" t="str">
        <f t="shared" si="49"/>
        <v/>
      </c>
      <c r="Y80" s="173">
        <f>合数一覧!C74</f>
        <v>0</v>
      </c>
      <c r="Z80" s="177">
        <f>IFERROR(合数一覧!M$2*Y80/AD80, 0)</f>
        <v>0</v>
      </c>
      <c r="AA80" s="235" t="str">
        <f t="shared" si="50"/>
        <v>ｇ</v>
      </c>
      <c r="AB80" s="175"/>
      <c r="AC80" s="233" t="str">
        <f t="shared" si="40"/>
        <v>ｇ</v>
      </c>
      <c r="AD80" s="176">
        <f>合数一覧!O74</f>
        <v>0</v>
      </c>
      <c r="AE80" s="203" t="str">
        <f t="shared" si="51"/>
        <v/>
      </c>
      <c r="AF80" s="190">
        <v>0</v>
      </c>
      <c r="AG80" s="177">
        <f>IFERROR(合数一覧!P$2*AF80/AK80, 0)</f>
        <v>0</v>
      </c>
      <c r="AH80" s="235" t="str">
        <f t="shared" si="52"/>
        <v>ｇ</v>
      </c>
      <c r="AI80" s="175"/>
      <c r="AJ80" s="233" t="str">
        <f t="shared" si="41"/>
        <v>ｇ</v>
      </c>
      <c r="AK80" s="176">
        <f>合数一覧!R74</f>
        <v>0</v>
      </c>
      <c r="AL80" s="207" t="str">
        <f t="shared" si="53"/>
        <v/>
      </c>
      <c r="AM80" s="230">
        <f>合数一覧!C74</f>
        <v>0</v>
      </c>
      <c r="AN80" s="177">
        <f>IFERROR(合数一覧!S$2*AM80/AR80, 0)</f>
        <v>0</v>
      </c>
      <c r="AO80" s="233" t="str">
        <f t="shared" si="54"/>
        <v>ｇ</v>
      </c>
      <c r="AP80" s="175"/>
      <c r="AQ80" s="233" t="str">
        <f t="shared" si="42"/>
        <v>ｇ</v>
      </c>
      <c r="AR80" s="176">
        <f>合数一覧!U74</f>
        <v>0</v>
      </c>
    </row>
    <row r="81" spans="1:44" ht="35.1" hidden="1" customHeight="1">
      <c r="A81" s="203"/>
      <c r="B81" s="190">
        <f>合数一覧!C75</f>
        <v>0</v>
      </c>
      <c r="C81" s="177">
        <f>IFERROR((合数一覧!D$2*B81)/I81, 0)</f>
        <v>0</v>
      </c>
      <c r="D81" s="233" t="str">
        <f t="shared" si="43"/>
        <v>g</v>
      </c>
      <c r="E81" s="234">
        <f t="shared" si="35"/>
        <v>0</v>
      </c>
      <c r="F81" s="174" t="str">
        <f t="shared" si="44"/>
        <v>g</v>
      </c>
      <c r="G81" s="175">
        <f t="shared" si="36"/>
        <v>0</v>
      </c>
      <c r="H81" s="233" t="str">
        <f t="shared" si="37"/>
        <v>g</v>
      </c>
      <c r="I81" s="176">
        <f>合数一覧!F75</f>
        <v>0</v>
      </c>
      <c r="J81" s="203" t="str">
        <f t="shared" si="45"/>
        <v/>
      </c>
      <c r="K81" s="190">
        <f>合数一覧!C75</f>
        <v>0</v>
      </c>
      <c r="L81" s="177">
        <f>IFERROR(合数一覧!G$2*K81/P81, 0)</f>
        <v>0</v>
      </c>
      <c r="M81" s="235" t="str">
        <f t="shared" si="46"/>
        <v>ｇ</v>
      </c>
      <c r="N81" s="175"/>
      <c r="O81" s="233" t="str">
        <f t="shared" si="38"/>
        <v>ｇ</v>
      </c>
      <c r="P81" s="176">
        <f>合数一覧!I75</f>
        <v>0</v>
      </c>
      <c r="Q81" s="203" t="str">
        <f t="shared" si="47"/>
        <v/>
      </c>
      <c r="R81" s="190">
        <f>合数一覧!C75</f>
        <v>0</v>
      </c>
      <c r="S81" s="177">
        <f>IFERROR(合数一覧!J$2*R81/W81, 0)</f>
        <v>0</v>
      </c>
      <c r="T81" s="235" t="str">
        <f t="shared" si="48"/>
        <v>ｇ</v>
      </c>
      <c r="U81" s="175"/>
      <c r="V81" s="233" t="str">
        <f t="shared" si="39"/>
        <v>ｇ</v>
      </c>
      <c r="W81" s="176">
        <f>合数一覧!L75</f>
        <v>0</v>
      </c>
      <c r="X81" s="203" t="str">
        <f t="shared" si="49"/>
        <v/>
      </c>
      <c r="Y81" s="173">
        <f>合数一覧!C75</f>
        <v>0</v>
      </c>
      <c r="Z81" s="177">
        <f>IFERROR(合数一覧!M$2*Y81/AD81, 0)</f>
        <v>0</v>
      </c>
      <c r="AA81" s="235" t="str">
        <f t="shared" si="50"/>
        <v>ｇ</v>
      </c>
      <c r="AB81" s="175"/>
      <c r="AC81" s="233" t="str">
        <f t="shared" si="40"/>
        <v>ｇ</v>
      </c>
      <c r="AD81" s="176">
        <f>合数一覧!O75</f>
        <v>0</v>
      </c>
      <c r="AE81" s="203" t="str">
        <f t="shared" si="51"/>
        <v/>
      </c>
      <c r="AF81" s="190">
        <v>0</v>
      </c>
      <c r="AG81" s="177">
        <f>IFERROR(合数一覧!P$2*AF81/AK81, 0)</f>
        <v>0</v>
      </c>
      <c r="AH81" s="235" t="str">
        <f t="shared" si="52"/>
        <v>ｇ</v>
      </c>
      <c r="AI81" s="175"/>
      <c r="AJ81" s="233" t="str">
        <f t="shared" si="41"/>
        <v>ｇ</v>
      </c>
      <c r="AK81" s="176">
        <f>合数一覧!R75</f>
        <v>0</v>
      </c>
      <c r="AL81" s="207" t="str">
        <f t="shared" si="53"/>
        <v/>
      </c>
      <c r="AM81" s="230">
        <f>合数一覧!C75</f>
        <v>0</v>
      </c>
      <c r="AN81" s="177">
        <f>IFERROR(合数一覧!S$2*AM81/AR81, 0)</f>
        <v>0</v>
      </c>
      <c r="AO81" s="233" t="str">
        <f t="shared" si="54"/>
        <v>ｇ</v>
      </c>
      <c r="AP81" s="175"/>
      <c r="AQ81" s="233" t="str">
        <f t="shared" si="42"/>
        <v>ｇ</v>
      </c>
      <c r="AR81" s="176">
        <f>合数一覧!U75</f>
        <v>0</v>
      </c>
    </row>
    <row r="82" spans="1:44" ht="35.1" hidden="1" customHeight="1">
      <c r="A82" s="203"/>
      <c r="B82" s="190">
        <f>合数一覧!C76</f>
        <v>0</v>
      </c>
      <c r="C82" s="177">
        <f>IFERROR((合数一覧!D$2*B82)/I82, 0)</f>
        <v>0</v>
      </c>
      <c r="D82" s="233" t="str">
        <f t="shared" si="43"/>
        <v>g</v>
      </c>
      <c r="E82" s="234">
        <f t="shared" si="35"/>
        <v>0</v>
      </c>
      <c r="F82" s="174" t="str">
        <f t="shared" si="44"/>
        <v>g</v>
      </c>
      <c r="G82" s="175">
        <f t="shared" si="36"/>
        <v>0</v>
      </c>
      <c r="H82" s="233" t="str">
        <f t="shared" si="37"/>
        <v>g</v>
      </c>
      <c r="I82" s="176">
        <f>合数一覧!F76</f>
        <v>0</v>
      </c>
      <c r="J82" s="203" t="str">
        <f t="shared" si="45"/>
        <v/>
      </c>
      <c r="K82" s="190">
        <f>合数一覧!C76</f>
        <v>0</v>
      </c>
      <c r="L82" s="177">
        <f>IFERROR(合数一覧!G$2*K82/P82, 0)</f>
        <v>0</v>
      </c>
      <c r="M82" s="235" t="str">
        <f t="shared" si="46"/>
        <v>ｇ</v>
      </c>
      <c r="N82" s="175"/>
      <c r="O82" s="233" t="str">
        <f t="shared" si="38"/>
        <v>ｇ</v>
      </c>
      <c r="P82" s="176">
        <f>合数一覧!I76</f>
        <v>0</v>
      </c>
      <c r="Q82" s="203" t="str">
        <f t="shared" si="47"/>
        <v/>
      </c>
      <c r="R82" s="190">
        <f>合数一覧!C76</f>
        <v>0</v>
      </c>
      <c r="S82" s="177">
        <f>IFERROR(合数一覧!J$2*R82/W82, 0)</f>
        <v>0</v>
      </c>
      <c r="T82" s="235" t="str">
        <f t="shared" si="48"/>
        <v>ｇ</v>
      </c>
      <c r="U82" s="175"/>
      <c r="V82" s="233" t="str">
        <f t="shared" si="39"/>
        <v>ｇ</v>
      </c>
      <c r="W82" s="176">
        <f>合数一覧!L76</f>
        <v>0</v>
      </c>
      <c r="X82" s="203" t="str">
        <f t="shared" si="49"/>
        <v/>
      </c>
      <c r="Y82" s="173">
        <f>合数一覧!C76</f>
        <v>0</v>
      </c>
      <c r="Z82" s="177">
        <f>IFERROR(合数一覧!M$2*Y82/AD82, 0)</f>
        <v>0</v>
      </c>
      <c r="AA82" s="235" t="str">
        <f t="shared" si="50"/>
        <v>ｇ</v>
      </c>
      <c r="AB82" s="175"/>
      <c r="AC82" s="233" t="str">
        <f t="shared" si="40"/>
        <v>ｇ</v>
      </c>
      <c r="AD82" s="176">
        <f>合数一覧!O76</f>
        <v>0</v>
      </c>
      <c r="AE82" s="203" t="str">
        <f t="shared" si="51"/>
        <v/>
      </c>
      <c r="AF82" s="190">
        <v>0</v>
      </c>
      <c r="AG82" s="177">
        <f>IFERROR(合数一覧!P$2*AF82/AK82, 0)</f>
        <v>0</v>
      </c>
      <c r="AH82" s="235" t="str">
        <f t="shared" si="52"/>
        <v>ｇ</v>
      </c>
      <c r="AI82" s="175"/>
      <c r="AJ82" s="233" t="str">
        <f t="shared" si="41"/>
        <v>ｇ</v>
      </c>
      <c r="AK82" s="176">
        <f>合数一覧!R76</f>
        <v>0</v>
      </c>
      <c r="AL82" s="207" t="str">
        <f t="shared" si="53"/>
        <v/>
      </c>
      <c r="AM82" s="230">
        <f>合数一覧!C76</f>
        <v>0</v>
      </c>
      <c r="AN82" s="177">
        <f>IFERROR(合数一覧!S$2*AM82/AR82, 0)</f>
        <v>0</v>
      </c>
      <c r="AO82" s="233" t="str">
        <f t="shared" si="54"/>
        <v>ｇ</v>
      </c>
      <c r="AP82" s="175"/>
      <c r="AQ82" s="233" t="str">
        <f t="shared" si="42"/>
        <v>ｇ</v>
      </c>
      <c r="AR82" s="176">
        <f>合数一覧!U76</f>
        <v>0</v>
      </c>
    </row>
    <row r="83" spans="1:44" ht="35.1" hidden="1" customHeight="1">
      <c r="A83" s="203"/>
      <c r="B83" s="190">
        <f>合数一覧!C77</f>
        <v>0</v>
      </c>
      <c r="C83" s="177">
        <f>IFERROR((合数一覧!D$2*B83)/I83, 0)</f>
        <v>0</v>
      </c>
      <c r="D83" s="233" t="str">
        <f t="shared" si="43"/>
        <v>g</v>
      </c>
      <c r="E83" s="234">
        <f t="shared" si="35"/>
        <v>0</v>
      </c>
      <c r="F83" s="174" t="str">
        <f t="shared" si="44"/>
        <v>g</v>
      </c>
      <c r="G83" s="175">
        <f t="shared" si="36"/>
        <v>0</v>
      </c>
      <c r="H83" s="233" t="str">
        <f t="shared" si="37"/>
        <v>g</v>
      </c>
      <c r="I83" s="176">
        <f>合数一覧!F77</f>
        <v>0</v>
      </c>
      <c r="J83" s="203" t="str">
        <f t="shared" si="45"/>
        <v/>
      </c>
      <c r="K83" s="190">
        <f>合数一覧!C77</f>
        <v>0</v>
      </c>
      <c r="L83" s="177">
        <f>IFERROR(合数一覧!G$2*K83/P83, 0)</f>
        <v>0</v>
      </c>
      <c r="M83" s="235" t="str">
        <f t="shared" si="46"/>
        <v>ｇ</v>
      </c>
      <c r="N83" s="175"/>
      <c r="O83" s="233" t="str">
        <f t="shared" si="38"/>
        <v>ｇ</v>
      </c>
      <c r="P83" s="176">
        <f>合数一覧!I77</f>
        <v>0</v>
      </c>
      <c r="Q83" s="203" t="str">
        <f t="shared" si="47"/>
        <v/>
      </c>
      <c r="R83" s="190">
        <f>合数一覧!C77</f>
        <v>0</v>
      </c>
      <c r="S83" s="177">
        <f>IFERROR(合数一覧!J$2*R83/W83, 0)</f>
        <v>0</v>
      </c>
      <c r="T83" s="235" t="str">
        <f t="shared" si="48"/>
        <v>ｇ</v>
      </c>
      <c r="U83" s="175"/>
      <c r="V83" s="233" t="str">
        <f t="shared" si="39"/>
        <v>ｇ</v>
      </c>
      <c r="W83" s="176">
        <f>合数一覧!L77</f>
        <v>0</v>
      </c>
      <c r="X83" s="203" t="str">
        <f t="shared" si="49"/>
        <v/>
      </c>
      <c r="Y83" s="173">
        <f>合数一覧!C77</f>
        <v>0</v>
      </c>
      <c r="Z83" s="177">
        <f>IFERROR(合数一覧!M$2*Y83/AD83, 0)</f>
        <v>0</v>
      </c>
      <c r="AA83" s="235" t="str">
        <f t="shared" si="50"/>
        <v>ｇ</v>
      </c>
      <c r="AB83" s="175"/>
      <c r="AC83" s="233" t="str">
        <f t="shared" si="40"/>
        <v>ｇ</v>
      </c>
      <c r="AD83" s="176">
        <f>合数一覧!O77</f>
        <v>0</v>
      </c>
      <c r="AE83" s="203" t="str">
        <f t="shared" si="51"/>
        <v/>
      </c>
      <c r="AF83" s="190">
        <v>0</v>
      </c>
      <c r="AG83" s="177">
        <f>IFERROR(合数一覧!P$2*AF83/AK83, 0)</f>
        <v>0</v>
      </c>
      <c r="AH83" s="235" t="str">
        <f t="shared" si="52"/>
        <v>ｇ</v>
      </c>
      <c r="AI83" s="175"/>
      <c r="AJ83" s="233" t="str">
        <f t="shared" si="41"/>
        <v>ｇ</v>
      </c>
      <c r="AK83" s="176">
        <f>合数一覧!R77</f>
        <v>0</v>
      </c>
      <c r="AL83" s="207" t="str">
        <f t="shared" si="53"/>
        <v/>
      </c>
      <c r="AM83" s="230">
        <f>合数一覧!C77</f>
        <v>0</v>
      </c>
      <c r="AN83" s="177">
        <f>IFERROR(合数一覧!S$2*AM83/AR83, 0)</f>
        <v>0</v>
      </c>
      <c r="AO83" s="233" t="str">
        <f t="shared" si="54"/>
        <v>ｇ</v>
      </c>
      <c r="AP83" s="175"/>
      <c r="AQ83" s="233" t="str">
        <f t="shared" si="42"/>
        <v>ｇ</v>
      </c>
      <c r="AR83" s="176">
        <f>合数一覧!U77</f>
        <v>0</v>
      </c>
    </row>
    <row r="84" spans="1:44" ht="35.1" hidden="1" customHeight="1">
      <c r="A84" s="203"/>
      <c r="B84" s="190">
        <f>合数一覧!C78</f>
        <v>0</v>
      </c>
      <c r="C84" s="177">
        <f>IFERROR((合数一覧!D$2*B84)/I84, 0)</f>
        <v>0</v>
      </c>
      <c r="D84" s="233" t="str">
        <f t="shared" si="43"/>
        <v>g</v>
      </c>
      <c r="E84" s="234">
        <f t="shared" si="35"/>
        <v>0</v>
      </c>
      <c r="F84" s="174" t="str">
        <f t="shared" si="44"/>
        <v>g</v>
      </c>
      <c r="G84" s="175">
        <f t="shared" si="36"/>
        <v>0</v>
      </c>
      <c r="H84" s="233" t="str">
        <f t="shared" si="37"/>
        <v>g</v>
      </c>
      <c r="I84" s="176">
        <f>合数一覧!F78</f>
        <v>0</v>
      </c>
      <c r="J84" s="203" t="str">
        <f t="shared" si="45"/>
        <v/>
      </c>
      <c r="K84" s="190">
        <f>合数一覧!C78</f>
        <v>0</v>
      </c>
      <c r="L84" s="177">
        <f>IFERROR(合数一覧!G$2*K84/P84, 0)</f>
        <v>0</v>
      </c>
      <c r="M84" s="235" t="str">
        <f t="shared" si="46"/>
        <v>ｇ</v>
      </c>
      <c r="N84" s="175"/>
      <c r="O84" s="233" t="str">
        <f t="shared" si="38"/>
        <v>ｇ</v>
      </c>
      <c r="P84" s="176">
        <f>合数一覧!I78</f>
        <v>0</v>
      </c>
      <c r="Q84" s="203" t="str">
        <f t="shared" si="47"/>
        <v/>
      </c>
      <c r="R84" s="190">
        <f>合数一覧!C78</f>
        <v>0</v>
      </c>
      <c r="S84" s="177">
        <f>IFERROR(合数一覧!J$2*R84/W84, 0)</f>
        <v>0</v>
      </c>
      <c r="T84" s="235" t="str">
        <f t="shared" si="48"/>
        <v>ｇ</v>
      </c>
      <c r="U84" s="175"/>
      <c r="V84" s="233" t="str">
        <f t="shared" si="39"/>
        <v>ｇ</v>
      </c>
      <c r="W84" s="176">
        <f>合数一覧!L78</f>
        <v>0</v>
      </c>
      <c r="X84" s="203" t="str">
        <f t="shared" si="49"/>
        <v/>
      </c>
      <c r="Y84" s="173">
        <f>合数一覧!C78</f>
        <v>0</v>
      </c>
      <c r="Z84" s="177">
        <f>IFERROR(合数一覧!M$2*Y84/AD84, 0)</f>
        <v>0</v>
      </c>
      <c r="AA84" s="235" t="str">
        <f t="shared" si="50"/>
        <v>ｇ</v>
      </c>
      <c r="AB84" s="175"/>
      <c r="AC84" s="233" t="str">
        <f t="shared" si="40"/>
        <v>ｇ</v>
      </c>
      <c r="AD84" s="176">
        <f>合数一覧!O78</f>
        <v>0</v>
      </c>
      <c r="AE84" s="203" t="str">
        <f t="shared" si="51"/>
        <v/>
      </c>
      <c r="AF84" s="190">
        <v>0</v>
      </c>
      <c r="AG84" s="177">
        <f>IFERROR(合数一覧!P$2*AF84/AK84, 0)</f>
        <v>0</v>
      </c>
      <c r="AH84" s="235" t="str">
        <f t="shared" si="52"/>
        <v>ｇ</v>
      </c>
      <c r="AI84" s="175"/>
      <c r="AJ84" s="233" t="str">
        <f t="shared" si="41"/>
        <v>ｇ</v>
      </c>
      <c r="AK84" s="176">
        <f>合数一覧!R78</f>
        <v>0</v>
      </c>
      <c r="AL84" s="207" t="str">
        <f t="shared" si="53"/>
        <v/>
      </c>
      <c r="AM84" s="230">
        <f>合数一覧!C78</f>
        <v>0</v>
      </c>
      <c r="AN84" s="177">
        <f>IFERROR(合数一覧!S$2*AM84/AR84, 0)</f>
        <v>0</v>
      </c>
      <c r="AO84" s="233" t="str">
        <f t="shared" si="54"/>
        <v>ｇ</v>
      </c>
      <c r="AP84" s="175"/>
      <c r="AQ84" s="233" t="str">
        <f t="shared" si="42"/>
        <v>ｇ</v>
      </c>
      <c r="AR84" s="176">
        <f>合数一覧!U78</f>
        <v>0</v>
      </c>
    </row>
    <row r="85" spans="1:44" ht="35.1" hidden="1" customHeight="1">
      <c r="A85" s="203"/>
      <c r="B85" s="190">
        <f>合数一覧!C79</f>
        <v>0</v>
      </c>
      <c r="C85" s="177">
        <f>IFERROR((合数一覧!D$2*B85)/I85, 0)</f>
        <v>0</v>
      </c>
      <c r="D85" s="233" t="str">
        <f t="shared" si="43"/>
        <v>g</v>
      </c>
      <c r="E85" s="234">
        <f t="shared" si="35"/>
        <v>0</v>
      </c>
      <c r="F85" s="174" t="str">
        <f t="shared" si="44"/>
        <v>g</v>
      </c>
      <c r="G85" s="175">
        <f t="shared" si="36"/>
        <v>0</v>
      </c>
      <c r="H85" s="233" t="str">
        <f t="shared" si="37"/>
        <v>g</v>
      </c>
      <c r="I85" s="176">
        <f>合数一覧!F79</f>
        <v>0</v>
      </c>
      <c r="J85" s="203" t="str">
        <f t="shared" si="45"/>
        <v/>
      </c>
      <c r="K85" s="190">
        <f>合数一覧!C79</f>
        <v>0</v>
      </c>
      <c r="L85" s="177">
        <f>IFERROR(合数一覧!G$2*K85/P85, 0)</f>
        <v>0</v>
      </c>
      <c r="M85" s="235" t="str">
        <f t="shared" si="46"/>
        <v>ｇ</v>
      </c>
      <c r="N85" s="175"/>
      <c r="O85" s="233" t="str">
        <f t="shared" si="38"/>
        <v>ｇ</v>
      </c>
      <c r="P85" s="176">
        <f>合数一覧!I79</f>
        <v>0</v>
      </c>
      <c r="Q85" s="203" t="str">
        <f t="shared" si="47"/>
        <v/>
      </c>
      <c r="R85" s="190">
        <f>合数一覧!C79</f>
        <v>0</v>
      </c>
      <c r="S85" s="177">
        <f>IFERROR(合数一覧!J$2*R85/W85, 0)</f>
        <v>0</v>
      </c>
      <c r="T85" s="235" t="str">
        <f t="shared" si="48"/>
        <v>ｇ</v>
      </c>
      <c r="U85" s="175"/>
      <c r="V85" s="233" t="str">
        <f t="shared" si="39"/>
        <v>ｇ</v>
      </c>
      <c r="W85" s="176">
        <f>合数一覧!L79</f>
        <v>0</v>
      </c>
      <c r="X85" s="203" t="str">
        <f t="shared" si="49"/>
        <v/>
      </c>
      <c r="Y85" s="173">
        <f>合数一覧!C79</f>
        <v>0</v>
      </c>
      <c r="Z85" s="177">
        <f>IFERROR(合数一覧!M$2*Y85/AD85, 0)</f>
        <v>0</v>
      </c>
      <c r="AA85" s="235" t="str">
        <f t="shared" si="50"/>
        <v>ｇ</v>
      </c>
      <c r="AB85" s="175"/>
      <c r="AC85" s="233" t="str">
        <f t="shared" si="40"/>
        <v>ｇ</v>
      </c>
      <c r="AD85" s="176">
        <f>合数一覧!O79</f>
        <v>0</v>
      </c>
      <c r="AE85" s="203" t="str">
        <f t="shared" si="51"/>
        <v/>
      </c>
      <c r="AF85" s="190">
        <v>0</v>
      </c>
      <c r="AG85" s="177">
        <f>IFERROR(合数一覧!P$2*AF85/AK85, 0)</f>
        <v>0</v>
      </c>
      <c r="AH85" s="235" t="str">
        <f t="shared" si="52"/>
        <v>ｇ</v>
      </c>
      <c r="AI85" s="175"/>
      <c r="AJ85" s="233" t="str">
        <f t="shared" si="41"/>
        <v>ｇ</v>
      </c>
      <c r="AK85" s="176">
        <f>合数一覧!R79</f>
        <v>0</v>
      </c>
      <c r="AL85" s="207" t="str">
        <f t="shared" si="53"/>
        <v/>
      </c>
      <c r="AM85" s="230">
        <f>合数一覧!C79</f>
        <v>0</v>
      </c>
      <c r="AN85" s="177">
        <f>IFERROR(合数一覧!S$2*AM85/AR85, 0)</f>
        <v>0</v>
      </c>
      <c r="AO85" s="233" t="str">
        <f t="shared" si="54"/>
        <v>ｇ</v>
      </c>
      <c r="AP85" s="175"/>
      <c r="AQ85" s="233" t="str">
        <f t="shared" si="42"/>
        <v>ｇ</v>
      </c>
      <c r="AR85" s="176">
        <f>合数一覧!U79</f>
        <v>0</v>
      </c>
    </row>
    <row r="86" spans="1:44" ht="35.1" hidden="1" customHeight="1">
      <c r="A86" s="203"/>
      <c r="B86" s="190">
        <f>合数一覧!C80</f>
        <v>0</v>
      </c>
      <c r="C86" s="177">
        <f>IFERROR((合数一覧!D$2*B86)/I86, 0)</f>
        <v>0</v>
      </c>
      <c r="D86" s="233" t="str">
        <f t="shared" si="43"/>
        <v>g</v>
      </c>
      <c r="E86" s="234">
        <f t="shared" si="35"/>
        <v>0</v>
      </c>
      <c r="F86" s="174" t="str">
        <f t="shared" si="44"/>
        <v>g</v>
      </c>
      <c r="G86" s="175">
        <f t="shared" si="36"/>
        <v>0</v>
      </c>
      <c r="H86" s="233" t="str">
        <f t="shared" si="37"/>
        <v>g</v>
      </c>
      <c r="I86" s="176">
        <f>合数一覧!F80</f>
        <v>0</v>
      </c>
      <c r="J86" s="203" t="str">
        <f t="shared" si="45"/>
        <v/>
      </c>
      <c r="K86" s="190">
        <f>合数一覧!C80</f>
        <v>0</v>
      </c>
      <c r="L86" s="177">
        <f>IFERROR(合数一覧!G$2*K86/P86, 0)</f>
        <v>0</v>
      </c>
      <c r="M86" s="235" t="str">
        <f t="shared" si="46"/>
        <v>ｇ</v>
      </c>
      <c r="N86" s="175"/>
      <c r="O86" s="233" t="str">
        <f t="shared" si="38"/>
        <v>ｇ</v>
      </c>
      <c r="P86" s="176">
        <f>合数一覧!I80</f>
        <v>0</v>
      </c>
      <c r="Q86" s="203" t="str">
        <f t="shared" si="47"/>
        <v/>
      </c>
      <c r="R86" s="190">
        <f>合数一覧!C80</f>
        <v>0</v>
      </c>
      <c r="S86" s="177">
        <f>IFERROR(合数一覧!J$2*R86/W86, 0)</f>
        <v>0</v>
      </c>
      <c r="T86" s="235" t="str">
        <f t="shared" si="48"/>
        <v>ｇ</v>
      </c>
      <c r="U86" s="175"/>
      <c r="V86" s="233" t="str">
        <f t="shared" si="39"/>
        <v>ｇ</v>
      </c>
      <c r="W86" s="176">
        <f>合数一覧!L80</f>
        <v>0</v>
      </c>
      <c r="X86" s="203" t="str">
        <f t="shared" si="49"/>
        <v/>
      </c>
      <c r="Y86" s="173">
        <f>合数一覧!C80</f>
        <v>0</v>
      </c>
      <c r="Z86" s="177">
        <f>IFERROR(合数一覧!M$2*Y86/AD86, 0)</f>
        <v>0</v>
      </c>
      <c r="AA86" s="235" t="str">
        <f t="shared" si="50"/>
        <v>ｇ</v>
      </c>
      <c r="AB86" s="175"/>
      <c r="AC86" s="233" t="str">
        <f t="shared" si="40"/>
        <v>ｇ</v>
      </c>
      <c r="AD86" s="176">
        <f>合数一覧!O80</f>
        <v>0</v>
      </c>
      <c r="AE86" s="203" t="str">
        <f t="shared" si="51"/>
        <v/>
      </c>
      <c r="AF86" s="190">
        <v>0</v>
      </c>
      <c r="AG86" s="177">
        <f>IFERROR(合数一覧!P$2*AF86/AK86, 0)</f>
        <v>0</v>
      </c>
      <c r="AH86" s="235" t="str">
        <f t="shared" si="52"/>
        <v>ｇ</v>
      </c>
      <c r="AI86" s="175"/>
      <c r="AJ86" s="233" t="str">
        <f t="shared" si="41"/>
        <v>ｇ</v>
      </c>
      <c r="AK86" s="176">
        <f>合数一覧!R80</f>
        <v>0</v>
      </c>
      <c r="AL86" s="207" t="str">
        <f t="shared" si="53"/>
        <v/>
      </c>
      <c r="AM86" s="230">
        <f>合数一覧!C80</f>
        <v>0</v>
      </c>
      <c r="AN86" s="177">
        <f>IFERROR(合数一覧!S$2*AM86/AR86, 0)</f>
        <v>0</v>
      </c>
      <c r="AO86" s="233" t="str">
        <f t="shared" si="54"/>
        <v>ｇ</v>
      </c>
      <c r="AP86" s="175"/>
      <c r="AQ86" s="233" t="str">
        <f t="shared" si="42"/>
        <v>ｇ</v>
      </c>
      <c r="AR86" s="176">
        <f>合数一覧!U80</f>
        <v>0</v>
      </c>
    </row>
    <row r="87" spans="1:44" ht="35.1" hidden="1" customHeight="1">
      <c r="A87" s="203"/>
      <c r="B87" s="190">
        <f>合数一覧!C81</f>
        <v>0</v>
      </c>
      <c r="C87" s="177">
        <f>IFERROR((合数一覧!D$2*B87)/I87, 0)</f>
        <v>0</v>
      </c>
      <c r="D87" s="233" t="str">
        <f t="shared" si="43"/>
        <v>g</v>
      </c>
      <c r="E87" s="234">
        <f t="shared" si="35"/>
        <v>0</v>
      </c>
      <c r="F87" s="174" t="str">
        <f t="shared" si="44"/>
        <v>g</v>
      </c>
      <c r="G87" s="175">
        <f t="shared" si="36"/>
        <v>0</v>
      </c>
      <c r="H87" s="233" t="str">
        <f t="shared" si="37"/>
        <v>g</v>
      </c>
      <c r="I87" s="176">
        <f>合数一覧!F81</f>
        <v>0</v>
      </c>
      <c r="J87" s="203" t="str">
        <f t="shared" si="45"/>
        <v/>
      </c>
      <c r="K87" s="190">
        <f>合数一覧!C81</f>
        <v>0</v>
      </c>
      <c r="L87" s="177">
        <f>IFERROR(合数一覧!G$2*K87/P87, 0)</f>
        <v>0</v>
      </c>
      <c r="M87" s="235" t="str">
        <f t="shared" si="46"/>
        <v>ｇ</v>
      </c>
      <c r="N87" s="175"/>
      <c r="O87" s="233" t="str">
        <f t="shared" si="38"/>
        <v>ｇ</v>
      </c>
      <c r="P87" s="176">
        <f>合数一覧!I81</f>
        <v>0</v>
      </c>
      <c r="Q87" s="203" t="str">
        <f t="shared" si="47"/>
        <v/>
      </c>
      <c r="R87" s="190">
        <f>合数一覧!C81</f>
        <v>0</v>
      </c>
      <c r="S87" s="177">
        <f>IFERROR(合数一覧!J$2*R87/W87, 0)</f>
        <v>0</v>
      </c>
      <c r="T87" s="235" t="str">
        <f t="shared" si="48"/>
        <v>ｇ</v>
      </c>
      <c r="U87" s="175"/>
      <c r="V87" s="233" t="str">
        <f t="shared" si="39"/>
        <v>ｇ</v>
      </c>
      <c r="W87" s="176">
        <f>合数一覧!L81</f>
        <v>0</v>
      </c>
      <c r="X87" s="203" t="str">
        <f t="shared" si="49"/>
        <v/>
      </c>
      <c r="Y87" s="173">
        <f>合数一覧!C81</f>
        <v>0</v>
      </c>
      <c r="Z87" s="177">
        <f>IFERROR(合数一覧!M$2*Y87/AD87, 0)</f>
        <v>0</v>
      </c>
      <c r="AA87" s="235" t="str">
        <f t="shared" si="50"/>
        <v>ｇ</v>
      </c>
      <c r="AB87" s="175"/>
      <c r="AC87" s="233" t="str">
        <f t="shared" si="40"/>
        <v>ｇ</v>
      </c>
      <c r="AD87" s="176">
        <f>合数一覧!O81</f>
        <v>0</v>
      </c>
      <c r="AE87" s="203" t="str">
        <f t="shared" si="51"/>
        <v/>
      </c>
      <c r="AF87" s="190">
        <v>0</v>
      </c>
      <c r="AG87" s="177">
        <f>IFERROR(合数一覧!P$2*AF87/AK87, 0)</f>
        <v>0</v>
      </c>
      <c r="AH87" s="235" t="str">
        <f t="shared" si="52"/>
        <v>ｇ</v>
      </c>
      <c r="AI87" s="175"/>
      <c r="AJ87" s="233" t="str">
        <f t="shared" si="41"/>
        <v>ｇ</v>
      </c>
      <c r="AK87" s="176">
        <f>合数一覧!R81</f>
        <v>0</v>
      </c>
      <c r="AL87" s="207" t="str">
        <f t="shared" si="53"/>
        <v/>
      </c>
      <c r="AM87" s="230">
        <f>合数一覧!C81</f>
        <v>0</v>
      </c>
      <c r="AN87" s="177">
        <f>IFERROR(合数一覧!S$2*AM87/AR87, 0)</f>
        <v>0</v>
      </c>
      <c r="AO87" s="233" t="str">
        <f t="shared" si="54"/>
        <v>ｇ</v>
      </c>
      <c r="AP87" s="175"/>
      <c r="AQ87" s="233" t="str">
        <f t="shared" si="42"/>
        <v>ｇ</v>
      </c>
      <c r="AR87" s="176">
        <f>合数一覧!U81</f>
        <v>0</v>
      </c>
    </row>
    <row r="88" spans="1:44" ht="35.1" hidden="1" customHeight="1">
      <c r="A88" s="203"/>
      <c r="B88" s="190">
        <f>合数一覧!C82</f>
        <v>0</v>
      </c>
      <c r="C88" s="177">
        <f>IFERROR((合数一覧!D$2*B88)/I88, 0)</f>
        <v>0</v>
      </c>
      <c r="D88" s="233" t="str">
        <f t="shared" si="43"/>
        <v>g</v>
      </c>
      <c r="E88" s="234">
        <f t="shared" si="35"/>
        <v>0</v>
      </c>
      <c r="F88" s="174" t="str">
        <f t="shared" si="44"/>
        <v>g</v>
      </c>
      <c r="G88" s="175">
        <f t="shared" si="36"/>
        <v>0</v>
      </c>
      <c r="H88" s="233" t="str">
        <f t="shared" si="37"/>
        <v>g</v>
      </c>
      <c r="I88" s="176">
        <f>合数一覧!F82</f>
        <v>0</v>
      </c>
      <c r="J88" s="203" t="str">
        <f t="shared" si="45"/>
        <v/>
      </c>
      <c r="K88" s="190">
        <f>合数一覧!C82</f>
        <v>0</v>
      </c>
      <c r="L88" s="177">
        <f>IFERROR(合数一覧!G$2*K88/P88, 0)</f>
        <v>0</v>
      </c>
      <c r="M88" s="235" t="str">
        <f t="shared" si="46"/>
        <v>ｇ</v>
      </c>
      <c r="N88" s="175"/>
      <c r="O88" s="233" t="str">
        <f t="shared" si="38"/>
        <v>ｇ</v>
      </c>
      <c r="P88" s="176">
        <f>合数一覧!I82</f>
        <v>0</v>
      </c>
      <c r="Q88" s="203" t="str">
        <f t="shared" si="47"/>
        <v/>
      </c>
      <c r="R88" s="190">
        <f>合数一覧!C82</f>
        <v>0</v>
      </c>
      <c r="S88" s="177">
        <f>IFERROR(合数一覧!J$2*R88/W88, 0)</f>
        <v>0</v>
      </c>
      <c r="T88" s="235" t="str">
        <f t="shared" si="48"/>
        <v>ｇ</v>
      </c>
      <c r="U88" s="175"/>
      <c r="V88" s="233" t="str">
        <f t="shared" si="39"/>
        <v>ｇ</v>
      </c>
      <c r="W88" s="176">
        <f>合数一覧!L82</f>
        <v>0</v>
      </c>
      <c r="X88" s="203" t="str">
        <f t="shared" si="49"/>
        <v/>
      </c>
      <c r="Y88" s="173">
        <f>合数一覧!C82</f>
        <v>0</v>
      </c>
      <c r="Z88" s="177">
        <f>IFERROR(合数一覧!M$2*Y88/AD88, 0)</f>
        <v>0</v>
      </c>
      <c r="AA88" s="235" t="str">
        <f t="shared" si="50"/>
        <v>ｇ</v>
      </c>
      <c r="AB88" s="175"/>
      <c r="AC88" s="233" t="str">
        <f t="shared" si="40"/>
        <v>ｇ</v>
      </c>
      <c r="AD88" s="176">
        <f>合数一覧!O82</f>
        <v>0</v>
      </c>
      <c r="AE88" s="203" t="str">
        <f t="shared" si="51"/>
        <v/>
      </c>
      <c r="AF88" s="190">
        <v>0</v>
      </c>
      <c r="AG88" s="177">
        <f>IFERROR(合数一覧!P$2*AF88/AK88, 0)</f>
        <v>0</v>
      </c>
      <c r="AH88" s="235" t="str">
        <f t="shared" si="52"/>
        <v>ｇ</v>
      </c>
      <c r="AI88" s="175"/>
      <c r="AJ88" s="233" t="str">
        <f t="shared" si="41"/>
        <v>ｇ</v>
      </c>
      <c r="AK88" s="176">
        <f>合数一覧!R82</f>
        <v>0</v>
      </c>
      <c r="AL88" s="207" t="str">
        <f t="shared" si="53"/>
        <v/>
      </c>
      <c r="AM88" s="230">
        <f>合数一覧!C82</f>
        <v>0</v>
      </c>
      <c r="AN88" s="177">
        <f>IFERROR(合数一覧!S$2*AM88/AR88, 0)</f>
        <v>0</v>
      </c>
      <c r="AO88" s="233" t="str">
        <f t="shared" si="54"/>
        <v>ｇ</v>
      </c>
      <c r="AP88" s="175"/>
      <c r="AQ88" s="233" t="str">
        <f t="shared" si="42"/>
        <v>ｇ</v>
      </c>
      <c r="AR88" s="176">
        <f>合数一覧!U82</f>
        <v>0</v>
      </c>
    </row>
    <row r="89" spans="1:44" ht="35.1" hidden="1" customHeight="1">
      <c r="A89" s="203"/>
      <c r="B89" s="190">
        <f>合数一覧!C83</f>
        <v>0</v>
      </c>
      <c r="C89" s="177">
        <f>IFERROR((合数一覧!D$2*B89)/I89, 0)</f>
        <v>0</v>
      </c>
      <c r="D89" s="233" t="str">
        <f t="shared" si="43"/>
        <v>g</v>
      </c>
      <c r="E89" s="234">
        <f t="shared" si="35"/>
        <v>0</v>
      </c>
      <c r="F89" s="174" t="str">
        <f t="shared" si="44"/>
        <v>g</v>
      </c>
      <c r="G89" s="175">
        <f t="shared" si="36"/>
        <v>0</v>
      </c>
      <c r="H89" s="233" t="str">
        <f t="shared" si="37"/>
        <v>g</v>
      </c>
      <c r="I89" s="176">
        <f>合数一覧!F83</f>
        <v>0</v>
      </c>
      <c r="J89" s="203" t="str">
        <f t="shared" si="45"/>
        <v/>
      </c>
      <c r="K89" s="190">
        <f>合数一覧!C83</f>
        <v>0</v>
      </c>
      <c r="L89" s="177">
        <f>IFERROR(合数一覧!G$2*K89/P89, 0)</f>
        <v>0</v>
      </c>
      <c r="M89" s="235" t="str">
        <f t="shared" si="46"/>
        <v>ｇ</v>
      </c>
      <c r="N89" s="175"/>
      <c r="O89" s="233" t="str">
        <f t="shared" si="38"/>
        <v>ｇ</v>
      </c>
      <c r="P89" s="176">
        <f>合数一覧!I83</f>
        <v>0</v>
      </c>
      <c r="Q89" s="203" t="str">
        <f t="shared" si="47"/>
        <v/>
      </c>
      <c r="R89" s="190">
        <f>合数一覧!C83</f>
        <v>0</v>
      </c>
      <c r="S89" s="177">
        <f>IFERROR(合数一覧!J$2*R89/W89, 0)</f>
        <v>0</v>
      </c>
      <c r="T89" s="235" t="str">
        <f t="shared" si="48"/>
        <v>ｇ</v>
      </c>
      <c r="U89" s="175"/>
      <c r="V89" s="233" t="str">
        <f t="shared" si="39"/>
        <v>ｇ</v>
      </c>
      <c r="W89" s="176">
        <f>合数一覧!L83</f>
        <v>0</v>
      </c>
      <c r="X89" s="203" t="str">
        <f t="shared" si="49"/>
        <v/>
      </c>
      <c r="Y89" s="173">
        <f>合数一覧!C83</f>
        <v>0</v>
      </c>
      <c r="Z89" s="177">
        <f>IFERROR(合数一覧!M$2*Y89/AD89, 0)</f>
        <v>0</v>
      </c>
      <c r="AA89" s="235" t="str">
        <f t="shared" si="50"/>
        <v>ｇ</v>
      </c>
      <c r="AB89" s="175"/>
      <c r="AC89" s="233" t="str">
        <f t="shared" si="40"/>
        <v>ｇ</v>
      </c>
      <c r="AD89" s="176">
        <f>合数一覧!O83</f>
        <v>0</v>
      </c>
      <c r="AE89" s="203" t="str">
        <f t="shared" si="51"/>
        <v/>
      </c>
      <c r="AF89" s="190">
        <v>0</v>
      </c>
      <c r="AG89" s="177">
        <f>IFERROR(合数一覧!P$2*AF89/AK89, 0)</f>
        <v>0</v>
      </c>
      <c r="AH89" s="235" t="str">
        <f t="shared" si="52"/>
        <v>ｇ</v>
      </c>
      <c r="AI89" s="175"/>
      <c r="AJ89" s="233" t="str">
        <f t="shared" si="41"/>
        <v>ｇ</v>
      </c>
      <c r="AK89" s="176">
        <f>合数一覧!R83</f>
        <v>0</v>
      </c>
      <c r="AL89" s="207" t="str">
        <f t="shared" si="53"/>
        <v/>
      </c>
      <c r="AM89" s="230">
        <f>合数一覧!C83</f>
        <v>0</v>
      </c>
      <c r="AN89" s="177">
        <f>IFERROR(合数一覧!S$2*AM89/AR89, 0)</f>
        <v>0</v>
      </c>
      <c r="AO89" s="233" t="str">
        <f t="shared" si="54"/>
        <v>ｇ</v>
      </c>
      <c r="AP89" s="175"/>
      <c r="AQ89" s="233" t="str">
        <f t="shared" si="42"/>
        <v>ｇ</v>
      </c>
      <c r="AR89" s="176">
        <f>合数一覧!U83</f>
        <v>0</v>
      </c>
    </row>
    <row r="90" spans="1:44" ht="35.1" hidden="1" customHeight="1">
      <c r="A90" s="203"/>
      <c r="B90" s="190">
        <f>合数一覧!C84</f>
        <v>0</v>
      </c>
      <c r="C90" s="177">
        <f>IFERROR((合数一覧!D$2*B90)/I90, 0)</f>
        <v>0</v>
      </c>
      <c r="D90" s="233" t="str">
        <f t="shared" si="43"/>
        <v>g</v>
      </c>
      <c r="E90" s="234">
        <f t="shared" si="35"/>
        <v>0</v>
      </c>
      <c r="F90" s="174" t="str">
        <f t="shared" si="44"/>
        <v>g</v>
      </c>
      <c r="G90" s="175">
        <f t="shared" si="36"/>
        <v>0</v>
      </c>
      <c r="H90" s="233" t="str">
        <f t="shared" si="37"/>
        <v>g</v>
      </c>
      <c r="I90" s="176">
        <f>合数一覧!F84</f>
        <v>0</v>
      </c>
      <c r="J90" s="203" t="str">
        <f t="shared" si="45"/>
        <v/>
      </c>
      <c r="K90" s="190">
        <f>合数一覧!C84</f>
        <v>0</v>
      </c>
      <c r="L90" s="177">
        <f>IFERROR(合数一覧!G$2*K90/P90, 0)</f>
        <v>0</v>
      </c>
      <c r="M90" s="235" t="str">
        <f t="shared" si="46"/>
        <v>ｇ</v>
      </c>
      <c r="N90" s="175"/>
      <c r="O90" s="233" t="str">
        <f t="shared" si="38"/>
        <v>ｇ</v>
      </c>
      <c r="P90" s="176">
        <f>合数一覧!I84</f>
        <v>0</v>
      </c>
      <c r="Q90" s="203" t="str">
        <f t="shared" si="47"/>
        <v/>
      </c>
      <c r="R90" s="190">
        <f>合数一覧!C84</f>
        <v>0</v>
      </c>
      <c r="S90" s="177">
        <f>IFERROR(合数一覧!J$2*R90/W90, 0)</f>
        <v>0</v>
      </c>
      <c r="T90" s="235" t="str">
        <f t="shared" si="48"/>
        <v>ｇ</v>
      </c>
      <c r="U90" s="175"/>
      <c r="V90" s="233" t="str">
        <f t="shared" si="39"/>
        <v>ｇ</v>
      </c>
      <c r="W90" s="176">
        <f>合数一覧!L84</f>
        <v>0</v>
      </c>
      <c r="X90" s="203" t="str">
        <f t="shared" si="49"/>
        <v/>
      </c>
      <c r="Y90" s="173">
        <f>合数一覧!C84</f>
        <v>0</v>
      </c>
      <c r="Z90" s="177">
        <f>IFERROR(合数一覧!M$2*Y90/AD90, 0)</f>
        <v>0</v>
      </c>
      <c r="AA90" s="235" t="str">
        <f t="shared" si="50"/>
        <v>ｇ</v>
      </c>
      <c r="AB90" s="175"/>
      <c r="AC90" s="233" t="str">
        <f t="shared" si="40"/>
        <v>ｇ</v>
      </c>
      <c r="AD90" s="176">
        <f>合数一覧!O84</f>
        <v>0</v>
      </c>
      <c r="AE90" s="203" t="str">
        <f t="shared" si="51"/>
        <v/>
      </c>
      <c r="AF90" s="190">
        <v>0</v>
      </c>
      <c r="AG90" s="177">
        <f>IFERROR(合数一覧!P$2*AF90/AK90, 0)</f>
        <v>0</v>
      </c>
      <c r="AH90" s="235" t="str">
        <f t="shared" si="52"/>
        <v>ｇ</v>
      </c>
      <c r="AI90" s="175"/>
      <c r="AJ90" s="233" t="str">
        <f t="shared" si="41"/>
        <v>ｇ</v>
      </c>
      <c r="AK90" s="176">
        <f>合数一覧!R84</f>
        <v>0</v>
      </c>
      <c r="AL90" s="207" t="str">
        <f t="shared" si="53"/>
        <v/>
      </c>
      <c r="AM90" s="230">
        <f>合数一覧!C84</f>
        <v>0</v>
      </c>
      <c r="AN90" s="177">
        <f>IFERROR(合数一覧!S$2*AM90/AR90, 0)</f>
        <v>0</v>
      </c>
      <c r="AO90" s="233" t="str">
        <f t="shared" si="54"/>
        <v>ｇ</v>
      </c>
      <c r="AP90" s="175"/>
      <c r="AQ90" s="233" t="str">
        <f t="shared" si="42"/>
        <v>ｇ</v>
      </c>
      <c r="AR90" s="176">
        <f>合数一覧!U84</f>
        <v>0</v>
      </c>
    </row>
    <row r="91" spans="1:44" ht="35.1" hidden="1" customHeight="1" thickBot="1">
      <c r="A91" s="204"/>
      <c r="B91" s="191">
        <f>合数一覧!C85</f>
        <v>0</v>
      </c>
      <c r="C91" s="180">
        <f>IFERROR((合数一覧!D$2*B91)/I91, 0)</f>
        <v>0</v>
      </c>
      <c r="D91" s="236" t="str">
        <f t="shared" si="43"/>
        <v>g</v>
      </c>
      <c r="E91" s="237">
        <f t="shared" si="35"/>
        <v>0</v>
      </c>
      <c r="F91" s="181" t="str">
        <f t="shared" si="44"/>
        <v>g</v>
      </c>
      <c r="G91" s="182">
        <f t="shared" si="36"/>
        <v>0</v>
      </c>
      <c r="H91" s="236" t="str">
        <f t="shared" si="37"/>
        <v>g</v>
      </c>
      <c r="I91" s="183">
        <f>合数一覧!F85</f>
        <v>0</v>
      </c>
      <c r="J91" s="204" t="str">
        <f t="shared" si="45"/>
        <v/>
      </c>
      <c r="K91" s="191">
        <f>合数一覧!C85</f>
        <v>0</v>
      </c>
      <c r="L91" s="180">
        <f>IFERROR(合数一覧!G$2*K91/P91, 0)</f>
        <v>0</v>
      </c>
      <c r="M91" s="238" t="str">
        <f t="shared" si="46"/>
        <v>ｇ</v>
      </c>
      <c r="N91" s="182"/>
      <c r="O91" s="236" t="str">
        <f t="shared" si="38"/>
        <v>ｇ</v>
      </c>
      <c r="P91" s="183">
        <f>合数一覧!I85</f>
        <v>0</v>
      </c>
      <c r="Q91" s="204" t="str">
        <f t="shared" si="47"/>
        <v/>
      </c>
      <c r="R91" s="191">
        <f>合数一覧!C85</f>
        <v>0</v>
      </c>
      <c r="S91" s="180">
        <f>IFERROR(合数一覧!J$2*R91/W91, 0)</f>
        <v>0</v>
      </c>
      <c r="T91" s="238" t="str">
        <f t="shared" si="48"/>
        <v>ｇ</v>
      </c>
      <c r="U91" s="182"/>
      <c r="V91" s="236" t="str">
        <f t="shared" si="39"/>
        <v>ｇ</v>
      </c>
      <c r="W91" s="183">
        <f>合数一覧!L85</f>
        <v>0</v>
      </c>
      <c r="X91" s="204" t="str">
        <f t="shared" si="49"/>
        <v/>
      </c>
      <c r="Y91" s="179">
        <f>合数一覧!C85</f>
        <v>0</v>
      </c>
      <c r="Z91" s="180">
        <f>IFERROR(合数一覧!M$2*Y91/AD91, 0)</f>
        <v>0</v>
      </c>
      <c r="AA91" s="238" t="str">
        <f t="shared" si="50"/>
        <v>ｇ</v>
      </c>
      <c r="AB91" s="182"/>
      <c r="AC91" s="236" t="str">
        <f t="shared" si="40"/>
        <v>ｇ</v>
      </c>
      <c r="AD91" s="183">
        <f>合数一覧!O85</f>
        <v>0</v>
      </c>
      <c r="AE91" s="204" t="str">
        <f t="shared" si="51"/>
        <v/>
      </c>
      <c r="AF91" s="191">
        <v>0</v>
      </c>
      <c r="AG91" s="180">
        <f>IFERROR(合数一覧!P$2*AF91/AK91, 0)</f>
        <v>0</v>
      </c>
      <c r="AH91" s="238" t="str">
        <f t="shared" si="52"/>
        <v>ｇ</v>
      </c>
      <c r="AI91" s="182"/>
      <c r="AJ91" s="236" t="str">
        <f t="shared" si="41"/>
        <v>ｇ</v>
      </c>
      <c r="AK91" s="183">
        <f>合数一覧!R85</f>
        <v>0</v>
      </c>
      <c r="AL91" s="208" t="str">
        <f t="shared" si="53"/>
        <v/>
      </c>
      <c r="AM91" s="231">
        <f>合数一覧!C85</f>
        <v>0</v>
      </c>
      <c r="AN91" s="180">
        <f>IFERROR(合数一覧!S$2*AM91/AR91, 0)</f>
        <v>0</v>
      </c>
      <c r="AO91" s="236" t="str">
        <f t="shared" si="54"/>
        <v>ｇ</v>
      </c>
      <c r="AP91" s="182"/>
      <c r="AQ91" s="236" t="str">
        <f t="shared" si="42"/>
        <v>ｇ</v>
      </c>
      <c r="AR91" s="183">
        <f>合数一覧!U85</f>
        <v>0</v>
      </c>
    </row>
  </sheetData>
  <mergeCells count="26">
    <mergeCell ref="N3:O3"/>
    <mergeCell ref="U3:V3"/>
    <mergeCell ref="AB3:AC3"/>
    <mergeCell ref="AI3:AJ3"/>
    <mergeCell ref="AP3:AQ3"/>
    <mergeCell ref="AE1:AH1"/>
    <mergeCell ref="AE2:AF2"/>
    <mergeCell ref="AG3:AH3"/>
    <mergeCell ref="AL1:AO1"/>
    <mergeCell ref="AL2:AM2"/>
    <mergeCell ref="AN3:AO3"/>
    <mergeCell ref="Q1:T1"/>
    <mergeCell ref="Q2:R2"/>
    <mergeCell ref="S3:T3"/>
    <mergeCell ref="X1:AA1"/>
    <mergeCell ref="X2:Y2"/>
    <mergeCell ref="Z3:AA3"/>
    <mergeCell ref="G3:H3"/>
    <mergeCell ref="J1:M1"/>
    <mergeCell ref="J2:K2"/>
    <mergeCell ref="L3:M3"/>
    <mergeCell ref="A1:D1"/>
    <mergeCell ref="E1:F1"/>
    <mergeCell ref="A2:B2"/>
    <mergeCell ref="C3:D3"/>
    <mergeCell ref="E3:F3"/>
  </mergeCells>
  <phoneticPr fontId="1"/>
  <pageMargins left="0.25" right="0.25" top="0.75" bottom="0.75" header="0.3" footer="0.3"/>
  <pageSetup paperSize="9" scale="58" orientation="portrait" r:id="rId1"/>
  <headerFooter>
    <oddFooter>&amp;P / &amp;N ページ</oddFooter>
  </headerFooter>
  <rowBreaks count="1" manualBreakCount="1">
    <brk id="32" max="43" man="1"/>
  </rowBreaks>
  <colBreaks count="5" manualBreakCount="5">
    <brk id="9" max="90" man="1"/>
    <brk id="16" max="90" man="1"/>
    <brk id="23" max="90" man="1"/>
    <brk id="30" max="1048575" man="1"/>
    <brk id="37" max="9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合数一覧</vt:lpstr>
      <vt:lpstr>材料配分</vt:lpstr>
      <vt:lpstr>計量表</vt:lpstr>
      <vt:lpstr>計量表!Print_Area</vt:lpstr>
      <vt:lpstr>合数一覧!Print_Area</vt:lpstr>
      <vt:lpstr>材料配分!Print_Area</vt:lpstr>
      <vt:lpstr>計量表!Print_Titles</vt:lpstr>
      <vt:lpstr>合数一覧!Print_Titles</vt:lpstr>
      <vt:lpstr>材料配分!Print_Titles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DAN7</dc:creator>
  <cp:lastModifiedBy>Daisuke Kato</cp:lastModifiedBy>
  <cp:lastPrinted>2023-06-16T08:42:18Z</cp:lastPrinted>
  <dcterms:created xsi:type="dcterms:W3CDTF">2018-08-07T09:30:13Z</dcterms:created>
  <dcterms:modified xsi:type="dcterms:W3CDTF">2025-04-28T00:41:25Z</dcterms:modified>
</cp:coreProperties>
</file>