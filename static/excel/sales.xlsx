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dev\dan_web_order\dan_main\static\excel\"/>
    </mc:Choice>
  </mc:AlternateContent>
  <xr:revisionPtr revIDLastSave="0" documentId="13_ncr:1_{519AA0A7-41B9-4F3F-BC9B-9969B2DD354F}" xr6:coauthVersionLast="47" xr6:coauthVersionMax="47" xr10:uidLastSave="{00000000-0000-0000-0000-000000000000}"/>
  <bookViews>
    <workbookView xWindow="-120" yWindow="-120" windowWidth="29040" windowHeight="15720" xr2:uid="{6B25B50F-9FCF-4DAB-A905-1DD4B9F17D26}"/>
  </bookViews>
  <sheets>
    <sheet name="サマリ" sheetId="7" r:id="rId1"/>
    <sheet name="食事区分毎詳細" sheetId="6" r:id="rId2"/>
    <sheet name="施設毎詳細" sheetId="1" r:id="rId3"/>
    <sheet name="参照" sheetId="3" r:id="rId4"/>
    <sheet name="(参考)売価計算仕様"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7" l="1"/>
  <c r="E14" i="7"/>
  <c r="F13" i="7"/>
  <c r="E13" i="7"/>
  <c r="D14" i="7"/>
  <c r="D13" i="7"/>
  <c r="I16" i="6"/>
  <c r="H16" i="6"/>
  <c r="G16" i="6"/>
  <c r="I5" i="6"/>
  <c r="H5" i="6"/>
  <c r="G5" i="6"/>
  <c r="J5" i="6" s="1"/>
  <c r="D19" i="7"/>
  <c r="J14" i="7"/>
  <c r="I14" i="7"/>
  <c r="H14" i="7"/>
  <c r="M16" i="6"/>
  <c r="J13" i="7" s="1"/>
  <c r="J15" i="7" s="1"/>
  <c r="L16" i="6"/>
  <c r="I13" i="7" s="1"/>
  <c r="K16" i="6"/>
  <c r="H13" i="7" s="1"/>
  <c r="M7" i="6"/>
  <c r="L7" i="6"/>
  <c r="K7" i="6"/>
  <c r="M6" i="6"/>
  <c r="L6" i="6"/>
  <c r="K6" i="6"/>
  <c r="L11" i="6"/>
  <c r="K11" i="6"/>
  <c r="M10" i="6"/>
  <c r="M8" i="6"/>
  <c r="L8" i="6"/>
  <c r="K8" i="6"/>
  <c r="N18" i="6"/>
  <c r="N17" i="6"/>
  <c r="M15" i="6"/>
  <c r="L15" i="6"/>
  <c r="K15" i="6"/>
  <c r="N14" i="6"/>
  <c r="N13" i="6"/>
  <c r="N12" i="6"/>
  <c r="N6" i="6"/>
  <c r="G14" i="7"/>
  <c r="N14" i="7"/>
  <c r="M14" i="7"/>
  <c r="I11" i="6"/>
  <c r="M11" i="6" s="1"/>
  <c r="H11" i="6"/>
  <c r="G11" i="6"/>
  <c r="I10" i="6"/>
  <c r="H10" i="6"/>
  <c r="L10" i="6" s="1"/>
  <c r="G10" i="6"/>
  <c r="K10" i="6" s="1"/>
  <c r="I9" i="6"/>
  <c r="M9" i="6" s="1"/>
  <c r="H9" i="6"/>
  <c r="L9" i="6" s="1"/>
  <c r="I8" i="6"/>
  <c r="H8" i="6"/>
  <c r="G9" i="6"/>
  <c r="K9" i="6" s="1"/>
  <c r="G8" i="6"/>
  <c r="F11" i="6"/>
  <c r="F10" i="6"/>
  <c r="F9" i="6"/>
  <c r="F8" i="6"/>
  <c r="G15" i="6"/>
  <c r="J14" i="6"/>
  <c r="J13" i="6"/>
  <c r="F14" i="6"/>
  <c r="F13" i="6"/>
  <c r="J18" i="6"/>
  <c r="F18" i="6"/>
  <c r="F17" i="6"/>
  <c r="I15" i="6"/>
  <c r="J7" i="7" s="1"/>
  <c r="H15" i="6"/>
  <c r="I7" i="7" s="1"/>
  <c r="E15" i="6"/>
  <c r="E16" i="6" s="1"/>
  <c r="F6" i="7" s="1"/>
  <c r="D15" i="6"/>
  <c r="E7" i="7" s="1"/>
  <c r="C15" i="6"/>
  <c r="D7" i="7" s="1"/>
  <c r="I7" i="6"/>
  <c r="H7" i="6"/>
  <c r="G7" i="6"/>
  <c r="I6" i="6"/>
  <c r="H6" i="6"/>
  <c r="G6" i="6"/>
  <c r="J12" i="6"/>
  <c r="F12" i="6"/>
  <c r="F7" i="6"/>
  <c r="F6" i="6"/>
  <c r="F5" i="6"/>
  <c r="J20" i="7" l="1"/>
  <c r="N11" i="6"/>
  <c r="N8" i="6"/>
  <c r="N5" i="6"/>
  <c r="N9" i="6"/>
  <c r="N15" i="6"/>
  <c r="N7" i="6"/>
  <c r="N10" i="6"/>
  <c r="N16" i="6"/>
  <c r="H20" i="7"/>
  <c r="I20" i="7"/>
  <c r="J8" i="6"/>
  <c r="K13" i="7"/>
  <c r="F15" i="7"/>
  <c r="N15" i="7" s="1"/>
  <c r="I15" i="7"/>
  <c r="K14" i="7"/>
  <c r="L14" i="7"/>
  <c r="H15" i="7"/>
  <c r="J9" i="6"/>
  <c r="J11" i="6"/>
  <c r="J10" i="6"/>
  <c r="H6" i="7"/>
  <c r="J6" i="7"/>
  <c r="J8" i="7" s="1"/>
  <c r="M7" i="7"/>
  <c r="F7" i="7"/>
  <c r="G7" i="7" s="1"/>
  <c r="C16" i="6"/>
  <c r="D15" i="7" s="1"/>
  <c r="L15" i="7" s="1"/>
  <c r="D16" i="6"/>
  <c r="J7" i="6"/>
  <c r="I6" i="7"/>
  <c r="H7" i="7"/>
  <c r="L7" i="7" s="1"/>
  <c r="J15" i="6"/>
  <c r="J17" i="6"/>
  <c r="F15" i="6"/>
  <c r="J6" i="6"/>
  <c r="Q14" i="7" l="1"/>
  <c r="Q7" i="7"/>
  <c r="K20" i="7"/>
  <c r="P15" i="7"/>
  <c r="S15" i="7" s="1"/>
  <c r="P14" i="7"/>
  <c r="S14" i="7" s="1"/>
  <c r="P7" i="7"/>
  <c r="R14" i="7"/>
  <c r="R7" i="7"/>
  <c r="R15" i="7"/>
  <c r="K15" i="7"/>
  <c r="J28" i="7"/>
  <c r="J29" i="7" s="1"/>
  <c r="N13" i="7"/>
  <c r="R13" i="7" s="1"/>
  <c r="L13" i="7"/>
  <c r="P13" i="7" s="1"/>
  <c r="E6" i="7"/>
  <c r="E8" i="7" s="1"/>
  <c r="M8" i="7" s="1"/>
  <c r="Q8" i="7" s="1"/>
  <c r="N7" i="7"/>
  <c r="O14" i="7"/>
  <c r="O15" i="7"/>
  <c r="F8" i="7"/>
  <c r="N8" i="7" s="1"/>
  <c r="R8" i="7" s="1"/>
  <c r="N6" i="7"/>
  <c r="R6" i="7" s="1"/>
  <c r="I8" i="7"/>
  <c r="K7" i="7"/>
  <c r="D28" i="7" s="1"/>
  <c r="D29" i="7" s="1"/>
  <c r="F16" i="6"/>
  <c r="D6" i="7"/>
  <c r="D8" i="7" s="1"/>
  <c r="L8" i="7" s="1"/>
  <c r="P8" i="7" s="1"/>
  <c r="H8" i="7"/>
  <c r="S7" i="7"/>
  <c r="O7" i="7"/>
  <c r="K6" i="7"/>
  <c r="J16" i="6"/>
  <c r="S13" i="7" l="1"/>
  <c r="O13" i="7"/>
  <c r="E15" i="7"/>
  <c r="M15" i="7" s="1"/>
  <c r="Q15" i="7" s="1"/>
  <c r="M13" i="7"/>
  <c r="Q13" i="7" s="1"/>
  <c r="M6" i="7"/>
  <c r="Q6" i="7" s="1"/>
  <c r="G13" i="7"/>
  <c r="D24" i="7"/>
  <c r="D25" i="7" s="1"/>
  <c r="K8" i="7"/>
  <c r="S8" i="7"/>
  <c r="O8" i="7"/>
  <c r="L6" i="7"/>
  <c r="G6" i="7"/>
  <c r="O6" i="7" l="1"/>
  <c r="P6" i="7"/>
  <c r="S6" i="7" s="1"/>
  <c r="G15" i="7"/>
  <c r="J32" i="7" s="1"/>
  <c r="J33" i="7" s="1"/>
  <c r="J24" i="7"/>
  <c r="J25" i="7" s="1"/>
  <c r="G8" i="7"/>
  <c r="D32" i="7" s="1"/>
  <c r="D33" i="7" s="1"/>
</calcChain>
</file>

<file path=xl/sharedStrings.xml><?xml version="1.0" encoding="utf-8"?>
<sst xmlns="http://schemas.openxmlformats.org/spreadsheetml/2006/main" count="170" uniqueCount="105">
  <si>
    <t>施設名</t>
    <rPh sb="0" eb="2">
      <t>シセツ</t>
    </rPh>
    <rPh sb="2" eb="3">
      <t>メイ</t>
    </rPh>
    <phoneticPr fontId="1"/>
  </si>
  <si>
    <t>食事区分</t>
    <rPh sb="0" eb="2">
      <t>ショクジ</t>
    </rPh>
    <rPh sb="2" eb="4">
      <t>クブン</t>
    </rPh>
    <phoneticPr fontId="1"/>
  </si>
  <si>
    <t>朝</t>
    <rPh sb="0" eb="1">
      <t>アサ</t>
    </rPh>
    <phoneticPr fontId="1"/>
  </si>
  <si>
    <t>昼</t>
    <rPh sb="0" eb="1">
      <t>ヒル</t>
    </rPh>
    <phoneticPr fontId="1"/>
  </si>
  <si>
    <t>夕</t>
    <rPh sb="0" eb="1">
      <t>ユウ</t>
    </rPh>
    <phoneticPr fontId="1"/>
  </si>
  <si>
    <t>通常単価</t>
    <rPh sb="0" eb="2">
      <t>ツウジョウ</t>
    </rPh>
    <rPh sb="2" eb="4">
      <t>タンカ</t>
    </rPh>
    <phoneticPr fontId="1"/>
  </si>
  <si>
    <t>嚥下単価</t>
    <rPh sb="0" eb="2">
      <t>エンゲ</t>
    </rPh>
    <rPh sb="2" eb="4">
      <t>タンカ</t>
    </rPh>
    <phoneticPr fontId="1"/>
  </si>
  <si>
    <t>嚥下食数</t>
    <rPh sb="0" eb="2">
      <t>エンゲ</t>
    </rPh>
    <rPh sb="2" eb="4">
      <t>ショクスウ</t>
    </rPh>
    <phoneticPr fontId="1"/>
  </si>
  <si>
    <t>オプション価格</t>
    <rPh sb="5" eb="7">
      <t>カカク</t>
    </rPh>
    <phoneticPr fontId="1"/>
  </si>
  <si>
    <t>オプション内容</t>
    <rPh sb="5" eb="7">
      <t>ナイヨウ</t>
    </rPh>
    <phoneticPr fontId="1"/>
  </si>
  <si>
    <t>汁具</t>
    <rPh sb="0" eb="2">
      <t>シルグ</t>
    </rPh>
    <phoneticPr fontId="1"/>
  </si>
  <si>
    <t>具のみ</t>
    <rPh sb="0" eb="1">
      <t>グ</t>
    </rPh>
    <phoneticPr fontId="1"/>
  </si>
  <si>
    <t>昼食</t>
    <rPh sb="0" eb="1">
      <t>ヒル</t>
    </rPh>
    <rPh sb="1" eb="2">
      <t>ショク</t>
    </rPh>
    <phoneticPr fontId="1"/>
  </si>
  <si>
    <t>夕食</t>
    <rPh sb="0" eb="1">
      <t>ユウ</t>
    </rPh>
    <rPh sb="1" eb="2">
      <t>ショク</t>
    </rPh>
    <phoneticPr fontId="1"/>
  </si>
  <si>
    <t>施設・食事区分単位集計</t>
    <rPh sb="0" eb="2">
      <t>シセツ</t>
    </rPh>
    <rPh sb="3" eb="5">
      <t>ショクジ</t>
    </rPh>
    <rPh sb="5" eb="7">
      <t>クブン</t>
    </rPh>
    <rPh sb="7" eb="9">
      <t>タンイ</t>
    </rPh>
    <rPh sb="9" eb="11">
      <t>シュウケイ</t>
    </rPh>
    <phoneticPr fontId="1"/>
  </si>
  <si>
    <t>単価が別かどうか</t>
    <rPh sb="0" eb="2">
      <t>タンカ</t>
    </rPh>
    <rPh sb="3" eb="4">
      <t>ベツ</t>
    </rPh>
    <phoneticPr fontId="1"/>
  </si>
  <si>
    <t>汁内容</t>
    <rPh sb="0" eb="1">
      <t>シル</t>
    </rPh>
    <rPh sb="1" eb="3">
      <t>ナイヨウ</t>
    </rPh>
    <phoneticPr fontId="1"/>
  </si>
  <si>
    <t>合計</t>
    <rPh sb="0" eb="2">
      <t>ゴウケイ</t>
    </rPh>
    <phoneticPr fontId="1"/>
  </si>
  <si>
    <t>嚥下以外の常食・薄味・個食・フリーズ食数</t>
    <rPh sb="0" eb="2">
      <t>エンゲ</t>
    </rPh>
    <rPh sb="2" eb="4">
      <t>イガイ</t>
    </rPh>
    <rPh sb="5" eb="7">
      <t>ジョウショク</t>
    </rPh>
    <rPh sb="8" eb="10">
      <t>ウスアジ</t>
    </rPh>
    <rPh sb="11" eb="13">
      <t>コショク</t>
    </rPh>
    <rPh sb="18" eb="20">
      <t>ショクスウ</t>
    </rPh>
    <phoneticPr fontId="1"/>
  </si>
  <si>
    <t>朝食</t>
    <rPh sb="0" eb="1">
      <t>アサ</t>
    </rPh>
    <rPh sb="1" eb="2">
      <t>ショク</t>
    </rPh>
    <phoneticPr fontId="1"/>
  </si>
  <si>
    <t>食数総合計</t>
    <rPh sb="0" eb="2">
      <t>ショクスウ</t>
    </rPh>
    <rPh sb="2" eb="5">
      <t>ソウゴウケイ</t>
    </rPh>
    <phoneticPr fontId="1"/>
  </si>
  <si>
    <t>嚥下以外の常食・薄味・個食・フリーズ売上</t>
    <rPh sb="0" eb="2">
      <t>エンゲ</t>
    </rPh>
    <rPh sb="2" eb="4">
      <t>イガイ</t>
    </rPh>
    <rPh sb="5" eb="7">
      <t>ジョウショク</t>
    </rPh>
    <rPh sb="8" eb="10">
      <t>ウスアジ</t>
    </rPh>
    <rPh sb="11" eb="13">
      <t>コショク</t>
    </rPh>
    <rPh sb="18" eb="20">
      <t>ウリアゲ</t>
    </rPh>
    <phoneticPr fontId="1"/>
  </si>
  <si>
    <t>嚥下食売上</t>
    <rPh sb="0" eb="2">
      <t>エンゲ</t>
    </rPh>
    <rPh sb="2" eb="3">
      <t>ショク</t>
    </rPh>
    <rPh sb="3" eb="5">
      <t>ウリアゲ</t>
    </rPh>
    <phoneticPr fontId="1"/>
  </si>
  <si>
    <t>売上総合計</t>
    <rPh sb="0" eb="2">
      <t>ウリアゲ</t>
    </rPh>
    <rPh sb="2" eb="5">
      <t>ソウゴウケイ</t>
    </rPh>
    <phoneticPr fontId="1"/>
  </si>
  <si>
    <t>食数</t>
    <rPh sb="0" eb="2">
      <t>ショクスウ</t>
    </rPh>
    <phoneticPr fontId="1"/>
  </si>
  <si>
    <t>売上</t>
    <rPh sb="0" eb="2">
      <t>ウリアゲ</t>
    </rPh>
    <phoneticPr fontId="1"/>
  </si>
  <si>
    <t>朝食</t>
    <rPh sb="0" eb="2">
      <t>チョウショク</t>
    </rPh>
    <phoneticPr fontId="1"/>
  </si>
  <si>
    <t>昼食</t>
    <rPh sb="0" eb="2">
      <t>チュウショク</t>
    </rPh>
    <phoneticPr fontId="1"/>
  </si>
  <si>
    <t>夕食</t>
    <rPh sb="0" eb="2">
      <t>ユウショク</t>
    </rPh>
    <phoneticPr fontId="1"/>
  </si>
  <si>
    <r>
      <t>1</t>
    </r>
    <r>
      <rPr>
        <sz val="12"/>
        <color rgb="FF000000"/>
        <rFont val="ＭＳ Ｐゴシック"/>
        <family val="3"/>
        <charset val="128"/>
      </rPr>
      <t>ヶ月分の朝昼夕別の食数ー</t>
    </r>
    <r>
      <rPr>
        <sz val="12"/>
        <color rgb="FF000000"/>
        <rFont val="Arial"/>
        <family val="2"/>
      </rPr>
      <t>1</t>
    </r>
    <r>
      <rPr>
        <sz val="12"/>
        <color rgb="FF000000"/>
        <rFont val="ＭＳ Ｐゴシック"/>
        <family val="3"/>
        <charset val="128"/>
      </rPr>
      <t>ヶ月分の朝昼夕別の嚥下食の食数＝</t>
    </r>
    <r>
      <rPr>
        <sz val="12"/>
        <color rgb="FF000000"/>
        <rFont val="Arial"/>
        <family val="2"/>
      </rPr>
      <t>1</t>
    </r>
    <r>
      <rPr>
        <sz val="12"/>
        <color rgb="FF000000"/>
        <rFont val="ＭＳ Ｐゴシック"/>
        <family val="3"/>
        <charset val="128"/>
      </rPr>
      <t>ヶ月分の朝昼夕別の常食・薄味・個食・フリーズのみの合計食数・・・</t>
    </r>
    <r>
      <rPr>
        <sz val="12"/>
        <color rgb="FF000000"/>
        <rFont val="ＭＳ 明朝"/>
        <family val="1"/>
        <charset val="128"/>
      </rPr>
      <t>②</t>
    </r>
  </si>
  <si>
    <t>運賃計算については下記の通りです。</t>
  </si>
  <si>
    <r>
      <t>佐川急便などの運賃の請求合計額（税別）</t>
    </r>
    <r>
      <rPr>
        <sz val="12"/>
        <color rgb="FF000000"/>
        <rFont val="Arial"/>
        <family val="2"/>
      </rPr>
      <t>÷1</t>
    </r>
    <r>
      <rPr>
        <sz val="12"/>
        <color rgb="FF000000"/>
        <rFont val="ＭＳ Ｐゴシック"/>
        <family val="3"/>
        <charset val="128"/>
      </rPr>
      <t>ヶ月分の朝昼夕の合計食数＝</t>
    </r>
    <r>
      <rPr>
        <sz val="12"/>
        <color rgb="FF000000"/>
        <rFont val="Arial"/>
        <family val="2"/>
      </rPr>
      <t>1</t>
    </r>
    <r>
      <rPr>
        <sz val="12"/>
        <color rgb="FF000000"/>
        <rFont val="ＭＳ Ｐゴシック"/>
        <family val="3"/>
        <charset val="128"/>
      </rPr>
      <t>食当たりの平均運賃を算出・・・</t>
    </r>
    <r>
      <rPr>
        <sz val="12"/>
        <color rgb="FF000000"/>
        <rFont val="ＭＳ 明朝"/>
        <family val="1"/>
        <charset val="128"/>
      </rPr>
      <t>③</t>
    </r>
  </si>
  <si>
    <r>
      <t>③</t>
    </r>
    <r>
      <rPr>
        <sz val="12"/>
        <color rgb="FF000000"/>
        <rFont val="Arial"/>
        <family val="2"/>
      </rPr>
      <t xml:space="preserve"> x 3</t>
    </r>
    <r>
      <rPr>
        <sz val="12"/>
        <color rgb="FF000000"/>
        <rFont val="ＭＳ Ｐゴシック"/>
        <family val="3"/>
        <charset val="128"/>
      </rPr>
      <t>（朝昼夕）＝平均運賃</t>
    </r>
    <r>
      <rPr>
        <sz val="12"/>
        <color rgb="FF000000"/>
        <rFont val="Arial"/>
        <family val="2"/>
      </rPr>
      <t>/</t>
    </r>
    <r>
      <rPr>
        <sz val="12"/>
        <color rgb="FF000000"/>
        <rFont val="ＭＳ Ｐゴシック"/>
        <family val="3"/>
        <charset val="128"/>
      </rPr>
      <t>セット食（朝昼夕）</t>
    </r>
    <r>
      <rPr>
        <sz val="12"/>
        <color rgb="FF000000"/>
        <rFont val="Arial"/>
        <family val="2"/>
      </rPr>
      <t>/</t>
    </r>
    <r>
      <rPr>
        <sz val="12"/>
        <color rgb="FF000000"/>
        <rFont val="ＭＳ Ｐゴシック"/>
        <family val="3"/>
        <charset val="128"/>
      </rPr>
      <t>日・・・</t>
    </r>
    <r>
      <rPr>
        <sz val="12"/>
        <color rgb="FF000000"/>
        <rFont val="ＭＳ 明朝"/>
        <family val="1"/>
        <charset val="128"/>
      </rPr>
      <t>④</t>
    </r>
  </si>
  <si>
    <t>弊社の社内での運賃割合を下記の通り設定</t>
  </si>
  <si>
    <r>
      <t>朝</t>
    </r>
    <r>
      <rPr>
        <sz val="12"/>
        <color rgb="FF000000"/>
        <rFont val="Arial"/>
        <family val="2"/>
      </rPr>
      <t>=</t>
    </r>
    <r>
      <rPr>
        <sz val="12"/>
        <color rgb="FF000000"/>
        <rFont val="ＭＳ Ｐゴシック"/>
        <family val="3"/>
        <charset val="128"/>
      </rPr>
      <t>１</t>
    </r>
    <r>
      <rPr>
        <sz val="12"/>
        <color rgb="FF000000"/>
        <rFont val="Arial"/>
        <family val="2"/>
      </rPr>
      <t xml:space="preserve">: </t>
    </r>
    <r>
      <rPr>
        <sz val="12"/>
        <color rgb="FF000000"/>
        <rFont val="ＭＳ Ｐゴシック"/>
        <family val="3"/>
        <charset val="128"/>
      </rPr>
      <t>昼</t>
    </r>
    <r>
      <rPr>
        <sz val="12"/>
        <color rgb="FF000000"/>
        <rFont val="Arial"/>
        <family val="2"/>
      </rPr>
      <t>=</t>
    </r>
    <r>
      <rPr>
        <sz val="12"/>
        <color rgb="FF000000"/>
        <rFont val="ＭＳ Ｐゴシック"/>
        <family val="3"/>
        <charset val="128"/>
      </rPr>
      <t>２</t>
    </r>
    <r>
      <rPr>
        <sz val="12"/>
        <color rgb="FF000000"/>
        <rFont val="Arial"/>
        <family val="2"/>
      </rPr>
      <t xml:space="preserve">: </t>
    </r>
    <r>
      <rPr>
        <sz val="12"/>
        <color rgb="FF000000"/>
        <rFont val="ＭＳ Ｐゴシック"/>
        <family val="3"/>
        <charset val="128"/>
      </rPr>
      <t>夕</t>
    </r>
    <r>
      <rPr>
        <sz val="12"/>
        <color rgb="FF000000"/>
        <rFont val="Arial"/>
        <family val="2"/>
      </rPr>
      <t>=</t>
    </r>
    <r>
      <rPr>
        <sz val="12"/>
        <color rgb="FF000000"/>
        <rFont val="ＭＳ Ｐゴシック"/>
        <family val="3"/>
        <charset val="128"/>
      </rPr>
      <t>２</t>
    </r>
  </si>
  <si>
    <r>
      <t>上記の平均運賃</t>
    </r>
    <r>
      <rPr>
        <sz val="12"/>
        <color rgb="FF000000"/>
        <rFont val="Arial"/>
        <family val="2"/>
      </rPr>
      <t>/</t>
    </r>
    <r>
      <rPr>
        <sz val="12"/>
        <color rgb="FF000000"/>
        <rFont val="ＭＳ Ｐゴシック"/>
        <family val="3"/>
        <charset val="128"/>
      </rPr>
      <t>セット食（朝昼夕）</t>
    </r>
    <r>
      <rPr>
        <sz val="12"/>
        <color rgb="FF000000"/>
        <rFont val="Arial"/>
        <family val="2"/>
      </rPr>
      <t>/</t>
    </r>
    <r>
      <rPr>
        <sz val="12"/>
        <color rgb="FF000000"/>
        <rFont val="ＭＳ Ｐゴシック"/>
        <family val="3"/>
        <charset val="128"/>
      </rPr>
      <t>日と弊社の社内での運賃割合で朝・昼・夕別の運賃を算出・・・</t>
    </r>
    <r>
      <rPr>
        <sz val="12"/>
        <color rgb="FF000000"/>
        <rFont val="ＭＳ 明朝"/>
        <family val="1"/>
        <charset val="128"/>
      </rPr>
      <t>⑤</t>
    </r>
  </si>
  <si>
    <r>
      <t>1</t>
    </r>
    <r>
      <rPr>
        <sz val="12"/>
        <color rgb="FF000000"/>
        <rFont val="ＭＳ Ｐゴシック"/>
        <family val="3"/>
        <charset val="128"/>
      </rPr>
      <t>ヶ月分の朝昼夕別の売上とその合計</t>
    </r>
  </si>
  <si>
    <r>
      <t>1</t>
    </r>
    <r>
      <rPr>
        <sz val="12"/>
        <color rgb="FF000000"/>
        <rFont val="ＭＳ Ｐゴシック"/>
        <family val="3"/>
        <charset val="128"/>
      </rPr>
      <t>ヶ月分の朝昼夕別の食数とその合計</t>
    </r>
  </si>
  <si>
    <r>
      <t>1</t>
    </r>
    <r>
      <rPr>
        <sz val="12"/>
        <color rgb="FF000000"/>
        <rFont val="ＭＳ Ｐゴシック"/>
        <family val="3"/>
        <charset val="128"/>
      </rPr>
      <t>ヶ月分の朝昼夕別の平均売価とその合計</t>
    </r>
  </si>
  <si>
    <r>
      <t>1</t>
    </r>
    <r>
      <rPr>
        <sz val="12"/>
        <color rgb="FF000000"/>
        <rFont val="ＭＳ Ｐゴシック"/>
        <family val="3"/>
        <charset val="128"/>
      </rPr>
      <t>ヶ月分の朝昼夕別の具のみの売上とその合計</t>
    </r>
  </si>
  <si>
    <r>
      <t>1</t>
    </r>
    <r>
      <rPr>
        <sz val="12"/>
        <color rgb="FF000000"/>
        <rFont val="ＭＳ Ｐゴシック"/>
        <family val="3"/>
        <charset val="128"/>
      </rPr>
      <t>ヶ月分の朝昼夕別の具のみの食数とその合計</t>
    </r>
  </si>
  <si>
    <r>
      <t>1</t>
    </r>
    <r>
      <rPr>
        <sz val="12"/>
        <color rgb="FF000000"/>
        <rFont val="ＭＳ Ｐゴシック"/>
        <family val="3"/>
        <charset val="128"/>
      </rPr>
      <t>ヶ月分の朝昼夕別の汁具の売上とその合計</t>
    </r>
  </si>
  <si>
    <r>
      <t>1</t>
    </r>
    <r>
      <rPr>
        <sz val="12"/>
        <color rgb="FF000000"/>
        <rFont val="ＭＳ Ｐゴシック"/>
        <family val="3"/>
        <charset val="128"/>
      </rPr>
      <t>ヶ月分の朝昼夕別の汁具の食数とその合計</t>
    </r>
  </si>
  <si>
    <r>
      <t>1</t>
    </r>
    <r>
      <rPr>
        <sz val="12"/>
        <color rgb="FF000000"/>
        <rFont val="ＭＳ Ｐゴシック"/>
        <family val="3"/>
        <charset val="128"/>
      </rPr>
      <t>ヶ月分の朝昼夕別の嚥下食の売上（売価が別になっている施設分と売価が別になっていない施設分の合算）とその合計</t>
    </r>
  </si>
  <si>
    <r>
      <t>※</t>
    </r>
    <r>
      <rPr>
        <sz val="12"/>
        <color rgb="FFFF0000"/>
        <rFont val="ＭＳ Ｐゴシック"/>
        <family val="3"/>
        <charset val="128"/>
      </rPr>
      <t>嚥下食については、ソフト・ミキサーゼリー食別もお願い致します。</t>
    </r>
  </si>
  <si>
    <r>
      <t>1</t>
    </r>
    <r>
      <rPr>
        <sz val="12"/>
        <color rgb="FF000000"/>
        <rFont val="ＭＳ Ｐゴシック"/>
        <family val="3"/>
        <charset val="128"/>
      </rPr>
      <t>ヶ月分の朝昼夕別の嚥下食の食数とその合計</t>
    </r>
  </si>
  <si>
    <r>
      <t>1</t>
    </r>
    <r>
      <rPr>
        <sz val="12"/>
        <color rgb="FF000000"/>
        <rFont val="ＭＳ Ｐゴシック"/>
        <family val="3"/>
        <charset val="128"/>
      </rPr>
      <t>ヶ月分の朝昼夕別の嚥下食の平均売価とその合計</t>
    </r>
  </si>
  <si>
    <r>
      <t>1</t>
    </r>
    <r>
      <rPr>
        <sz val="12"/>
        <color rgb="FF000000"/>
        <rFont val="ＭＳ Ｐゴシック"/>
        <family val="3"/>
        <charset val="128"/>
      </rPr>
      <t>ヶ月分の朝昼夕別の常食・薄味・個食・フリーズのみの売上・・・</t>
    </r>
    <r>
      <rPr>
        <sz val="12"/>
        <color rgb="FF000000"/>
        <rFont val="ＭＳ 明朝"/>
        <family val="1"/>
        <charset val="128"/>
      </rPr>
      <t>①</t>
    </r>
    <r>
      <rPr>
        <sz val="12"/>
        <color rgb="FF000000"/>
        <rFont val="ＭＳ Ｐゴシック"/>
        <family val="3"/>
        <charset val="128"/>
      </rPr>
      <t>とその合計</t>
    </r>
  </si>
  <si>
    <r>
      <t>1</t>
    </r>
    <r>
      <rPr>
        <sz val="12"/>
        <color rgb="FF000000"/>
        <rFont val="ＭＳ Ｐゴシック"/>
        <family val="3"/>
        <charset val="128"/>
      </rPr>
      <t>ヶ月分の朝昼夕別の常食・薄味・個食・フリーズのみの合計食数・・・</t>
    </r>
    <r>
      <rPr>
        <sz val="12"/>
        <color rgb="FF000000"/>
        <rFont val="ＭＳ 明朝"/>
        <family val="1"/>
        <charset val="128"/>
      </rPr>
      <t>②</t>
    </r>
    <r>
      <rPr>
        <sz val="12"/>
        <color rgb="FF000000"/>
        <rFont val="ＭＳ Ｐゴシック"/>
        <family val="3"/>
        <charset val="128"/>
      </rPr>
      <t>とその合計</t>
    </r>
  </si>
  <si>
    <r>
      <t>1</t>
    </r>
    <r>
      <rPr>
        <sz val="12"/>
        <color rgb="FF000000"/>
        <rFont val="ＭＳ Ｐゴシック"/>
        <family val="3"/>
        <charset val="128"/>
      </rPr>
      <t>ヶ月分の朝昼夕別の常食・薄味・個食・フリーズのみの平均売価とその合計</t>
    </r>
  </si>
  <si>
    <r>
      <t>1</t>
    </r>
    <r>
      <rPr>
        <sz val="12"/>
        <color rgb="FF000000"/>
        <rFont val="ＭＳ Ｐゴシック"/>
        <family val="3"/>
        <charset val="128"/>
      </rPr>
      <t>ヶ月分の常食・薄味・個食・フリーズのみの売上</t>
    </r>
    <r>
      <rPr>
        <sz val="12"/>
        <color rgb="FF000000"/>
        <rFont val="Arial"/>
        <family val="2"/>
      </rPr>
      <t>÷1</t>
    </r>
    <r>
      <rPr>
        <sz val="12"/>
        <color rgb="FF000000"/>
        <rFont val="ＭＳ Ｐゴシック"/>
        <family val="3"/>
        <charset val="128"/>
      </rPr>
      <t>ヶ月分の常食・薄味・個食・フリーズのみの合計食数ｘ</t>
    </r>
    <r>
      <rPr>
        <sz val="12"/>
        <color rgb="FF000000"/>
        <rFont val="Arial"/>
        <family val="2"/>
      </rPr>
      <t>3</t>
    </r>
    <r>
      <rPr>
        <sz val="12"/>
        <color rgb="FF000000"/>
        <rFont val="ＭＳ Ｐゴシック"/>
        <family val="3"/>
        <charset val="128"/>
      </rPr>
      <t>（朝昼夕）＝</t>
    </r>
    <r>
      <rPr>
        <sz val="12"/>
        <color rgb="FF000000"/>
        <rFont val="Arial"/>
        <family val="2"/>
      </rPr>
      <t>1</t>
    </r>
    <r>
      <rPr>
        <sz val="12"/>
        <color rgb="FF000000"/>
        <rFont val="ＭＳ Ｐゴシック"/>
        <family val="3"/>
        <charset val="128"/>
      </rPr>
      <t>日の常食・薄味・個食・フリーズのみの平均売価</t>
    </r>
  </si>
  <si>
    <r>
      <t>※</t>
    </r>
    <r>
      <rPr>
        <sz val="12"/>
        <color rgb="FFFF0000"/>
        <rFont val="ＭＳ Ｐゴシック"/>
        <family val="3"/>
        <charset val="128"/>
      </rPr>
      <t>上記はすべて運賃込みの売価</t>
    </r>
  </si>
  <si>
    <r>
      <t>上記の運賃計算で算出した</t>
    </r>
    <r>
      <rPr>
        <sz val="12"/>
        <color rgb="FF000000"/>
        <rFont val="ＭＳ 明朝"/>
        <family val="1"/>
        <charset val="128"/>
      </rPr>
      <t>④</t>
    </r>
    <r>
      <rPr>
        <sz val="12"/>
        <color rgb="FF000000"/>
        <rFont val="ＭＳ Ｐゴシック"/>
        <family val="3"/>
        <charset val="128"/>
      </rPr>
      <t>と</t>
    </r>
    <r>
      <rPr>
        <sz val="12"/>
        <color rgb="FF000000"/>
        <rFont val="ＭＳ 明朝"/>
        <family val="1"/>
        <charset val="128"/>
      </rPr>
      <t>⑤</t>
    </r>
    <r>
      <rPr>
        <sz val="12"/>
        <color rgb="FF000000"/>
        <rFont val="ＭＳ Ｐゴシック"/>
        <family val="3"/>
        <charset val="128"/>
      </rPr>
      <t>を利用して上記の各平均売価より差引いて運賃を除く平均売価を算出お願い致します。</t>
    </r>
  </si>
  <si>
    <r>
      <t>1</t>
    </r>
    <r>
      <rPr>
        <sz val="12"/>
        <color rgb="FF000000"/>
        <rFont val="ＭＳ Ｐゴシック"/>
        <family val="3"/>
        <charset val="128"/>
      </rPr>
      <t>ヶ月分の朝昼夕別の平均売価とその合計（運賃除く）</t>
    </r>
  </si>
  <si>
    <r>
      <t>1</t>
    </r>
    <r>
      <rPr>
        <sz val="12"/>
        <color rgb="FF000000"/>
        <rFont val="ＭＳ Ｐゴシック"/>
        <family val="3"/>
        <charset val="128"/>
      </rPr>
      <t>ヶ月分の朝昼夕別の嚥下食の平均売価とその合計（運賃除く）</t>
    </r>
  </si>
  <si>
    <r>
      <t>1</t>
    </r>
    <r>
      <rPr>
        <sz val="12"/>
        <color rgb="FF000000"/>
        <rFont val="ＭＳ Ｐゴシック"/>
        <family val="3"/>
        <charset val="128"/>
      </rPr>
      <t>ヶ月分の朝昼夕別の常食・薄味・個食・フリーズのみの平均売価とその合計（運賃除く）</t>
    </r>
  </si>
  <si>
    <r>
      <t>1</t>
    </r>
    <r>
      <rPr>
        <sz val="12"/>
        <color rgb="FF000000"/>
        <rFont val="ＭＳ Ｐゴシック"/>
        <family val="3"/>
        <charset val="128"/>
      </rPr>
      <t>ヶ月分の常食・薄味・個食・フリーズのみの売上</t>
    </r>
    <r>
      <rPr>
        <sz val="12"/>
        <color rgb="FF000000"/>
        <rFont val="Arial"/>
        <family val="2"/>
      </rPr>
      <t>÷1</t>
    </r>
    <r>
      <rPr>
        <sz val="12"/>
        <color rgb="FF000000"/>
        <rFont val="ＭＳ Ｐゴシック"/>
        <family val="3"/>
        <charset val="128"/>
      </rPr>
      <t>ヶ月分の常食・薄味・個食・フリーズのみの合計食数ｘ</t>
    </r>
    <r>
      <rPr>
        <sz val="12"/>
        <color rgb="FF000000"/>
        <rFont val="Arial"/>
        <family val="2"/>
      </rPr>
      <t>3</t>
    </r>
    <r>
      <rPr>
        <sz val="12"/>
        <color rgb="FF000000"/>
        <rFont val="ＭＳ Ｐゴシック"/>
        <family val="3"/>
        <charset val="128"/>
      </rPr>
      <t>（朝昼夕）＝</t>
    </r>
    <r>
      <rPr>
        <sz val="12"/>
        <color rgb="FF000000"/>
        <rFont val="Arial"/>
        <family val="2"/>
      </rPr>
      <t>1</t>
    </r>
    <r>
      <rPr>
        <sz val="12"/>
        <color rgb="FF000000"/>
        <rFont val="ＭＳ Ｐゴシック"/>
        <family val="3"/>
        <charset val="128"/>
      </rPr>
      <t>日の常食・薄味・個食・フリーズのみの平均売価（運賃除く）</t>
    </r>
  </si>
  <si>
    <t>[サマリ仕様]</t>
    <rPh sb="4" eb="6">
      <t>シヨウ</t>
    </rPh>
    <phoneticPr fontId="1"/>
  </si>
  <si>
    <r>
      <t>①</t>
    </r>
    <r>
      <rPr>
        <sz val="12"/>
        <color rgb="FF000000"/>
        <rFont val="ＭＳ 明朝"/>
        <family val="2"/>
        <charset val="128"/>
      </rPr>
      <t>÷</t>
    </r>
    <r>
      <rPr>
        <sz val="12"/>
        <color rgb="FF000000"/>
        <rFont val="ＭＳ 明朝"/>
        <family val="1"/>
        <charset val="128"/>
      </rPr>
      <t>②</t>
    </r>
    <r>
      <rPr>
        <sz val="12"/>
        <color rgb="FF000000"/>
        <rFont val="ＭＳ Ｐゴシック"/>
        <family val="3"/>
        <charset val="128"/>
      </rPr>
      <t>＝</t>
    </r>
    <r>
      <rPr>
        <sz val="12"/>
        <color rgb="FF000000"/>
        <rFont val="Arial"/>
        <family val="2"/>
      </rPr>
      <t>1</t>
    </r>
    <r>
      <rPr>
        <sz val="12"/>
        <color rgb="FF000000"/>
        <rFont val="ＭＳ Ｐゴシック"/>
        <family val="3"/>
        <charset val="128"/>
      </rPr>
      <t>ヶ月分の朝昼夕別の常食・薄味・個食・フリーズのみの平均売価とその合計</t>
    </r>
    <phoneticPr fontId="1"/>
  </si>
  <si>
    <t>[出力項目]</t>
    <rPh sb="1" eb="3">
      <t>シュツリョク</t>
    </rPh>
    <rPh sb="3" eb="5">
      <t>コウモク</t>
    </rPh>
    <phoneticPr fontId="1"/>
  </si>
  <si>
    <t>種別</t>
    <rPh sb="0" eb="2">
      <t>シュベツ</t>
    </rPh>
    <phoneticPr fontId="1"/>
  </si>
  <si>
    <t>全体</t>
    <rPh sb="0" eb="2">
      <t>ゼンタイ</t>
    </rPh>
    <phoneticPr fontId="1"/>
  </si>
  <si>
    <t>汁具のみ</t>
    <phoneticPr fontId="1"/>
  </si>
  <si>
    <t>嚥下(ソフト)</t>
    <rPh sb="0" eb="2">
      <t>エンゲ</t>
    </rPh>
    <phoneticPr fontId="1"/>
  </si>
  <si>
    <t>嚥下(ゼリー)</t>
    <rPh sb="0" eb="2">
      <t>エンゲ</t>
    </rPh>
    <phoneticPr fontId="1"/>
  </si>
  <si>
    <t>嚥下(ミキサー)</t>
    <rPh sb="0" eb="2">
      <t>エンゲ</t>
    </rPh>
    <phoneticPr fontId="1"/>
  </si>
  <si>
    <t>嚥下(合計)</t>
    <rPh sb="0" eb="2">
      <t>エンゲ</t>
    </rPh>
    <rPh sb="3" eb="5">
      <t>ゴウケイ</t>
    </rPh>
    <phoneticPr fontId="1"/>
  </si>
  <si>
    <t>常食・薄味・個食・フリーズのみ</t>
    <phoneticPr fontId="1"/>
  </si>
  <si>
    <t>-売価が同じ施設の嚥下(売価)</t>
    <rPh sb="1" eb="3">
      <t>バイカ</t>
    </rPh>
    <rPh sb="4" eb="5">
      <t>オナ</t>
    </rPh>
    <rPh sb="6" eb="8">
      <t>シセツ</t>
    </rPh>
    <rPh sb="9" eb="11">
      <t>エンゲ</t>
    </rPh>
    <rPh sb="12" eb="14">
      <t>バイカ</t>
    </rPh>
    <phoneticPr fontId="1"/>
  </si>
  <si>
    <t>配送料割合</t>
    <rPh sb="0" eb="2">
      <t>ハイソウ</t>
    </rPh>
    <rPh sb="2" eb="3">
      <t>リョウ</t>
    </rPh>
    <rPh sb="3" eb="5">
      <t>ワリアイ</t>
    </rPh>
    <phoneticPr fontId="1"/>
  </si>
  <si>
    <r>
      <t>1</t>
    </r>
    <r>
      <rPr>
        <sz val="12"/>
        <color rgb="FF000000"/>
        <rFont val="ＭＳ Ｐゴシック"/>
        <family val="3"/>
        <charset val="128"/>
      </rPr>
      <t>ヶ月分の朝昼夕別の売上ー</t>
    </r>
    <r>
      <rPr>
        <sz val="12"/>
        <color rgb="FF000000"/>
        <rFont val="Arial"/>
        <family val="2"/>
      </rPr>
      <t>1</t>
    </r>
    <r>
      <rPr>
        <sz val="12"/>
        <color rgb="FF000000"/>
        <rFont val="ＭＳ Ｐゴシック"/>
        <family val="3"/>
        <charset val="128"/>
      </rPr>
      <t>ヶ月分の朝昼夕別の具のみ（</t>
    </r>
    <r>
      <rPr>
        <sz val="12"/>
        <color rgb="FF000000"/>
        <rFont val="Arial"/>
        <family val="2"/>
      </rPr>
      <t>30</t>
    </r>
    <r>
      <rPr>
        <sz val="12"/>
        <color rgb="FF000000"/>
        <rFont val="ＭＳ Ｐゴシック"/>
        <family val="3"/>
        <charset val="128"/>
      </rPr>
      <t>円</t>
    </r>
    <r>
      <rPr>
        <sz val="12"/>
        <color rgb="FF000000"/>
        <rFont val="Arial"/>
        <family val="2"/>
      </rPr>
      <t>/</t>
    </r>
    <r>
      <rPr>
        <sz val="12"/>
        <color rgb="FF000000"/>
        <rFont val="ＭＳ Ｐゴシック"/>
        <family val="3"/>
        <charset val="128"/>
      </rPr>
      <t>回）の売上</t>
    </r>
    <phoneticPr fontId="1"/>
  </si>
  <si>
    <r>
      <t>ー</t>
    </r>
    <r>
      <rPr>
        <sz val="12"/>
        <color rgb="FF000000"/>
        <rFont val="Arial"/>
        <family val="2"/>
      </rPr>
      <t>1</t>
    </r>
    <r>
      <rPr>
        <sz val="12"/>
        <color rgb="FF000000"/>
        <rFont val="ＭＳ Ｐゴシック"/>
        <family val="3"/>
        <charset val="128"/>
      </rPr>
      <t>ヶ月分の朝昼夕別の汁具（</t>
    </r>
    <r>
      <rPr>
        <sz val="12"/>
        <color rgb="FF000000"/>
        <rFont val="Arial"/>
        <family val="2"/>
      </rPr>
      <t>40</t>
    </r>
    <r>
      <rPr>
        <sz val="12"/>
        <color rgb="FF000000"/>
        <rFont val="ＭＳ Ｐゴシック"/>
        <family val="3"/>
        <charset val="128"/>
      </rPr>
      <t>円</t>
    </r>
    <r>
      <rPr>
        <sz val="12"/>
        <color rgb="FF000000"/>
        <rFont val="Arial"/>
        <family val="2"/>
      </rPr>
      <t>/</t>
    </r>
    <r>
      <rPr>
        <sz val="12"/>
        <color rgb="FF000000"/>
        <rFont val="ＭＳ Ｐゴシック"/>
        <family val="3"/>
        <charset val="128"/>
      </rPr>
      <t>回）の売上ー</t>
    </r>
    <r>
      <rPr>
        <sz val="12"/>
        <color rgb="FF000000"/>
        <rFont val="Arial"/>
        <family val="2"/>
      </rPr>
      <t>1</t>
    </r>
    <r>
      <rPr>
        <sz val="12"/>
        <color rgb="FF000000"/>
        <rFont val="ＭＳ Ｐゴシック"/>
        <family val="3"/>
        <charset val="128"/>
      </rPr>
      <t>ヶ月分の朝昼夕別の嚥下食の売上（売価が別になっている施設分）</t>
    </r>
    <phoneticPr fontId="1"/>
  </si>
  <si>
    <t>ー1ヶ月分の朝昼夕別の嚥下食の売上（売価が別になっていない施設分は売価で計算）＝1ヶ月分の朝昼夕別の常食・薄味・個食・フリーズのみの売上（運賃込み）・・・①</t>
  </si>
  <si>
    <t>-売価が別の施設の嚥下(売価)</t>
    <rPh sb="1" eb="3">
      <t>バイカ</t>
    </rPh>
    <rPh sb="4" eb="5">
      <t>ベツ</t>
    </rPh>
    <rPh sb="6" eb="8">
      <t>シセツ</t>
    </rPh>
    <rPh sb="9" eb="11">
      <t>エンゲ</t>
    </rPh>
    <rPh sb="12" eb="14">
      <t>バイカ</t>
    </rPh>
    <phoneticPr fontId="1"/>
  </si>
  <si>
    <t>食事区分毎集計結果詳細(1ヶ月分)</t>
    <rPh sb="0" eb="2">
      <t>ショクジ</t>
    </rPh>
    <rPh sb="2" eb="4">
      <t>クブン</t>
    </rPh>
    <rPh sb="4" eb="5">
      <t>ゴト</t>
    </rPh>
    <rPh sb="5" eb="7">
      <t>シュウケイ</t>
    </rPh>
    <rPh sb="7" eb="9">
      <t>ケッカ</t>
    </rPh>
    <rPh sb="9" eb="11">
      <t>ショウサイ</t>
    </rPh>
    <rPh sb="14" eb="15">
      <t>ゲツ</t>
    </rPh>
    <rPh sb="15" eb="16">
      <t>ブン</t>
    </rPh>
    <phoneticPr fontId="1"/>
  </si>
  <si>
    <t>参照テーブル</t>
    <rPh sb="0" eb="2">
      <t>サンショウ</t>
    </rPh>
    <phoneticPr fontId="1"/>
  </si>
  <si>
    <t>嚥下</t>
    <rPh sb="0" eb="2">
      <t>エンゲ</t>
    </rPh>
    <phoneticPr fontId="1"/>
  </si>
  <si>
    <t>1食あたりの平均売価(配送料込み)</t>
    <rPh sb="1" eb="2">
      <t>ショク</t>
    </rPh>
    <rPh sb="6" eb="8">
      <t>ヘイキン</t>
    </rPh>
    <rPh sb="8" eb="10">
      <t>バイカ</t>
    </rPh>
    <rPh sb="11" eb="15">
      <t>ハイソウリョウコ</t>
    </rPh>
    <phoneticPr fontId="1"/>
  </si>
  <si>
    <t>1食あたりの平均売価(配送料除く)</t>
    <rPh sb="6" eb="8">
      <t>ヘイキン</t>
    </rPh>
    <rPh sb="8" eb="10">
      <t>バイカ</t>
    </rPh>
    <rPh sb="11" eb="13">
      <t>ハイソウ</t>
    </rPh>
    <rPh sb="13" eb="14">
      <t>リョウ</t>
    </rPh>
    <rPh sb="14" eb="15">
      <t>ノゾ</t>
    </rPh>
    <phoneticPr fontId="1"/>
  </si>
  <si>
    <t>売価計算結果</t>
    <rPh sb="0" eb="2">
      <t>バイカ</t>
    </rPh>
    <rPh sb="2" eb="4">
      <t>ケイサン</t>
    </rPh>
    <rPh sb="4" eb="6">
      <t>ケッカ</t>
    </rPh>
    <phoneticPr fontId="1"/>
  </si>
  <si>
    <t>※下記売上は配送料を含む</t>
    <rPh sb="1" eb="3">
      <t>カキ</t>
    </rPh>
    <rPh sb="3" eb="5">
      <t>ウリアゲ</t>
    </rPh>
    <rPh sb="6" eb="8">
      <t>ハイソウ</t>
    </rPh>
    <rPh sb="8" eb="9">
      <t>リョウ</t>
    </rPh>
    <rPh sb="10" eb="11">
      <t>フク</t>
    </rPh>
    <phoneticPr fontId="1"/>
  </si>
  <si>
    <t>※汁のオプション料金は除いた売上</t>
    <rPh sb="1" eb="2">
      <t>シル</t>
    </rPh>
    <rPh sb="8" eb="10">
      <t>リョウキン</t>
    </rPh>
    <rPh sb="11" eb="12">
      <t>ノゾ</t>
    </rPh>
    <rPh sb="14" eb="16">
      <t>ウリアゲ</t>
    </rPh>
    <phoneticPr fontId="1"/>
  </si>
  <si>
    <t>具のみ(嚥下以外)</t>
    <rPh sb="4" eb="6">
      <t>エンゲ</t>
    </rPh>
    <rPh sb="6" eb="8">
      <t>イガイ</t>
    </rPh>
    <phoneticPr fontId="1"/>
  </si>
  <si>
    <t>具のみ(嚥下)</t>
    <phoneticPr fontId="1"/>
  </si>
  <si>
    <t>汁具のみ(嚥下)</t>
    <rPh sb="5" eb="7">
      <t>エンゲ</t>
    </rPh>
    <phoneticPr fontId="1"/>
  </si>
  <si>
    <t>汁具のみ(嚥下以外)</t>
    <rPh sb="5" eb="7">
      <t>エンゲ</t>
    </rPh>
    <rPh sb="7" eb="9">
      <t>イガイ</t>
    </rPh>
    <phoneticPr fontId="1"/>
  </si>
  <si>
    <t>・月間集計(汁の売上を除く)</t>
    <rPh sb="6" eb="7">
      <t>シル</t>
    </rPh>
    <rPh sb="8" eb="10">
      <t>ウリアゲ</t>
    </rPh>
    <rPh sb="11" eb="12">
      <t>ノゾ</t>
    </rPh>
    <phoneticPr fontId="1"/>
  </si>
  <si>
    <t>・月間集計(汁の売上を含む)</t>
    <rPh sb="6" eb="7">
      <t>シル</t>
    </rPh>
    <rPh sb="8" eb="10">
      <t>ウリアゲ</t>
    </rPh>
    <rPh sb="11" eb="12">
      <t>フク</t>
    </rPh>
    <phoneticPr fontId="1"/>
  </si>
  <si>
    <t>・配送料</t>
  </si>
  <si>
    <t>今月の配送料の請求金額</t>
  </si>
  <si>
    <t>1日あたりの平均配送料</t>
  </si>
  <si>
    <t>食事区分別配送料</t>
  </si>
  <si>
    <t>朝食</t>
  </si>
  <si>
    <t>昼食</t>
  </si>
  <si>
    <t>夕食</t>
  </si>
  <si>
    <t>合計</t>
  </si>
  <si>
    <t>・1ヶ月の1日あたりの単純平均売価(汁の売上を除く)</t>
    <rPh sb="18" eb="19">
      <t>シル</t>
    </rPh>
    <rPh sb="20" eb="22">
      <t>ウリアゲ</t>
    </rPh>
    <rPh sb="23" eb="24">
      <t>ノゾ</t>
    </rPh>
    <phoneticPr fontId="1"/>
  </si>
  <si>
    <t>・1ヶ月の1日あたりの単純平均売価(汁の売上を含む)</t>
    <rPh sb="18" eb="19">
      <t>シル</t>
    </rPh>
    <rPh sb="20" eb="22">
      <t>ウリアゲ</t>
    </rPh>
    <rPh sb="23" eb="24">
      <t>フク</t>
    </rPh>
    <phoneticPr fontId="1"/>
  </si>
  <si>
    <t>・常食・薄味・個食・フリーズのみ</t>
    <phoneticPr fontId="1"/>
  </si>
  <si>
    <t>配送料込み</t>
  </si>
  <si>
    <t>配送料除く</t>
  </si>
  <si>
    <t>・嚥下</t>
    <phoneticPr fontId="1"/>
  </si>
  <si>
    <t>・全体</t>
    <phoneticPr fontId="1"/>
  </si>
  <si>
    <t>売上(汁の売上を除く)</t>
    <rPh sb="0" eb="2">
      <t>ウリアゲ</t>
    </rPh>
    <rPh sb="3" eb="4">
      <t>シル</t>
    </rPh>
    <rPh sb="5" eb="7">
      <t>ウリアゲ</t>
    </rPh>
    <rPh sb="8" eb="9">
      <t>ノゾ</t>
    </rPh>
    <phoneticPr fontId="1"/>
  </si>
  <si>
    <t>売上(汁の売上を含む)</t>
    <rPh sb="0" eb="2">
      <t>ウリアゲ</t>
    </rPh>
    <rPh sb="3" eb="4">
      <t>シル</t>
    </rPh>
    <rPh sb="5" eb="7">
      <t>ウリアゲ</t>
    </rPh>
    <rPh sb="8" eb="9">
      <t>フク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</si>
</sst>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Red]\-#,##0.00\ "/>
    <numFmt numFmtId="177" formatCode="#,##0.00_);[Red]\(#,##0.00\)"/>
    <numFmt numFmtId="178" formatCode="0.00_ "/>
  </numFmts>
  <fonts count="18" x14ac:knownFonts="1">
    <font>
      <sz val="11"/>
      <color theme="1"/>
      <name val="游ゴシック"/>
      <family val="2"/>
      <charset val="128"/>
      <scheme val="minor"/>
    </font>
    <font>
      <sz val="6"/>
      <name val="游ゴシック"/>
      <family val="2"/>
      <charset val="128"/>
      <scheme val="minor"/>
    </font>
    <font>
      <sz val="12"/>
      <color rgb="FFFF0000"/>
      <name val="ＭＳ Ｐゴシック"/>
      <family val="3"/>
      <charset val="128"/>
    </font>
    <font>
      <sz val="12"/>
      <color rgb="FFFF0000"/>
      <name val="ＭＳ 明朝"/>
      <family val="1"/>
      <charset val="128"/>
    </font>
    <font>
      <sz val="12"/>
      <color theme="1"/>
      <name val="Arial"/>
      <family val="2"/>
    </font>
    <font>
      <b/>
      <sz val="11"/>
      <color theme="1"/>
      <name val="游ゴシック"/>
      <family val="3"/>
      <charset val="128"/>
      <scheme val="minor"/>
    </font>
    <font>
      <b/>
      <u/>
      <sz val="22"/>
      <color theme="1"/>
      <name val="游ゴシック"/>
      <family val="3"/>
      <charset val="128"/>
      <scheme val="minor"/>
    </font>
    <font>
      <b/>
      <sz val="16"/>
      <color theme="1"/>
      <name val="游ゴシック"/>
      <family val="3"/>
      <charset val="128"/>
      <scheme val="minor"/>
    </font>
    <font>
      <sz val="11"/>
      <color theme="1"/>
      <name val="游ゴシック"/>
      <family val="2"/>
      <charset val="128"/>
      <scheme val="minor"/>
    </font>
    <font>
      <sz val="12"/>
      <color rgb="FF000000"/>
      <name val="Arial"/>
      <family val="2"/>
    </font>
    <font>
      <sz val="12"/>
      <color rgb="FF000000"/>
      <name val="ＭＳ Ｐゴシック"/>
      <family val="3"/>
      <charset val="128"/>
    </font>
    <font>
      <sz val="12"/>
      <color rgb="FF000000"/>
      <name val="ＭＳ 明朝"/>
      <family val="1"/>
      <charset val="128"/>
    </font>
    <font>
      <sz val="12"/>
      <color rgb="FF000000"/>
      <name val="ＭＳ 明朝"/>
      <family val="2"/>
      <charset val="128"/>
    </font>
    <font>
      <sz val="11"/>
      <color rgb="FFFF0000"/>
      <name val="游ゴシック"/>
      <family val="3"/>
      <charset val="128"/>
      <scheme val="minor"/>
    </font>
    <font>
      <b/>
      <sz val="14"/>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1"/>
      <color rgb="FFFF0000"/>
      <name val="游ゴシック"/>
      <family val="2"/>
      <charset val="128"/>
      <scheme val="minor"/>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double">
        <color indexed="64"/>
      </bottom>
      <diagonal/>
    </border>
    <border>
      <left style="medium">
        <color indexed="64"/>
      </left>
      <right/>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alignment vertical="center"/>
    </xf>
    <xf numFmtId="38" fontId="8" fillId="0" borderId="0" applyFont="0" applyFill="0" applyBorder="0" applyAlignment="0" applyProtection="0">
      <alignment vertical="center"/>
    </xf>
  </cellStyleXfs>
  <cellXfs count="13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0" fillId="0" borderId="0" xfId="0" applyAlignment="1">
      <alignment horizontal="center" vertical="center"/>
    </xf>
    <xf numFmtId="0" fontId="7" fillId="0" borderId="0" xfId="0" applyFont="1">
      <alignment vertical="center"/>
    </xf>
    <xf numFmtId="38" fontId="0" fillId="0" borderId="1" xfId="1" applyFont="1" applyBorder="1">
      <alignment vertical="center"/>
    </xf>
    <xf numFmtId="38" fontId="0" fillId="0" borderId="3" xfId="1" applyFont="1" applyBorder="1">
      <alignment vertical="center"/>
    </xf>
    <xf numFmtId="38" fontId="0" fillId="0" borderId="4" xfId="1" applyFont="1" applyBorder="1">
      <alignment vertical="center"/>
    </xf>
    <xf numFmtId="38" fontId="0" fillId="0" borderId="5" xfId="1" applyFont="1" applyBorder="1">
      <alignment vertical="center"/>
    </xf>
    <xf numFmtId="38" fontId="0" fillId="0" borderId="6" xfId="1" applyFont="1" applyBorder="1">
      <alignment vertical="center"/>
    </xf>
    <xf numFmtId="38" fontId="0" fillId="0" borderId="7" xfId="1" applyFont="1" applyBorder="1">
      <alignment vertical="center"/>
    </xf>
    <xf numFmtId="38" fontId="0" fillId="0" borderId="8" xfId="1" applyFont="1" applyBorder="1">
      <alignment vertical="center"/>
    </xf>
    <xf numFmtId="38" fontId="0" fillId="0" borderId="9" xfId="1" applyFont="1" applyBorder="1">
      <alignment vertical="center"/>
    </xf>
    <xf numFmtId="38" fontId="0" fillId="0" borderId="10" xfId="1" applyFont="1" applyBorder="1">
      <alignment vertical="center"/>
    </xf>
    <xf numFmtId="0" fontId="9" fillId="0" borderId="0" xfId="0" applyFont="1">
      <alignment vertical="center"/>
    </xf>
    <xf numFmtId="0" fontId="11" fillId="0" borderId="0" xfId="0" applyFont="1">
      <alignment vertical="center"/>
    </xf>
    <xf numFmtId="0" fontId="10" fillId="0" borderId="0" xfId="0" applyFont="1">
      <alignment vertical="center"/>
    </xf>
    <xf numFmtId="38" fontId="0" fillId="0" borderId="11" xfId="1" applyFont="1" applyBorder="1">
      <alignment vertical="center"/>
    </xf>
    <xf numFmtId="38" fontId="0" fillId="0" borderId="12" xfId="1" applyFont="1" applyBorder="1">
      <alignment vertical="center"/>
    </xf>
    <xf numFmtId="38" fontId="0" fillId="0" borderId="13" xfId="1" applyFont="1" applyBorder="1">
      <alignment vertical="center"/>
    </xf>
    <xf numFmtId="0" fontId="0" fillId="2" borderId="14" xfId="0" applyFill="1" applyBorder="1">
      <alignment vertical="center"/>
    </xf>
    <xf numFmtId="0" fontId="0" fillId="2" borderId="15" xfId="0" applyFill="1" applyBorder="1">
      <alignment vertical="center"/>
    </xf>
    <xf numFmtId="0" fontId="0" fillId="2" borderId="2" xfId="0" applyFill="1" applyBorder="1">
      <alignment vertical="center"/>
    </xf>
    <xf numFmtId="0" fontId="0" fillId="2" borderId="16" xfId="0" applyFill="1" applyBorder="1">
      <alignment vertical="center"/>
    </xf>
    <xf numFmtId="0" fontId="0" fillId="2" borderId="17" xfId="0" applyFill="1" applyBorder="1">
      <alignment vertic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13" fillId="0" borderId="0" xfId="0" applyFont="1">
      <alignment vertical="center"/>
    </xf>
    <xf numFmtId="0" fontId="0" fillId="2" borderId="17" xfId="0" quotePrefix="1" applyFill="1" applyBorder="1">
      <alignment vertical="center"/>
    </xf>
    <xf numFmtId="0" fontId="0" fillId="2" borderId="16" xfId="0" quotePrefix="1" applyFill="1" applyBorder="1">
      <alignment vertical="center"/>
    </xf>
    <xf numFmtId="0" fontId="14" fillId="3" borderId="0" xfId="0" applyFont="1" applyFill="1">
      <alignment vertical="center"/>
    </xf>
    <xf numFmtId="0" fontId="15" fillId="3" borderId="0" xfId="0" applyFont="1" applyFill="1">
      <alignment vertical="center"/>
    </xf>
    <xf numFmtId="0" fontId="15" fillId="0" borderId="0" xfId="0" applyFont="1">
      <alignment vertical="center"/>
    </xf>
    <xf numFmtId="0" fontId="14" fillId="2" borderId="2" xfId="0" applyFont="1" applyFill="1" applyBorder="1">
      <alignment vertical="center"/>
    </xf>
    <xf numFmtId="0" fontId="16" fillId="2" borderId="25" xfId="0" applyFont="1" applyFill="1" applyBorder="1">
      <alignment vertical="center"/>
    </xf>
    <xf numFmtId="0" fontId="16" fillId="2" borderId="2" xfId="0" applyFont="1" applyFill="1" applyBorder="1">
      <alignment vertical="center"/>
    </xf>
    <xf numFmtId="0" fontId="16" fillId="2" borderId="28" xfId="0" applyFont="1" applyFill="1" applyBorder="1">
      <alignment vertical="center"/>
    </xf>
    <xf numFmtId="0" fontId="14" fillId="2" borderId="19" xfId="0" applyFont="1" applyFill="1" applyBorder="1">
      <alignment vertical="center"/>
    </xf>
    <xf numFmtId="0" fontId="14" fillId="2" borderId="20" xfId="0" applyFont="1" applyFill="1" applyBorder="1">
      <alignment vertical="center"/>
    </xf>
    <xf numFmtId="0" fontId="16" fillId="2" borderId="5"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26"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27" xfId="0" applyFont="1" applyFill="1" applyBorder="1" applyAlignment="1">
      <alignment horizontal="center" vertical="center"/>
    </xf>
    <xf numFmtId="38" fontId="15" fillId="0" borderId="8" xfId="1" applyFont="1" applyBorder="1">
      <alignment vertical="center"/>
    </xf>
    <xf numFmtId="38" fontId="15" fillId="0" borderId="9" xfId="1" applyFont="1" applyBorder="1">
      <alignment vertical="center"/>
    </xf>
    <xf numFmtId="38" fontId="15" fillId="0" borderId="34" xfId="1" applyFont="1" applyBorder="1">
      <alignment vertical="center"/>
    </xf>
    <xf numFmtId="38" fontId="15" fillId="0" borderId="5" xfId="1" applyFont="1" applyBorder="1">
      <alignment vertical="center"/>
    </xf>
    <xf numFmtId="38" fontId="15" fillId="0" borderId="6" xfId="1" applyFont="1" applyBorder="1">
      <alignment vertical="center"/>
    </xf>
    <xf numFmtId="38" fontId="15" fillId="0" borderId="26" xfId="1" applyFont="1" applyBorder="1">
      <alignment vertical="center"/>
    </xf>
    <xf numFmtId="0" fontId="14" fillId="4" borderId="0" xfId="0" applyFont="1" applyFill="1">
      <alignment vertical="center"/>
    </xf>
    <xf numFmtId="0" fontId="15" fillId="4" borderId="0" xfId="0" applyFont="1" applyFill="1">
      <alignment vertical="center"/>
    </xf>
    <xf numFmtId="0" fontId="16" fillId="5" borderId="0" xfId="0" applyFont="1" applyFill="1">
      <alignment vertical="center"/>
    </xf>
    <xf numFmtId="0" fontId="15" fillId="5" borderId="0" xfId="0" applyFont="1" applyFill="1">
      <alignment vertical="center"/>
    </xf>
    <xf numFmtId="0" fontId="16" fillId="2" borderId="24" xfId="0" applyFont="1" applyFill="1" applyBorder="1">
      <alignment vertical="center"/>
    </xf>
    <xf numFmtId="0" fontId="15" fillId="2" borderId="25" xfId="0" applyFont="1" applyFill="1" applyBorder="1">
      <alignment vertical="center"/>
    </xf>
    <xf numFmtId="0" fontId="15" fillId="2" borderId="28" xfId="0" applyFont="1" applyFill="1" applyBorder="1">
      <alignment vertical="center"/>
    </xf>
    <xf numFmtId="38" fontId="15" fillId="0" borderId="8" xfId="1" applyFont="1" applyBorder="1" applyAlignment="1">
      <alignment vertical="center" shrinkToFit="1"/>
    </xf>
    <xf numFmtId="38" fontId="15" fillId="0" borderId="9" xfId="1" applyFont="1" applyBorder="1" applyAlignment="1">
      <alignment vertical="center" shrinkToFit="1"/>
    </xf>
    <xf numFmtId="38" fontId="15" fillId="0" borderId="10" xfId="1" applyFont="1" applyBorder="1" applyAlignment="1">
      <alignment vertical="center" shrinkToFit="1"/>
    </xf>
    <xf numFmtId="38" fontId="15" fillId="0" borderId="5" xfId="1" applyFont="1" applyBorder="1" applyAlignment="1">
      <alignment vertical="center" shrinkToFit="1"/>
    </xf>
    <xf numFmtId="38" fontId="15" fillId="0" borderId="6" xfId="1" applyFont="1" applyBorder="1" applyAlignment="1">
      <alignment vertical="center" shrinkToFit="1"/>
    </xf>
    <xf numFmtId="38" fontId="15" fillId="0" borderId="7" xfId="1" applyFont="1" applyBorder="1" applyAlignment="1">
      <alignment vertical="center" shrinkToFit="1"/>
    </xf>
    <xf numFmtId="38" fontId="0" fillId="0" borderId="11" xfId="1" applyFont="1" applyBorder="1" applyAlignment="1">
      <alignment vertical="center" shrinkToFit="1"/>
    </xf>
    <xf numFmtId="38" fontId="0" fillId="0" borderId="12" xfId="1" applyFont="1" applyBorder="1" applyAlignment="1">
      <alignment vertical="center" shrinkToFit="1"/>
    </xf>
    <xf numFmtId="38" fontId="0" fillId="0" borderId="13" xfId="1" applyFont="1" applyBorder="1" applyAlignment="1">
      <alignment vertical="center" shrinkToFit="1"/>
    </xf>
    <xf numFmtId="38" fontId="0" fillId="0" borderId="8" xfId="1" applyFont="1" applyBorder="1" applyAlignment="1">
      <alignment vertical="center" shrinkToFit="1"/>
    </xf>
    <xf numFmtId="38" fontId="0" fillId="0" borderId="9" xfId="1" applyFont="1" applyBorder="1" applyAlignment="1">
      <alignment vertical="center" shrinkToFit="1"/>
    </xf>
    <xf numFmtId="38" fontId="0" fillId="0" borderId="10" xfId="1" applyFont="1" applyBorder="1" applyAlignment="1">
      <alignment vertical="center" shrinkToFit="1"/>
    </xf>
    <xf numFmtId="38" fontId="0" fillId="0" borderId="5" xfId="1" applyFont="1" applyBorder="1" applyAlignment="1">
      <alignment vertical="center" shrinkToFit="1"/>
    </xf>
    <xf numFmtId="38" fontId="0" fillId="0" borderId="6" xfId="1" applyFont="1" applyBorder="1" applyAlignment="1">
      <alignment vertical="center" shrinkToFit="1"/>
    </xf>
    <xf numFmtId="38" fontId="0" fillId="0" borderId="7" xfId="1" applyFont="1" applyBorder="1" applyAlignment="1">
      <alignment vertical="center" shrinkToFit="1"/>
    </xf>
    <xf numFmtId="38" fontId="0" fillId="0" borderId="3" xfId="1" applyFont="1" applyBorder="1" applyAlignment="1">
      <alignment vertical="center" shrinkToFit="1"/>
    </xf>
    <xf numFmtId="38" fontId="0" fillId="0" borderId="1" xfId="1" applyFont="1" applyBorder="1" applyAlignment="1">
      <alignment vertical="center" shrinkToFit="1"/>
    </xf>
    <xf numFmtId="38" fontId="0" fillId="0" borderId="4" xfId="1" applyFont="1" applyBorder="1" applyAlignment="1">
      <alignment vertical="center" shrinkToFit="1"/>
    </xf>
    <xf numFmtId="38" fontId="15" fillId="0" borderId="29" xfId="1" applyFont="1" applyBorder="1" applyAlignment="1">
      <alignment horizontal="right" vertical="center"/>
    </xf>
    <xf numFmtId="176" fontId="15" fillId="0" borderId="35" xfId="1" applyNumberFormat="1" applyFont="1" applyBorder="1">
      <alignment vertical="center"/>
    </xf>
    <xf numFmtId="176" fontId="15" fillId="0" borderId="9" xfId="1" applyNumberFormat="1" applyFont="1" applyBorder="1">
      <alignment vertical="center"/>
    </xf>
    <xf numFmtId="176" fontId="15" fillId="0" borderId="10" xfId="1" applyNumberFormat="1" applyFont="1" applyBorder="1">
      <alignment vertical="center"/>
    </xf>
    <xf numFmtId="176" fontId="15" fillId="0" borderId="27" xfId="1" applyNumberFormat="1" applyFont="1" applyBorder="1">
      <alignment vertical="center"/>
    </xf>
    <xf numFmtId="176" fontId="15" fillId="0" borderId="6" xfId="1" applyNumberFormat="1" applyFont="1" applyBorder="1">
      <alignment vertical="center"/>
    </xf>
    <xf numFmtId="176" fontId="15" fillId="0" borderId="7" xfId="1" applyNumberFormat="1" applyFont="1" applyBorder="1">
      <alignment vertical="center"/>
    </xf>
    <xf numFmtId="177" fontId="15" fillId="0" borderId="32" xfId="1" applyNumberFormat="1" applyFont="1" applyBorder="1">
      <alignment vertical="center"/>
    </xf>
    <xf numFmtId="177" fontId="15" fillId="0" borderId="31" xfId="1" applyNumberFormat="1" applyFont="1" applyBorder="1">
      <alignment vertical="center"/>
    </xf>
    <xf numFmtId="177" fontId="15" fillId="0" borderId="30" xfId="1" applyNumberFormat="1" applyFont="1" applyBorder="1">
      <alignment vertical="center"/>
    </xf>
    <xf numFmtId="0" fontId="17" fillId="0" borderId="0" xfId="0" applyFont="1">
      <alignment vertical="center"/>
    </xf>
    <xf numFmtId="0" fontId="0" fillId="3" borderId="15" xfId="0" applyFill="1" applyBorder="1">
      <alignment vertical="center"/>
    </xf>
    <xf numFmtId="38" fontId="0" fillId="3" borderId="11" xfId="1" applyFont="1" applyFill="1" applyBorder="1">
      <alignment vertical="center"/>
    </xf>
    <xf numFmtId="38" fontId="0" fillId="3" borderId="12" xfId="1" applyFont="1" applyFill="1" applyBorder="1">
      <alignment vertical="center"/>
    </xf>
    <xf numFmtId="38" fontId="0" fillId="3" borderId="13" xfId="1" applyFont="1" applyFill="1" applyBorder="1">
      <alignment vertical="center"/>
    </xf>
    <xf numFmtId="38" fontId="0" fillId="3" borderId="11" xfId="1" applyFont="1" applyFill="1" applyBorder="1" applyAlignment="1">
      <alignment vertical="center" shrinkToFit="1"/>
    </xf>
    <xf numFmtId="38" fontId="0" fillId="3" borderId="12" xfId="1" applyFont="1" applyFill="1" applyBorder="1" applyAlignment="1">
      <alignment vertical="center" shrinkToFit="1"/>
    </xf>
    <xf numFmtId="38" fontId="0" fillId="3" borderId="13" xfId="1" applyFont="1" applyFill="1" applyBorder="1" applyAlignment="1">
      <alignment vertical="center" shrinkToFit="1"/>
    </xf>
    <xf numFmtId="0" fontId="0" fillId="4" borderId="15" xfId="0" applyFill="1" applyBorder="1">
      <alignment vertical="center"/>
    </xf>
    <xf numFmtId="38" fontId="0" fillId="4" borderId="11" xfId="1" applyFont="1" applyFill="1" applyBorder="1">
      <alignment vertical="center"/>
    </xf>
    <xf numFmtId="38" fontId="0" fillId="4" borderId="12" xfId="1" applyFont="1" applyFill="1" applyBorder="1">
      <alignment vertical="center"/>
    </xf>
    <xf numFmtId="38" fontId="0" fillId="4" borderId="13" xfId="1" applyFont="1" applyFill="1" applyBorder="1">
      <alignment vertical="center"/>
    </xf>
    <xf numFmtId="38" fontId="0" fillId="4" borderId="11" xfId="1" applyFont="1" applyFill="1" applyBorder="1" applyAlignment="1">
      <alignment vertical="center" shrinkToFit="1"/>
    </xf>
    <xf numFmtId="38" fontId="0" fillId="4" borderId="12" xfId="1" applyFont="1" applyFill="1" applyBorder="1" applyAlignment="1">
      <alignment vertical="center" shrinkToFit="1"/>
    </xf>
    <xf numFmtId="38" fontId="0" fillId="4" borderId="13" xfId="1" applyFont="1" applyFill="1" applyBorder="1" applyAlignment="1">
      <alignment vertical="center" shrinkToFit="1"/>
    </xf>
    <xf numFmtId="0" fontId="0" fillId="3" borderId="37" xfId="0" applyFill="1" applyBorder="1">
      <alignment vertical="center"/>
    </xf>
    <xf numFmtId="38" fontId="0" fillId="3" borderId="38" xfId="1" applyFont="1" applyFill="1" applyBorder="1">
      <alignment vertical="center"/>
    </xf>
    <xf numFmtId="38" fontId="0" fillId="3" borderId="39" xfId="1" applyFont="1" applyFill="1" applyBorder="1">
      <alignment vertical="center"/>
    </xf>
    <xf numFmtId="38" fontId="0" fillId="3" borderId="40" xfId="1" applyFont="1" applyFill="1" applyBorder="1">
      <alignment vertical="center"/>
    </xf>
    <xf numFmtId="38" fontId="0" fillId="3" borderId="38" xfId="1" applyFont="1" applyFill="1" applyBorder="1" applyAlignment="1">
      <alignment vertical="center" shrinkToFit="1"/>
    </xf>
    <xf numFmtId="38" fontId="0" fillId="3" borderId="39" xfId="1" applyFont="1" applyFill="1" applyBorder="1" applyAlignment="1">
      <alignment vertical="center" shrinkToFit="1"/>
    </xf>
    <xf numFmtId="38" fontId="0" fillId="3" borderId="40" xfId="1" applyFont="1" applyFill="1" applyBorder="1" applyAlignment="1">
      <alignment vertical="center" shrinkToFit="1"/>
    </xf>
    <xf numFmtId="0" fontId="0" fillId="0" borderId="0" xfId="0" applyAlignment="1"/>
    <xf numFmtId="0" fontId="0" fillId="4" borderId="0" xfId="0" applyFill="1" applyAlignment="1"/>
    <xf numFmtId="0" fontId="16" fillId="2" borderId="41" xfId="0" applyFont="1" applyFill="1" applyBorder="1">
      <alignment vertical="center"/>
    </xf>
    <xf numFmtId="0" fontId="15" fillId="2" borderId="42" xfId="0" applyFont="1" applyFill="1" applyBorder="1">
      <alignment vertical="center"/>
    </xf>
    <xf numFmtId="0" fontId="15" fillId="2" borderId="43" xfId="0" applyFont="1" applyFill="1" applyBorder="1">
      <alignment vertical="center"/>
    </xf>
    <xf numFmtId="0" fontId="16" fillId="0" borderId="0" xfId="0" applyFont="1">
      <alignment vertical="center"/>
    </xf>
    <xf numFmtId="0" fontId="16" fillId="2" borderId="8" xfId="0" applyFont="1" applyFill="1" applyBorder="1">
      <alignment vertical="center"/>
    </xf>
    <xf numFmtId="0" fontId="16" fillId="2" borderId="10" xfId="0" applyFont="1" applyFill="1" applyBorder="1">
      <alignment vertical="center"/>
    </xf>
    <xf numFmtId="0" fontId="16" fillId="2" borderId="5" xfId="0" applyFont="1" applyFill="1" applyBorder="1">
      <alignment vertical="center"/>
    </xf>
    <xf numFmtId="0" fontId="16" fillId="2" borderId="7" xfId="0" applyFont="1" applyFill="1" applyBorder="1">
      <alignment vertical="center"/>
    </xf>
    <xf numFmtId="0" fontId="16" fillId="2" borderId="44" xfId="0" applyFont="1" applyFill="1" applyBorder="1">
      <alignment vertical="center"/>
    </xf>
    <xf numFmtId="0" fontId="0" fillId="0" borderId="28" xfId="0" applyBorder="1" applyAlignment="1"/>
    <xf numFmtId="177" fontId="15" fillId="0" borderId="28" xfId="1" applyNumberFormat="1" applyFont="1" applyBorder="1">
      <alignment vertical="center"/>
    </xf>
    <xf numFmtId="178" fontId="15" fillId="6" borderId="41" xfId="0" applyNumberFormat="1" applyFont="1" applyFill="1" applyBorder="1" applyAlignment="1">
      <alignment horizontal="right" vertical="center"/>
    </xf>
    <xf numFmtId="178" fontId="15" fillId="6" borderId="42" xfId="0" applyNumberFormat="1" applyFont="1" applyFill="1" applyBorder="1" applyAlignment="1">
      <alignment horizontal="right" vertical="center"/>
    </xf>
    <xf numFmtId="178" fontId="15" fillId="6" borderId="43" xfId="0" applyNumberFormat="1" applyFont="1" applyFill="1" applyBorder="1" applyAlignment="1">
      <alignment horizontal="right" vertical="center"/>
    </xf>
    <xf numFmtId="0" fontId="16" fillId="2" borderId="29" xfId="0" applyFont="1" applyFill="1" applyBorder="1">
      <alignment vertical="center"/>
    </xf>
    <xf numFmtId="0" fontId="0" fillId="0" borderId="36" xfId="0" applyBorder="1" applyAlignment="1"/>
    <xf numFmtId="177" fontId="15" fillId="0" borderId="33" xfId="1" applyNumberFormat="1" applyFont="1" applyBorder="1">
      <alignment vertical="center"/>
    </xf>
    <xf numFmtId="0" fontId="0" fillId="0" borderId="33" xfId="0" applyBorder="1" applyAlignment="1"/>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13B7C-9908-4F89-9A47-D57E42002C60}" name="テーブル4" displayName="テーブル4" ref="B5:E7" totalsRowShown="0">
  <autoFilter ref="B5:E7" xr:uid="{B84761B3-C35D-4BFE-9E7B-E2CAAF0FE1EE}"/>
  <tableColumns count="4">
    <tableColumn id="1" xr3:uid="{2425448B-8C38-43ED-8698-0227EB6127CF}" name="オプション内容"/>
    <tableColumn id="2" xr3:uid="{10BD9F23-1BC8-47EF-8BC5-E37EA1E88F6C}" name="朝"/>
    <tableColumn id="3" xr3:uid="{7D8FD0AB-A165-45A1-85D9-B0EDFD7A3DD6}" name="昼"/>
    <tableColumn id="4" xr3:uid="{69D00C5C-AF64-493B-8214-4A6F6C07D89E}" name="夕"/>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8C614F-8E35-46E8-9AB8-19FB36AB5C0E}" name="テーブル54" displayName="テーブル54" ref="G5:I7" totalsRowShown="0">
  <autoFilter ref="G5:I7" xr:uid="{2A8C614F-8E35-46E8-9AB8-19FB36AB5C0E}"/>
  <tableColumns count="3">
    <tableColumn id="2" xr3:uid="{BE864A2F-6F44-4843-B1A8-03A7A54FF37D}" name="朝"/>
    <tableColumn id="3" xr3:uid="{F1B6C523-772E-425B-9A84-7E65183350F6}" name="昼"/>
    <tableColumn id="4" xr3:uid="{E4E620E2-9727-4207-B2C1-BDBA961E8F58}" name="夕"/>
  </tableColumns>
  <tableStyleInfo name="TableStyleMedium13"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0EA9-77B3-48E4-9BE3-1F325F415CC4}">
  <sheetPr>
    <pageSetUpPr fitToPage="1"/>
  </sheetPr>
  <dimension ref="A1:S34"/>
  <sheetViews>
    <sheetView tabSelected="1" workbookViewId="0"/>
  </sheetViews>
  <sheetFormatPr defaultRowHeight="18.75" x14ac:dyDescent="0.4"/>
  <cols>
    <col min="1" max="1" width="4.625" customWidth="1"/>
    <col min="2" max="2" width="28.375" customWidth="1"/>
    <col min="3" max="3" width="8.875" customWidth="1"/>
    <col min="4" max="7" width="11" customWidth="1"/>
    <col min="8" max="11" width="14.625" customWidth="1"/>
    <col min="12" max="19" width="11" customWidth="1"/>
  </cols>
  <sheetData>
    <row r="1" spans="2:19" ht="35.25" x14ac:dyDescent="0.4">
      <c r="B1" s="5" t="s">
        <v>79</v>
      </c>
      <c r="C1" s="5"/>
    </row>
    <row r="3" spans="2:19" ht="18.75" customHeight="1" thickBot="1" x14ac:dyDescent="0.45">
      <c r="B3" s="34" t="s">
        <v>86</v>
      </c>
      <c r="C3" s="34"/>
      <c r="D3" s="35"/>
      <c r="E3" s="35"/>
      <c r="F3" s="35"/>
      <c r="G3" s="35"/>
      <c r="H3" s="35"/>
      <c r="I3" s="35"/>
      <c r="J3" s="35"/>
      <c r="K3" s="35"/>
      <c r="L3" s="35"/>
      <c r="M3" s="35"/>
      <c r="N3" s="35"/>
      <c r="O3" s="35"/>
      <c r="P3" s="35"/>
      <c r="Q3" s="35"/>
      <c r="R3" s="35"/>
      <c r="S3" s="35"/>
    </row>
    <row r="4" spans="2:19" ht="24" x14ac:dyDescent="0.4">
      <c r="B4" s="36"/>
      <c r="C4" s="36"/>
      <c r="D4" s="37" t="s">
        <v>24</v>
      </c>
      <c r="E4" s="38"/>
      <c r="F4" s="38"/>
      <c r="G4" s="38"/>
      <c r="H4" s="39" t="s">
        <v>25</v>
      </c>
      <c r="I4" s="38"/>
      <c r="J4" s="38"/>
      <c r="K4" s="40"/>
      <c r="L4" s="41" t="s">
        <v>77</v>
      </c>
      <c r="M4" s="41"/>
      <c r="N4" s="41"/>
      <c r="O4" s="42"/>
      <c r="P4" s="41" t="s">
        <v>78</v>
      </c>
      <c r="Q4" s="41"/>
      <c r="R4" s="41"/>
      <c r="S4" s="42"/>
    </row>
    <row r="5" spans="2:19" ht="24.75" thickBot="1" x14ac:dyDescent="0.45">
      <c r="B5" s="36"/>
      <c r="C5" s="36"/>
      <c r="D5" s="43" t="s">
        <v>26</v>
      </c>
      <c r="E5" s="44" t="s">
        <v>27</v>
      </c>
      <c r="F5" s="44" t="s">
        <v>28</v>
      </c>
      <c r="G5" s="45" t="s">
        <v>17</v>
      </c>
      <c r="H5" s="43" t="s">
        <v>26</v>
      </c>
      <c r="I5" s="44" t="s">
        <v>27</v>
      </c>
      <c r="J5" s="44" t="s">
        <v>28</v>
      </c>
      <c r="K5" s="46" t="s">
        <v>17</v>
      </c>
      <c r="L5" s="47" t="s">
        <v>26</v>
      </c>
      <c r="M5" s="44" t="s">
        <v>27</v>
      </c>
      <c r="N5" s="44" t="s">
        <v>28</v>
      </c>
      <c r="O5" s="46" t="s">
        <v>17</v>
      </c>
      <c r="P5" s="47" t="s">
        <v>26</v>
      </c>
      <c r="Q5" s="44" t="s">
        <v>27</v>
      </c>
      <c r="R5" s="44" t="s">
        <v>28</v>
      </c>
      <c r="S5" s="46" t="s">
        <v>17</v>
      </c>
    </row>
    <row r="6" spans="2:19" ht="24" x14ac:dyDescent="0.4">
      <c r="B6" s="117" t="s">
        <v>67</v>
      </c>
      <c r="C6" s="118"/>
      <c r="D6" s="48">
        <f>食事区分毎詳細!C16</f>
        <v>0</v>
      </c>
      <c r="E6" s="49">
        <f>食事区分毎詳細!D16</f>
        <v>0</v>
      </c>
      <c r="F6" s="49">
        <f>食事区分毎詳細!E16</f>
        <v>0</v>
      </c>
      <c r="G6" s="50">
        <f>SUM(D6:F6)</f>
        <v>0</v>
      </c>
      <c r="H6" s="61">
        <f>食事区分毎詳細!G16</f>
        <v>0</v>
      </c>
      <c r="I6" s="62">
        <f>食事区分毎詳細!H16</f>
        <v>0</v>
      </c>
      <c r="J6" s="62">
        <f>食事区分毎詳細!I16</f>
        <v>0</v>
      </c>
      <c r="K6" s="63">
        <f>SUM(H6:J6)</f>
        <v>0</v>
      </c>
      <c r="L6" s="80" t="e">
        <f>H6/D6</f>
        <v>#DIV/0!</v>
      </c>
      <c r="M6" s="81" t="e">
        <f t="shared" ref="M6:N6" si="0">I6/E6</f>
        <v>#DIV/0!</v>
      </c>
      <c r="N6" s="81" t="e">
        <f t="shared" si="0"/>
        <v>#DIV/0!</v>
      </c>
      <c r="O6" s="82" t="e">
        <f>SUM(L6:N6)</f>
        <v>#DIV/0!</v>
      </c>
      <c r="P6" s="80" t="e">
        <f>L6-H20</f>
        <v>#DIV/0!</v>
      </c>
      <c r="Q6" s="81" t="e">
        <f>M6-I20</f>
        <v>#DIV/0!</v>
      </c>
      <c r="R6" s="81" t="e">
        <f>N6-J20</f>
        <v>#DIV/0!</v>
      </c>
      <c r="S6" s="82" t="e">
        <f>SUM(P6:R6)</f>
        <v>#DIV/0!</v>
      </c>
    </row>
    <row r="7" spans="2:19" ht="24.75" thickBot="1" x14ac:dyDescent="0.45">
      <c r="B7" s="119" t="s">
        <v>76</v>
      </c>
      <c r="C7" s="120"/>
      <c r="D7" s="51">
        <f>食事区分毎詳細!C15</f>
        <v>0</v>
      </c>
      <c r="E7" s="52">
        <f>食事区分毎詳細!D15</f>
        <v>0</v>
      </c>
      <c r="F7" s="52">
        <f>食事区分毎詳細!E15</f>
        <v>0</v>
      </c>
      <c r="G7" s="53">
        <f>SUM(D7:F7)</f>
        <v>0</v>
      </c>
      <c r="H7" s="64">
        <f>食事区分毎詳細!G15</f>
        <v>0</v>
      </c>
      <c r="I7" s="65">
        <f>食事区分毎詳細!H15</f>
        <v>0</v>
      </c>
      <c r="J7" s="65">
        <f>食事区分毎詳細!I15</f>
        <v>0</v>
      </c>
      <c r="K7" s="66">
        <f>SUM(H7:J7)</f>
        <v>0</v>
      </c>
      <c r="L7" s="83" t="e">
        <f>H7/D7</f>
        <v>#DIV/0!</v>
      </c>
      <c r="M7" s="84" t="e">
        <f t="shared" ref="M7" si="1">I7/E7</f>
        <v>#DIV/0!</v>
      </c>
      <c r="N7" s="84" t="e">
        <f t="shared" ref="N7" si="2">J7/F7</f>
        <v>#DIV/0!</v>
      </c>
      <c r="O7" s="85" t="e">
        <f>SUM(L7:N7)</f>
        <v>#DIV/0!</v>
      </c>
      <c r="P7" s="83" t="e">
        <f>L7-H20</f>
        <v>#DIV/0!</v>
      </c>
      <c r="Q7" s="84" t="e">
        <f t="shared" ref="Q7:R7" si="3">M7-I20</f>
        <v>#DIV/0!</v>
      </c>
      <c r="R7" s="84" t="e">
        <f t="shared" si="3"/>
        <v>#DIV/0!</v>
      </c>
      <c r="S7" s="85" t="e">
        <f>SUM(P7:R7)</f>
        <v>#DIV/0!</v>
      </c>
    </row>
    <row r="8" spans="2:19" ht="24.75" thickBot="1" x14ac:dyDescent="0.45">
      <c r="B8" s="119" t="s">
        <v>61</v>
      </c>
      <c r="C8" s="120"/>
      <c r="D8" s="51">
        <f>SUM(D6:D7)</f>
        <v>0</v>
      </c>
      <c r="E8" s="52">
        <f t="shared" ref="E8:K8" si="4">SUM(E6:E7)</f>
        <v>0</v>
      </c>
      <c r="F8" s="52">
        <f t="shared" si="4"/>
        <v>0</v>
      </c>
      <c r="G8" s="53">
        <f t="shared" si="4"/>
        <v>0</v>
      </c>
      <c r="H8" s="64">
        <f t="shared" si="4"/>
        <v>0</v>
      </c>
      <c r="I8" s="65">
        <f t="shared" si="4"/>
        <v>0</v>
      </c>
      <c r="J8" s="65">
        <f t="shared" si="4"/>
        <v>0</v>
      </c>
      <c r="K8" s="66">
        <f t="shared" si="4"/>
        <v>0</v>
      </c>
      <c r="L8" s="83" t="e">
        <f>H6/D8+H7/D8</f>
        <v>#DIV/0!</v>
      </c>
      <c r="M8" s="84" t="e">
        <f>I6/E8+I7/E8</f>
        <v>#DIV/0!</v>
      </c>
      <c r="N8" s="84" t="e">
        <f>J6/F8+J7/F8</f>
        <v>#DIV/0!</v>
      </c>
      <c r="O8" s="85" t="e">
        <f>SUM(L8:N8)</f>
        <v>#DIV/0!</v>
      </c>
      <c r="P8" s="83" t="e">
        <f>L8-H20</f>
        <v>#DIV/0!</v>
      </c>
      <c r="Q8" s="83" t="e">
        <f>M8-I20</f>
        <v>#DIV/0!</v>
      </c>
      <c r="R8" s="83" t="e">
        <f>N8-J20</f>
        <v>#DIV/0!</v>
      </c>
      <c r="S8" s="85" t="e">
        <f>SUM(P8:R8)</f>
        <v>#DIV/0!</v>
      </c>
    </row>
    <row r="9" spans="2:19" ht="24" x14ac:dyDescent="0.4">
      <c r="B9" s="36"/>
      <c r="C9" s="36"/>
      <c r="D9" s="36"/>
      <c r="E9" s="36"/>
      <c r="F9" s="36"/>
      <c r="G9" s="36"/>
      <c r="H9" s="36"/>
      <c r="I9" s="36"/>
      <c r="J9" s="36"/>
      <c r="K9" s="36"/>
      <c r="L9" s="36"/>
      <c r="M9" s="36"/>
      <c r="N9" s="36"/>
      <c r="O9" s="36"/>
      <c r="P9" s="36"/>
      <c r="Q9" s="36"/>
      <c r="R9" s="36"/>
      <c r="S9" s="36"/>
    </row>
    <row r="10" spans="2:19" ht="18.75" customHeight="1" thickBot="1" x14ac:dyDescent="0.45">
      <c r="B10" s="34" t="s">
        <v>87</v>
      </c>
      <c r="C10" s="34"/>
      <c r="D10" s="35"/>
      <c r="E10" s="35"/>
      <c r="F10" s="35"/>
      <c r="G10" s="35"/>
      <c r="H10" s="35"/>
      <c r="I10" s="35"/>
      <c r="J10" s="35"/>
      <c r="K10" s="35"/>
      <c r="L10" s="35"/>
      <c r="M10" s="35"/>
      <c r="N10" s="35"/>
      <c r="O10" s="35"/>
      <c r="P10" s="35"/>
      <c r="Q10" s="35"/>
      <c r="R10" s="35"/>
      <c r="S10" s="35"/>
    </row>
    <row r="11" spans="2:19" ht="24" x14ac:dyDescent="0.4">
      <c r="B11" s="36"/>
      <c r="C11" s="36"/>
      <c r="D11" s="37" t="s">
        <v>24</v>
      </c>
      <c r="E11" s="38"/>
      <c r="F11" s="38"/>
      <c r="G11" s="38"/>
      <c r="H11" s="39" t="s">
        <v>25</v>
      </c>
      <c r="I11" s="38"/>
      <c r="J11" s="38"/>
      <c r="K11" s="40"/>
      <c r="L11" s="41" t="s">
        <v>77</v>
      </c>
      <c r="M11" s="41"/>
      <c r="N11" s="41"/>
      <c r="O11" s="42"/>
      <c r="P11" s="41" t="s">
        <v>78</v>
      </c>
      <c r="Q11" s="41"/>
      <c r="R11" s="41"/>
      <c r="S11" s="42"/>
    </row>
    <row r="12" spans="2:19" ht="24.75" thickBot="1" x14ac:dyDescent="0.45">
      <c r="B12" s="36"/>
      <c r="C12" s="36"/>
      <c r="D12" s="43" t="s">
        <v>26</v>
      </c>
      <c r="E12" s="44" t="s">
        <v>27</v>
      </c>
      <c r="F12" s="44" t="s">
        <v>28</v>
      </c>
      <c r="G12" s="45" t="s">
        <v>17</v>
      </c>
      <c r="H12" s="43" t="s">
        <v>26</v>
      </c>
      <c r="I12" s="44" t="s">
        <v>27</v>
      </c>
      <c r="J12" s="44" t="s">
        <v>28</v>
      </c>
      <c r="K12" s="46" t="s">
        <v>17</v>
      </c>
      <c r="L12" s="47" t="s">
        <v>26</v>
      </c>
      <c r="M12" s="44" t="s">
        <v>27</v>
      </c>
      <c r="N12" s="44" t="s">
        <v>28</v>
      </c>
      <c r="O12" s="46" t="s">
        <v>17</v>
      </c>
      <c r="P12" s="47" t="s">
        <v>26</v>
      </c>
      <c r="Q12" s="44" t="s">
        <v>27</v>
      </c>
      <c r="R12" s="44" t="s">
        <v>28</v>
      </c>
      <c r="S12" s="46" t="s">
        <v>17</v>
      </c>
    </row>
    <row r="13" spans="2:19" ht="24" x14ac:dyDescent="0.4">
      <c r="B13" s="117" t="s">
        <v>67</v>
      </c>
      <c r="C13" s="118"/>
      <c r="D13" s="48">
        <f>D6</f>
        <v>0</v>
      </c>
      <c r="E13" s="49">
        <f t="shared" ref="E13:F13" si="5">E6</f>
        <v>0</v>
      </c>
      <c r="F13" s="49">
        <f t="shared" si="5"/>
        <v>0</v>
      </c>
      <c r="G13" s="50">
        <f>SUM(D13:F13)</f>
        <v>0</v>
      </c>
      <c r="H13" s="61">
        <f>食事区分毎詳細!K16</f>
        <v>0</v>
      </c>
      <c r="I13" s="62">
        <f>食事区分毎詳細!L16</f>
        <v>0</v>
      </c>
      <c r="J13" s="62">
        <f>食事区分毎詳細!M16</f>
        <v>0</v>
      </c>
      <c r="K13" s="63">
        <f>SUM(H13:J13)</f>
        <v>0</v>
      </c>
      <c r="L13" s="80" t="e">
        <f>H13/D13</f>
        <v>#DIV/0!</v>
      </c>
      <c r="M13" s="81" t="e">
        <f t="shared" ref="M13:M14" si="6">I13/E13</f>
        <v>#DIV/0!</v>
      </c>
      <c r="N13" s="81" t="e">
        <f t="shared" ref="N13:N14" si="7">J13/F13</f>
        <v>#DIV/0!</v>
      </c>
      <c r="O13" s="82" t="e">
        <f>SUM(L13:N13)</f>
        <v>#DIV/0!</v>
      </c>
      <c r="P13" s="80" t="e">
        <f>L13-H20</f>
        <v>#DIV/0!</v>
      </c>
      <c r="Q13" s="81" t="e">
        <f t="shared" ref="Q13:R13" si="8">M13-I20</f>
        <v>#DIV/0!</v>
      </c>
      <c r="R13" s="81" t="e">
        <f t="shared" si="8"/>
        <v>#DIV/0!</v>
      </c>
      <c r="S13" s="82" t="e">
        <f>SUM(P13:R13)</f>
        <v>#DIV/0!</v>
      </c>
    </row>
    <row r="14" spans="2:19" ht="24.75" thickBot="1" x14ac:dyDescent="0.45">
      <c r="B14" s="119" t="s">
        <v>76</v>
      </c>
      <c r="C14" s="120"/>
      <c r="D14" s="51">
        <f>D7</f>
        <v>0</v>
      </c>
      <c r="E14" s="52">
        <f t="shared" ref="E14:F14" si="9">E7</f>
        <v>0</v>
      </c>
      <c r="F14" s="52">
        <f t="shared" si="9"/>
        <v>0</v>
      </c>
      <c r="G14" s="53">
        <f>SUM(D14:F14)</f>
        <v>0</v>
      </c>
      <c r="H14" s="64">
        <f>食事区分毎詳細!K15</f>
        <v>0</v>
      </c>
      <c r="I14" s="65">
        <f>食事区分毎詳細!L15</f>
        <v>0</v>
      </c>
      <c r="J14" s="65">
        <f>食事区分毎詳細!M15</f>
        <v>0</v>
      </c>
      <c r="K14" s="66">
        <f>SUM(H14:J14)</f>
        <v>0</v>
      </c>
      <c r="L14" s="83" t="e">
        <f>H14/D14</f>
        <v>#DIV/0!</v>
      </c>
      <c r="M14" s="84" t="e">
        <f t="shared" si="6"/>
        <v>#DIV/0!</v>
      </c>
      <c r="N14" s="84" t="e">
        <f t="shared" si="7"/>
        <v>#DIV/0!</v>
      </c>
      <c r="O14" s="85" t="e">
        <f>SUM(L14:N14)</f>
        <v>#DIV/0!</v>
      </c>
      <c r="P14" s="83" t="e">
        <f>L14-H20</f>
        <v>#DIV/0!</v>
      </c>
      <c r="Q14" s="84" t="e">
        <f t="shared" ref="Q14:R14" si="10">M14-I20</f>
        <v>#DIV/0!</v>
      </c>
      <c r="R14" s="84" t="e">
        <f t="shared" si="10"/>
        <v>#DIV/0!</v>
      </c>
      <c r="S14" s="85" t="e">
        <f>SUM(P14:R14)</f>
        <v>#DIV/0!</v>
      </c>
    </row>
    <row r="15" spans="2:19" ht="24.75" thickBot="1" x14ac:dyDescent="0.45">
      <c r="B15" s="119" t="s">
        <v>61</v>
      </c>
      <c r="C15" s="120"/>
      <c r="D15" s="51">
        <f>SUM(D13:D14)</f>
        <v>0</v>
      </c>
      <c r="E15" s="52">
        <f t="shared" ref="E15:F15" si="11">SUM(E13:E14)</f>
        <v>0</v>
      </c>
      <c r="F15" s="52">
        <f t="shared" si="11"/>
        <v>0</v>
      </c>
      <c r="G15" s="53">
        <f t="shared" ref="G15:K15" si="12">SUM(G13:G14)</f>
        <v>0</v>
      </c>
      <c r="H15" s="64">
        <f t="shared" si="12"/>
        <v>0</v>
      </c>
      <c r="I15" s="65">
        <f t="shared" si="12"/>
        <v>0</v>
      </c>
      <c r="J15" s="65">
        <f t="shared" si="12"/>
        <v>0</v>
      </c>
      <c r="K15" s="66">
        <f t="shared" si="12"/>
        <v>0</v>
      </c>
      <c r="L15" s="83" t="e">
        <f>H13/D15+H14/D15</f>
        <v>#DIV/0!</v>
      </c>
      <c r="M15" s="84" t="e">
        <f>I13/E15+I14/E15</f>
        <v>#DIV/0!</v>
      </c>
      <c r="N15" s="84" t="e">
        <f>J13/F15+J14/F15</f>
        <v>#DIV/0!</v>
      </c>
      <c r="O15" s="85" t="e">
        <f>SUM(L15:N15)</f>
        <v>#DIV/0!</v>
      </c>
      <c r="P15" s="83" t="e">
        <f>L15-H20</f>
        <v>#DIV/0!</v>
      </c>
      <c r="Q15" s="83" t="e">
        <f t="shared" ref="Q15:R15" si="13">M15-I20</f>
        <v>#DIV/0!</v>
      </c>
      <c r="R15" s="83" t="e">
        <f t="shared" si="13"/>
        <v>#DIV/0!</v>
      </c>
      <c r="S15" s="85" t="e">
        <f>SUM(P15:R15)</f>
        <v>#DIV/0!</v>
      </c>
    </row>
    <row r="16" spans="2:19" ht="24" x14ac:dyDescent="0.4">
      <c r="B16" s="36"/>
      <c r="C16" s="36"/>
      <c r="D16" s="36"/>
      <c r="E16" s="36"/>
      <c r="F16" s="36"/>
      <c r="G16" s="36"/>
      <c r="H16" s="36"/>
      <c r="I16" s="36"/>
      <c r="J16" s="36"/>
      <c r="K16" s="36"/>
      <c r="L16" s="36"/>
      <c r="M16" s="36"/>
      <c r="N16" s="36"/>
      <c r="O16" s="36"/>
      <c r="P16" s="36"/>
      <c r="Q16" s="36"/>
      <c r="R16" s="36"/>
      <c r="S16" s="36"/>
    </row>
    <row r="17" spans="1:19" ht="24.75" customHeight="1" thickBot="1" x14ac:dyDescent="0.45">
      <c r="A17" s="111"/>
      <c r="B17" s="54" t="s">
        <v>88</v>
      </c>
      <c r="C17" s="55"/>
      <c r="D17" s="55"/>
      <c r="E17" s="55"/>
      <c r="F17" s="55"/>
      <c r="G17" s="55"/>
      <c r="H17" s="55"/>
      <c r="I17" s="112"/>
      <c r="J17" s="112"/>
      <c r="K17" s="112"/>
      <c r="L17" s="112"/>
      <c r="M17" s="111"/>
      <c r="N17" s="111"/>
      <c r="O17" s="111"/>
      <c r="P17" s="36"/>
      <c r="Q17" s="36"/>
      <c r="R17" s="36"/>
      <c r="S17" s="36"/>
    </row>
    <row r="18" spans="1:19" ht="24.75" customHeight="1" thickBot="1" x14ac:dyDescent="0.45">
      <c r="A18" s="111"/>
      <c r="B18" s="58" t="s">
        <v>89</v>
      </c>
      <c r="C18" s="36"/>
      <c r="D18" s="113" t="s">
        <v>90</v>
      </c>
      <c r="E18" s="114"/>
      <c r="F18" s="115"/>
      <c r="G18" s="36"/>
      <c r="H18" s="39" t="s">
        <v>91</v>
      </c>
      <c r="I18" s="59"/>
      <c r="J18" s="59"/>
      <c r="K18" s="60"/>
      <c r="L18" s="111"/>
      <c r="M18" s="111"/>
      <c r="N18" s="111"/>
      <c r="O18" s="36"/>
      <c r="P18" s="36"/>
      <c r="Q18" s="36"/>
      <c r="R18" s="111"/>
    </row>
    <row r="19" spans="1:19" ht="24.75" customHeight="1" thickBot="1" x14ac:dyDescent="0.45">
      <c r="A19" s="111"/>
      <c r="B19" s="79"/>
      <c r="C19" s="36"/>
      <c r="D19" s="124" t="e">
        <f>B19/食事区分毎詳細!F5*3</f>
        <v>#DIV/0!</v>
      </c>
      <c r="E19" s="125"/>
      <c r="F19" s="126"/>
      <c r="G19" s="36"/>
      <c r="H19" s="43" t="s">
        <v>92</v>
      </c>
      <c r="I19" s="44" t="s">
        <v>93</v>
      </c>
      <c r="J19" s="44" t="s">
        <v>94</v>
      </c>
      <c r="K19" s="46" t="s">
        <v>95</v>
      </c>
      <c r="L19" s="111"/>
      <c r="M19" s="111"/>
      <c r="N19" s="111"/>
      <c r="O19" s="36"/>
      <c r="P19" s="36"/>
      <c r="Q19" s="36"/>
      <c r="R19" s="111"/>
    </row>
    <row r="20" spans="1:19" ht="24.75" customHeight="1" thickBot="1" x14ac:dyDescent="0.45">
      <c r="A20" s="111"/>
      <c r="B20" s="36"/>
      <c r="C20" s="36"/>
      <c r="D20" s="111"/>
      <c r="E20" s="111"/>
      <c r="F20" s="111"/>
      <c r="G20" s="111"/>
      <c r="H20" s="88" t="e">
        <f>$D$19/SUM(参照!$G$6:$I$6)*参照!G6</f>
        <v>#DIV/0!</v>
      </c>
      <c r="I20" s="87" t="e">
        <f>$D$19/SUM(参照!$G$6:$I$6)*参照!H6</f>
        <v>#DIV/0!</v>
      </c>
      <c r="J20" s="87" t="e">
        <f>$D$19/SUM(参照!$G$6:$I$6)*参照!I6</f>
        <v>#DIV/0!</v>
      </c>
      <c r="K20" s="86" t="e">
        <f>SUM(H20:J20)</f>
        <v>#DIV/0!</v>
      </c>
      <c r="L20" s="111"/>
      <c r="M20" s="36"/>
      <c r="N20" s="36"/>
    </row>
    <row r="21" spans="1:19" ht="24.75" customHeight="1" x14ac:dyDescent="0.4">
      <c r="A21" s="111"/>
      <c r="B21" s="111"/>
      <c r="C21" s="111"/>
      <c r="D21" s="111"/>
      <c r="E21" s="111"/>
      <c r="F21" s="111"/>
      <c r="G21" s="111"/>
      <c r="H21" s="111"/>
      <c r="I21" s="111"/>
      <c r="J21" s="111"/>
      <c r="K21" s="111"/>
      <c r="L21" s="111"/>
      <c r="M21" s="111"/>
      <c r="N21" s="111"/>
      <c r="O21" s="111"/>
      <c r="P21" s="111"/>
      <c r="Q21" s="111"/>
      <c r="R21" s="111"/>
      <c r="S21" s="111"/>
    </row>
    <row r="22" spans="1:19" ht="24" x14ac:dyDescent="0.4">
      <c r="A22" s="111"/>
      <c r="B22" s="56" t="s">
        <v>96</v>
      </c>
      <c r="C22" s="56"/>
      <c r="D22" s="57"/>
      <c r="E22" s="57"/>
      <c r="F22" s="57"/>
      <c r="G22" s="36"/>
      <c r="H22" s="56" t="s">
        <v>97</v>
      </c>
      <c r="I22" s="56"/>
      <c r="J22" s="57"/>
      <c r="K22" s="57"/>
      <c r="L22" s="57"/>
      <c r="M22" s="111"/>
      <c r="N22" s="111"/>
      <c r="O22" s="111"/>
      <c r="P22" s="111"/>
      <c r="Q22" s="111"/>
      <c r="R22" s="111"/>
      <c r="S22" s="111"/>
    </row>
    <row r="23" spans="1:19" ht="24.75" thickBot="1" x14ac:dyDescent="0.45">
      <c r="A23" s="111"/>
      <c r="B23" s="116" t="s">
        <v>98</v>
      </c>
      <c r="C23" s="116"/>
      <c r="D23" s="36"/>
      <c r="E23" s="36"/>
      <c r="F23" s="36"/>
      <c r="G23" s="36"/>
      <c r="H23" s="116" t="s">
        <v>98</v>
      </c>
      <c r="I23" s="116"/>
      <c r="J23" s="36"/>
      <c r="K23" s="36"/>
      <c r="L23" s="36"/>
      <c r="M23" s="111"/>
      <c r="N23" s="111"/>
      <c r="O23" s="111"/>
      <c r="P23" s="111"/>
      <c r="Q23" s="111"/>
      <c r="R23" s="111"/>
      <c r="S23" s="111"/>
    </row>
    <row r="24" spans="1:19" s="111" customFormat="1" ht="24.75" customHeight="1" x14ac:dyDescent="0.4">
      <c r="B24" s="121" t="s">
        <v>99</v>
      </c>
      <c r="C24" s="122"/>
      <c r="D24" s="123" t="e">
        <f>K6/G6*3</f>
        <v>#DIV/0!</v>
      </c>
      <c r="E24" s="122"/>
      <c r="F24" s="36"/>
      <c r="G24" s="36"/>
      <c r="H24" s="121" t="s">
        <v>99</v>
      </c>
      <c r="I24" s="122"/>
      <c r="J24" s="123" t="e">
        <f>K13/G13*3</f>
        <v>#DIV/0!</v>
      </c>
      <c r="K24" s="122"/>
      <c r="L24" s="36"/>
    </row>
    <row r="25" spans="1:19" s="111" customFormat="1" ht="24" customHeight="1" thickBot="1" x14ac:dyDescent="0.45">
      <c r="B25" s="127" t="s">
        <v>100</v>
      </c>
      <c r="C25" s="128"/>
      <c r="D25" s="129" t="e">
        <f>D24-$D$19</f>
        <v>#DIV/0!</v>
      </c>
      <c r="E25" s="130"/>
      <c r="F25" s="36"/>
      <c r="G25" s="36"/>
      <c r="H25" s="127" t="s">
        <v>100</v>
      </c>
      <c r="I25" s="128"/>
      <c r="J25" s="129" t="e">
        <f>J24-$D$19</f>
        <v>#DIV/0!</v>
      </c>
      <c r="K25" s="130"/>
      <c r="L25" s="36"/>
    </row>
    <row r="26" spans="1:19" s="111" customFormat="1" ht="24.75" customHeight="1" x14ac:dyDescent="0.4">
      <c r="B26" s="36"/>
      <c r="C26" s="36"/>
      <c r="D26" s="36"/>
      <c r="E26" s="36"/>
      <c r="F26" s="36"/>
      <c r="G26" s="36"/>
      <c r="H26" s="36"/>
      <c r="I26" s="36"/>
      <c r="J26" s="36"/>
      <c r="K26" s="36"/>
      <c r="L26" s="36"/>
    </row>
    <row r="27" spans="1:19" ht="24.75" thickBot="1" x14ac:dyDescent="0.45">
      <c r="A27" s="111"/>
      <c r="B27" s="116" t="s">
        <v>101</v>
      </c>
      <c r="C27" s="116"/>
      <c r="D27" s="36"/>
      <c r="E27" s="36"/>
      <c r="F27" s="36"/>
      <c r="G27" s="36"/>
      <c r="H27" s="116" t="s">
        <v>101</v>
      </c>
      <c r="I27" s="116"/>
      <c r="J27" s="36"/>
      <c r="K27" s="36"/>
      <c r="L27" s="36"/>
      <c r="M27" s="111"/>
      <c r="N27" s="111"/>
      <c r="O27" s="111"/>
      <c r="P27" s="111"/>
      <c r="Q27" s="111"/>
      <c r="R27" s="111"/>
      <c r="S27" s="111"/>
    </row>
    <row r="28" spans="1:19" ht="24" x14ac:dyDescent="0.4">
      <c r="A28" s="111"/>
      <c r="B28" s="121" t="s">
        <v>99</v>
      </c>
      <c r="C28" s="122"/>
      <c r="D28" s="123" t="e">
        <f>K7/G7*3</f>
        <v>#DIV/0!</v>
      </c>
      <c r="E28" s="122"/>
      <c r="F28" s="36"/>
      <c r="G28" s="36"/>
      <c r="H28" s="121" t="s">
        <v>99</v>
      </c>
      <c r="I28" s="122"/>
      <c r="J28" s="123" t="e">
        <f>K14/G14*3</f>
        <v>#DIV/0!</v>
      </c>
      <c r="K28" s="122"/>
      <c r="L28" s="36"/>
      <c r="M28" s="111"/>
      <c r="N28" s="111"/>
      <c r="O28" s="111"/>
      <c r="P28" s="111"/>
      <c r="Q28" s="111"/>
      <c r="R28" s="111"/>
      <c r="S28" s="111"/>
    </row>
    <row r="29" spans="1:19" ht="24.75" thickBot="1" x14ac:dyDescent="0.45">
      <c r="A29" s="111"/>
      <c r="B29" s="127" t="s">
        <v>100</v>
      </c>
      <c r="C29" s="128"/>
      <c r="D29" s="129" t="e">
        <f>D28-$D$19</f>
        <v>#DIV/0!</v>
      </c>
      <c r="E29" s="130"/>
      <c r="F29" s="36"/>
      <c r="G29" s="36"/>
      <c r="H29" s="127" t="s">
        <v>100</v>
      </c>
      <c r="I29" s="128"/>
      <c r="J29" s="129" t="e">
        <f>J28-$D$19</f>
        <v>#DIV/0!</v>
      </c>
      <c r="K29" s="130"/>
      <c r="L29" s="36"/>
      <c r="M29" s="111"/>
      <c r="N29" s="111"/>
      <c r="O29" s="111"/>
      <c r="P29" s="111"/>
      <c r="Q29" s="111"/>
      <c r="R29" s="111"/>
      <c r="S29" s="111"/>
    </row>
    <row r="30" spans="1:19" x14ac:dyDescent="0.4">
      <c r="A30" s="111"/>
      <c r="B30" s="111"/>
      <c r="C30" s="111"/>
      <c r="D30" s="111"/>
      <c r="E30" s="111"/>
      <c r="F30" s="111"/>
      <c r="G30" s="111"/>
      <c r="H30" s="111"/>
      <c r="I30" s="111"/>
      <c r="J30" s="111"/>
      <c r="K30" s="111"/>
      <c r="L30" s="111"/>
      <c r="M30" s="111"/>
      <c r="N30" s="111"/>
      <c r="O30" s="111"/>
      <c r="P30" s="111"/>
      <c r="Q30" s="111"/>
      <c r="R30" s="111"/>
      <c r="S30" s="111"/>
    </row>
    <row r="31" spans="1:19" ht="24.75" thickBot="1" x14ac:dyDescent="0.45">
      <c r="A31" s="111"/>
      <c r="B31" s="116" t="s">
        <v>102</v>
      </c>
      <c r="C31" s="116"/>
      <c r="D31" s="36"/>
      <c r="E31" s="36"/>
      <c r="F31" s="36"/>
      <c r="G31" s="36"/>
      <c r="H31" s="116" t="s">
        <v>102</v>
      </c>
      <c r="I31" s="116"/>
      <c r="J31" s="36"/>
      <c r="K31" s="36"/>
      <c r="L31" s="36"/>
      <c r="M31" s="111"/>
      <c r="N31" s="111"/>
      <c r="O31" s="111"/>
      <c r="P31" s="111"/>
      <c r="Q31" s="111"/>
      <c r="R31" s="111"/>
      <c r="S31" s="111"/>
    </row>
    <row r="32" spans="1:19" ht="24" x14ac:dyDescent="0.4">
      <c r="A32" s="111"/>
      <c r="B32" s="121" t="s">
        <v>99</v>
      </c>
      <c r="C32" s="122"/>
      <c r="D32" s="123" t="e">
        <f>K8/G8*3</f>
        <v>#DIV/0!</v>
      </c>
      <c r="E32" s="122"/>
      <c r="F32" s="36"/>
      <c r="G32" s="36"/>
      <c r="H32" s="121" t="s">
        <v>99</v>
      </c>
      <c r="I32" s="122"/>
      <c r="J32" s="123" t="e">
        <f>K15/G15*3</f>
        <v>#DIV/0!</v>
      </c>
      <c r="K32" s="122"/>
      <c r="L32" s="36"/>
      <c r="M32" s="111"/>
      <c r="N32" s="111"/>
      <c r="O32" s="111"/>
      <c r="P32" s="111"/>
      <c r="Q32" s="111"/>
      <c r="R32" s="111"/>
      <c r="S32" s="111"/>
    </row>
    <row r="33" spans="1:19" ht="24.75" thickBot="1" x14ac:dyDescent="0.45">
      <c r="A33" s="111"/>
      <c r="B33" s="127" t="s">
        <v>100</v>
      </c>
      <c r="C33" s="128"/>
      <c r="D33" s="129" t="e">
        <f>D32-$D$19</f>
        <v>#DIV/0!</v>
      </c>
      <c r="E33" s="130"/>
      <c r="F33" s="36"/>
      <c r="G33" s="36"/>
      <c r="H33" s="127" t="s">
        <v>100</v>
      </c>
      <c r="I33" s="128"/>
      <c r="J33" s="129" t="e">
        <f>J32-$D$19</f>
        <v>#DIV/0!</v>
      </c>
      <c r="K33" s="130"/>
      <c r="L33" s="36"/>
      <c r="M33" s="111"/>
      <c r="N33" s="111"/>
      <c r="O33" s="111"/>
      <c r="P33" s="111"/>
      <c r="Q33" s="111"/>
      <c r="R33" s="111"/>
      <c r="S33" s="111"/>
    </row>
    <row r="34" spans="1:19" x14ac:dyDescent="0.4">
      <c r="A34" s="111"/>
      <c r="B34" s="111"/>
      <c r="C34" s="111"/>
      <c r="D34" s="111"/>
      <c r="E34" s="111"/>
      <c r="F34" s="111"/>
      <c r="G34" s="111"/>
      <c r="H34" s="111"/>
      <c r="I34" s="111"/>
      <c r="J34" s="111"/>
      <c r="K34" s="111"/>
      <c r="L34" s="111"/>
      <c r="M34" s="111"/>
      <c r="N34" s="111"/>
      <c r="O34" s="111"/>
      <c r="P34" s="111"/>
      <c r="Q34" s="111"/>
      <c r="R34" s="111"/>
      <c r="S34" s="111"/>
    </row>
  </sheetData>
  <mergeCells count="31">
    <mergeCell ref="B32:C32"/>
    <mergeCell ref="D32:E32"/>
    <mergeCell ref="H32:I32"/>
    <mergeCell ref="J32:K32"/>
    <mergeCell ref="B33:C33"/>
    <mergeCell ref="D33:E33"/>
    <mergeCell ref="H33:I33"/>
    <mergeCell ref="J33:K33"/>
    <mergeCell ref="B28:C28"/>
    <mergeCell ref="D28:E28"/>
    <mergeCell ref="H28:I28"/>
    <mergeCell ref="J28:K28"/>
    <mergeCell ref="B29:C29"/>
    <mergeCell ref="D29:E29"/>
    <mergeCell ref="H29:I29"/>
    <mergeCell ref="J29:K29"/>
    <mergeCell ref="J24:K24"/>
    <mergeCell ref="B25:C25"/>
    <mergeCell ref="D25:E25"/>
    <mergeCell ref="H25:I25"/>
    <mergeCell ref="J25:K25"/>
    <mergeCell ref="B15:C15"/>
    <mergeCell ref="B24:C24"/>
    <mergeCell ref="D24:E24"/>
    <mergeCell ref="H24:I24"/>
    <mergeCell ref="D19:F19"/>
    <mergeCell ref="B6:C6"/>
    <mergeCell ref="B7:C7"/>
    <mergeCell ref="B8:C8"/>
    <mergeCell ref="B13:C13"/>
    <mergeCell ref="B14:C14"/>
  </mergeCells>
  <phoneticPr fontId="1"/>
  <pageMargins left="0.70866141732283472" right="0.70866141732283472" top="0.74803149606299213" bottom="0.74803149606299213" header="0.31496062992125984" footer="0.31496062992125984"/>
  <pageSetup paperSize="9" scale="51"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B212-588D-414C-BCF6-E2DE1CC3FFA1}">
  <sheetPr>
    <pageSetUpPr fitToPage="1"/>
  </sheetPr>
  <dimension ref="B1:N18"/>
  <sheetViews>
    <sheetView zoomScale="115" zoomScaleNormal="115" workbookViewId="0"/>
  </sheetViews>
  <sheetFormatPr defaultRowHeight="18.75" x14ac:dyDescent="0.4"/>
  <cols>
    <col min="2" max="2" width="41.875" customWidth="1"/>
    <col min="7" max="14" width="14.625" customWidth="1"/>
  </cols>
  <sheetData>
    <row r="1" spans="2:14" ht="25.5" x14ac:dyDescent="0.4">
      <c r="B1" s="7" t="s">
        <v>74</v>
      </c>
    </row>
    <row r="2" spans="2:14" ht="18.75" customHeight="1" thickBot="1" x14ac:dyDescent="0.45">
      <c r="B2" s="31" t="s">
        <v>80</v>
      </c>
    </row>
    <row r="3" spans="2:14" ht="19.5" thickBot="1" x14ac:dyDescent="0.45">
      <c r="B3" s="4"/>
      <c r="C3" s="131" t="s">
        <v>24</v>
      </c>
      <c r="D3" s="132"/>
      <c r="E3" s="132"/>
      <c r="F3" s="133"/>
      <c r="G3" s="131" t="s">
        <v>103</v>
      </c>
      <c r="H3" s="132"/>
      <c r="I3" s="132"/>
      <c r="J3" s="133"/>
      <c r="K3" s="131" t="s">
        <v>104</v>
      </c>
      <c r="L3" s="132"/>
      <c r="M3" s="132"/>
      <c r="N3" s="133"/>
    </row>
    <row r="4" spans="2:14" ht="19.5" thickBot="1" x14ac:dyDescent="0.45">
      <c r="B4" s="23"/>
      <c r="C4" s="28" t="s">
        <v>19</v>
      </c>
      <c r="D4" s="29" t="s">
        <v>12</v>
      </c>
      <c r="E4" s="29" t="s">
        <v>13</v>
      </c>
      <c r="F4" s="30" t="s">
        <v>17</v>
      </c>
      <c r="G4" s="28" t="s">
        <v>19</v>
      </c>
      <c r="H4" s="29" t="s">
        <v>12</v>
      </c>
      <c r="I4" s="29" t="s">
        <v>13</v>
      </c>
      <c r="J4" s="30" t="s">
        <v>17</v>
      </c>
      <c r="K4" s="28" t="s">
        <v>19</v>
      </c>
      <c r="L4" s="29" t="s">
        <v>12</v>
      </c>
      <c r="M4" s="29" t="s">
        <v>13</v>
      </c>
      <c r="N4" s="30" t="s">
        <v>17</v>
      </c>
    </row>
    <row r="5" spans="2:14" ht="20.25" thickTop="1" thickBot="1" x14ac:dyDescent="0.45">
      <c r="B5" s="24" t="s">
        <v>61</v>
      </c>
      <c r="C5" s="20"/>
      <c r="D5" s="21"/>
      <c r="E5" s="21"/>
      <c r="F5" s="22">
        <f>SUM(C5:E5)</f>
        <v>0</v>
      </c>
      <c r="G5" s="67">
        <f>K5-SUM(G6:G7)</f>
        <v>0</v>
      </c>
      <c r="H5" s="68">
        <f t="shared" ref="H5:I5" si="0">L5-SUM(H6:H7)</f>
        <v>0</v>
      </c>
      <c r="I5" s="68">
        <f t="shared" si="0"/>
        <v>0</v>
      </c>
      <c r="J5" s="69">
        <f>SUM(G5:I5)</f>
        <v>0</v>
      </c>
      <c r="K5" s="67"/>
      <c r="L5" s="68"/>
      <c r="M5" s="68"/>
      <c r="N5" s="69">
        <f>SUM(K5:M5)</f>
        <v>0</v>
      </c>
    </row>
    <row r="6" spans="2:14" x14ac:dyDescent="0.4">
      <c r="B6" s="25" t="s">
        <v>11</v>
      </c>
      <c r="C6" s="14"/>
      <c r="D6" s="15"/>
      <c r="E6" s="15"/>
      <c r="F6" s="16">
        <f>SUM(C6:E6)</f>
        <v>0</v>
      </c>
      <c r="G6" s="70">
        <f>C6*参照!C7</f>
        <v>0</v>
      </c>
      <c r="H6" s="71">
        <f>D6*参照!D7</f>
        <v>0</v>
      </c>
      <c r="I6" s="71">
        <f>E6*参照!E7</f>
        <v>0</v>
      </c>
      <c r="J6" s="72">
        <f>SUM(G6:I6)</f>
        <v>0</v>
      </c>
      <c r="K6" s="70">
        <f t="shared" ref="K6:M8" si="1">G6</f>
        <v>0</v>
      </c>
      <c r="L6" s="71">
        <f t="shared" si="1"/>
        <v>0</v>
      </c>
      <c r="M6" s="71">
        <f t="shared" si="1"/>
        <v>0</v>
      </c>
      <c r="N6" s="72">
        <f>SUM(K6:M6)</f>
        <v>0</v>
      </c>
    </row>
    <row r="7" spans="2:14" ht="19.5" thickBot="1" x14ac:dyDescent="0.45">
      <c r="B7" s="26" t="s">
        <v>62</v>
      </c>
      <c r="C7" s="11"/>
      <c r="D7" s="12"/>
      <c r="E7" s="12"/>
      <c r="F7" s="13">
        <f t="shared" ref="F7:F16" si="2">SUM(C7:E7)</f>
        <v>0</v>
      </c>
      <c r="G7" s="73">
        <f>C7*参照!C6</f>
        <v>0</v>
      </c>
      <c r="H7" s="74">
        <f>D7*参照!D6</f>
        <v>0</v>
      </c>
      <c r="I7" s="74">
        <f>E7*参照!E6</f>
        <v>0</v>
      </c>
      <c r="J7" s="75">
        <f t="shared" ref="J7:J16" si="3">SUM(G7:I7)</f>
        <v>0</v>
      </c>
      <c r="K7" s="73">
        <f t="shared" si="1"/>
        <v>0</v>
      </c>
      <c r="L7" s="74">
        <f t="shared" si="1"/>
        <v>0</v>
      </c>
      <c r="M7" s="74">
        <f t="shared" si="1"/>
        <v>0</v>
      </c>
      <c r="N7" s="75">
        <f t="shared" ref="N7" si="4">SUM(K7:M7)</f>
        <v>0</v>
      </c>
    </row>
    <row r="8" spans="2:14" hidden="1" x14ac:dyDescent="0.4">
      <c r="B8" s="90" t="s">
        <v>82</v>
      </c>
      <c r="C8" s="91"/>
      <c r="D8" s="92"/>
      <c r="E8" s="92"/>
      <c r="F8" s="93">
        <f>SUM(C8:E8)</f>
        <v>0</v>
      </c>
      <c r="G8" s="94">
        <f>C8*参照!C7</f>
        <v>0</v>
      </c>
      <c r="H8" s="95">
        <f>D8*参照!D7</f>
        <v>0</v>
      </c>
      <c r="I8" s="95">
        <f>E8*参照!E7</f>
        <v>0</v>
      </c>
      <c r="J8" s="96">
        <f>SUM(G8:I8)</f>
        <v>0</v>
      </c>
      <c r="K8" s="94">
        <f t="shared" si="1"/>
        <v>0</v>
      </c>
      <c r="L8" s="95">
        <f t="shared" si="1"/>
        <v>0</v>
      </c>
      <c r="M8" s="95">
        <f t="shared" si="1"/>
        <v>0</v>
      </c>
      <c r="N8" s="96">
        <f>SUM(K8:M8)</f>
        <v>0</v>
      </c>
    </row>
    <row r="9" spans="2:14" hidden="1" x14ac:dyDescent="0.4">
      <c r="B9" s="104" t="s">
        <v>83</v>
      </c>
      <c r="C9" s="105"/>
      <c r="D9" s="106"/>
      <c r="E9" s="106"/>
      <c r="F9" s="107">
        <f>SUM(C9:E9)</f>
        <v>0</v>
      </c>
      <c r="G9" s="108">
        <f>C9*参照!C7</f>
        <v>0</v>
      </c>
      <c r="H9" s="109">
        <f>D9*参照!D7</f>
        <v>0</v>
      </c>
      <c r="I9" s="109">
        <f>E9*参照!E7</f>
        <v>0</v>
      </c>
      <c r="J9" s="110">
        <f t="shared" ref="J9:J11" si="5">SUM(G9:I9)</f>
        <v>0</v>
      </c>
      <c r="K9" s="108">
        <f t="shared" ref="K9:K11" si="6">G9</f>
        <v>0</v>
      </c>
      <c r="L9" s="109">
        <f t="shared" ref="L9:L11" si="7">H9</f>
        <v>0</v>
      </c>
      <c r="M9" s="109">
        <f t="shared" ref="M9:M11" si="8">I9</f>
        <v>0</v>
      </c>
      <c r="N9" s="110">
        <f t="shared" ref="N9:N16" si="9">SUM(K9:M9)</f>
        <v>0</v>
      </c>
    </row>
    <row r="10" spans="2:14" hidden="1" x14ac:dyDescent="0.4">
      <c r="B10" s="97" t="s">
        <v>85</v>
      </c>
      <c r="C10" s="98"/>
      <c r="D10" s="99"/>
      <c r="E10" s="99"/>
      <c r="F10" s="100">
        <f>SUM(C10:E10)</f>
        <v>0</v>
      </c>
      <c r="G10" s="101">
        <f>C10*参照!C6</f>
        <v>0</v>
      </c>
      <c r="H10" s="102">
        <f>D10*参照!D6</f>
        <v>0</v>
      </c>
      <c r="I10" s="102">
        <f>E10*参照!E6</f>
        <v>0</v>
      </c>
      <c r="J10" s="103">
        <f t="shared" si="5"/>
        <v>0</v>
      </c>
      <c r="K10" s="101">
        <f t="shared" si="6"/>
        <v>0</v>
      </c>
      <c r="L10" s="102">
        <f t="shared" si="7"/>
        <v>0</v>
      </c>
      <c r="M10" s="102">
        <f t="shared" si="8"/>
        <v>0</v>
      </c>
      <c r="N10" s="103">
        <f t="shared" si="9"/>
        <v>0</v>
      </c>
    </row>
    <row r="11" spans="2:14" ht="19.5" hidden="1" thickBot="1" x14ac:dyDescent="0.45">
      <c r="B11" s="97" t="s">
        <v>84</v>
      </c>
      <c r="C11" s="98"/>
      <c r="D11" s="99"/>
      <c r="E11" s="99"/>
      <c r="F11" s="100">
        <f>SUM(C11:E11)</f>
        <v>0</v>
      </c>
      <c r="G11" s="101">
        <f>C11*参照!C6</f>
        <v>0</v>
      </c>
      <c r="H11" s="102">
        <f>D11*参照!D6</f>
        <v>0</v>
      </c>
      <c r="I11" s="102">
        <f>E11*参照!E6</f>
        <v>0</v>
      </c>
      <c r="J11" s="103">
        <f t="shared" si="5"/>
        <v>0</v>
      </c>
      <c r="K11" s="101">
        <f t="shared" si="6"/>
        <v>0</v>
      </c>
      <c r="L11" s="102">
        <f t="shared" si="7"/>
        <v>0</v>
      </c>
      <c r="M11" s="102">
        <f t="shared" si="8"/>
        <v>0</v>
      </c>
      <c r="N11" s="103">
        <f t="shared" si="9"/>
        <v>0</v>
      </c>
    </row>
    <row r="12" spans="2:14" x14ac:dyDescent="0.4">
      <c r="B12" s="25" t="s">
        <v>63</v>
      </c>
      <c r="C12" s="14"/>
      <c r="D12" s="15"/>
      <c r="E12" s="15"/>
      <c r="F12" s="16">
        <f t="shared" si="2"/>
        <v>0</v>
      </c>
      <c r="G12" s="70"/>
      <c r="H12" s="71"/>
      <c r="I12" s="71"/>
      <c r="J12" s="72">
        <f t="shared" si="3"/>
        <v>0</v>
      </c>
      <c r="K12" s="70"/>
      <c r="L12" s="71"/>
      <c r="M12" s="71"/>
      <c r="N12" s="72">
        <f t="shared" si="9"/>
        <v>0</v>
      </c>
    </row>
    <row r="13" spans="2:14" x14ac:dyDescent="0.4">
      <c r="B13" s="27" t="s">
        <v>65</v>
      </c>
      <c r="C13" s="9"/>
      <c r="D13" s="8"/>
      <c r="E13" s="8"/>
      <c r="F13" s="10">
        <f>SUM(C13:E13)</f>
        <v>0</v>
      </c>
      <c r="G13" s="76"/>
      <c r="H13" s="77"/>
      <c r="I13" s="77"/>
      <c r="J13" s="78">
        <f t="shared" si="3"/>
        <v>0</v>
      </c>
      <c r="K13" s="76"/>
      <c r="L13" s="77"/>
      <c r="M13" s="77"/>
      <c r="N13" s="78">
        <f t="shared" si="9"/>
        <v>0</v>
      </c>
    </row>
    <row r="14" spans="2:14" x14ac:dyDescent="0.4">
      <c r="B14" s="27" t="s">
        <v>64</v>
      </c>
      <c r="C14" s="9"/>
      <c r="D14" s="8"/>
      <c r="E14" s="8"/>
      <c r="F14" s="10">
        <f>SUM(C14:E14)</f>
        <v>0</v>
      </c>
      <c r="G14" s="76"/>
      <c r="H14" s="77"/>
      <c r="I14" s="77"/>
      <c r="J14" s="78">
        <f t="shared" si="3"/>
        <v>0</v>
      </c>
      <c r="K14" s="76"/>
      <c r="L14" s="77"/>
      <c r="M14" s="77"/>
      <c r="N14" s="78">
        <f t="shared" si="9"/>
        <v>0</v>
      </c>
    </row>
    <row r="15" spans="2:14" ht="19.5" thickBot="1" x14ac:dyDescent="0.45">
      <c r="B15" s="26" t="s">
        <v>66</v>
      </c>
      <c r="C15" s="11">
        <f>SUM(C12:C14)</f>
        <v>0</v>
      </c>
      <c r="D15" s="12">
        <f>SUM(D12:D14)</f>
        <v>0</v>
      </c>
      <c r="E15" s="12">
        <f>SUM(E12:E14)</f>
        <v>0</v>
      </c>
      <c r="F15" s="13">
        <f t="shared" si="2"/>
        <v>0</v>
      </c>
      <c r="G15" s="73">
        <f t="shared" ref="G15:I15" si="10">SUM(G12:G14)</f>
        <v>0</v>
      </c>
      <c r="H15" s="74">
        <f t="shared" si="10"/>
        <v>0</v>
      </c>
      <c r="I15" s="74">
        <f t="shared" si="10"/>
        <v>0</v>
      </c>
      <c r="J15" s="75">
        <f t="shared" si="3"/>
        <v>0</v>
      </c>
      <c r="K15" s="73">
        <f t="shared" ref="K15:M15" si="11">SUM(K12:K14)</f>
        <v>0</v>
      </c>
      <c r="L15" s="74">
        <f t="shared" si="11"/>
        <v>0</v>
      </c>
      <c r="M15" s="74">
        <f t="shared" si="11"/>
        <v>0</v>
      </c>
      <c r="N15" s="75">
        <f t="shared" si="9"/>
        <v>0</v>
      </c>
    </row>
    <row r="16" spans="2:14" x14ac:dyDescent="0.4">
      <c r="B16" s="24" t="s">
        <v>67</v>
      </c>
      <c r="C16" s="20">
        <f>C5-C15</f>
        <v>0</v>
      </c>
      <c r="D16" s="21">
        <f>D5-D15</f>
        <v>0</v>
      </c>
      <c r="E16" s="21">
        <f>E5-E15</f>
        <v>0</v>
      </c>
      <c r="F16" s="22">
        <f t="shared" si="2"/>
        <v>0</v>
      </c>
      <c r="G16" s="67">
        <f>G5-G17-G18</f>
        <v>0</v>
      </c>
      <c r="H16" s="68">
        <f>H5-H17-H18</f>
        <v>0</v>
      </c>
      <c r="I16" s="68">
        <f>I5-I17-I18</f>
        <v>0</v>
      </c>
      <c r="J16" s="69">
        <f t="shared" si="3"/>
        <v>0</v>
      </c>
      <c r="K16" s="67">
        <f>K5-K17-K18</f>
        <v>0</v>
      </c>
      <c r="L16" s="68">
        <f>L5-L17-L18</f>
        <v>0</v>
      </c>
      <c r="M16" s="68">
        <f>M5-M17-M18</f>
        <v>0</v>
      </c>
      <c r="N16" s="69">
        <f t="shared" si="9"/>
        <v>0</v>
      </c>
    </row>
    <row r="17" spans="2:14" x14ac:dyDescent="0.4">
      <c r="B17" s="32" t="s">
        <v>73</v>
      </c>
      <c r="C17" s="9"/>
      <c r="D17" s="8"/>
      <c r="E17" s="8"/>
      <c r="F17" s="10">
        <f t="shared" ref="F17:F18" si="12">SUM(C17:E17)</f>
        <v>0</v>
      </c>
      <c r="G17" s="76"/>
      <c r="H17" s="77"/>
      <c r="I17" s="77"/>
      <c r="J17" s="78">
        <f t="shared" ref="J17:J18" si="13">SUM(G17:I17)</f>
        <v>0</v>
      </c>
      <c r="K17" s="76"/>
      <c r="L17" s="77"/>
      <c r="M17" s="77"/>
      <c r="N17" s="78">
        <f t="shared" ref="N17:N18" si="14">SUM(K17:M17)</f>
        <v>0</v>
      </c>
    </row>
    <row r="18" spans="2:14" ht="19.5" thickBot="1" x14ac:dyDescent="0.45">
      <c r="B18" s="33" t="s">
        <v>68</v>
      </c>
      <c r="C18" s="11"/>
      <c r="D18" s="12"/>
      <c r="E18" s="12"/>
      <c r="F18" s="13">
        <f t="shared" si="12"/>
        <v>0</v>
      </c>
      <c r="G18" s="73"/>
      <c r="H18" s="74"/>
      <c r="I18" s="74"/>
      <c r="J18" s="75">
        <f t="shared" si="13"/>
        <v>0</v>
      </c>
      <c r="K18" s="73"/>
      <c r="L18" s="74"/>
      <c r="M18" s="74"/>
      <c r="N18" s="75">
        <f t="shared" si="14"/>
        <v>0</v>
      </c>
    </row>
  </sheetData>
  <mergeCells count="3">
    <mergeCell ref="C3:F3"/>
    <mergeCell ref="G3:J3"/>
    <mergeCell ref="K3:N3"/>
  </mergeCells>
  <phoneticPr fontId="1"/>
  <pageMargins left="0.70866141732283472" right="0.70866141732283472" top="0.74803149606299213" bottom="0.74803149606299213" header="0.31496062992125984" footer="0.31496062992125984"/>
  <pageSetup paperSize="9" scale="61"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FEC1D-E5CD-4040-87B4-AA702E4996F9}">
  <dimension ref="B2:N3"/>
  <sheetViews>
    <sheetView workbookViewId="0"/>
  </sheetViews>
  <sheetFormatPr defaultRowHeight="18.75" x14ac:dyDescent="0.4"/>
  <cols>
    <col min="2" max="2" width="16.75" bestFit="1" customWidth="1"/>
    <col min="6" max="6" width="9" bestFit="1" customWidth="1"/>
    <col min="8" max="8" width="17.25" bestFit="1" customWidth="1"/>
    <col min="9" max="9" width="42.125" bestFit="1" customWidth="1"/>
    <col min="11" max="11" width="11" bestFit="1" customWidth="1"/>
    <col min="12" max="12" width="42.125" bestFit="1" customWidth="1"/>
    <col min="13" max="14" width="11" bestFit="1" customWidth="1"/>
  </cols>
  <sheetData>
    <row r="2" spans="2:14" x14ac:dyDescent="0.4">
      <c r="B2" s="4" t="s">
        <v>14</v>
      </c>
    </row>
    <row r="3" spans="2:14" x14ac:dyDescent="0.4">
      <c r="B3" s="6" t="s">
        <v>0</v>
      </c>
      <c r="C3" s="6" t="s">
        <v>1</v>
      </c>
      <c r="D3" s="6" t="s">
        <v>16</v>
      </c>
      <c r="E3" s="6" t="s">
        <v>60</v>
      </c>
      <c r="F3" s="6" t="s">
        <v>5</v>
      </c>
      <c r="G3" s="6" t="s">
        <v>6</v>
      </c>
      <c r="H3" s="6" t="s">
        <v>15</v>
      </c>
      <c r="I3" s="6" t="s">
        <v>18</v>
      </c>
      <c r="J3" s="6" t="s">
        <v>7</v>
      </c>
      <c r="K3" s="6" t="s">
        <v>20</v>
      </c>
      <c r="L3" s="6" t="s">
        <v>21</v>
      </c>
      <c r="M3" s="6" t="s">
        <v>22</v>
      </c>
      <c r="N3" s="6" t="s">
        <v>23</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C8B8-249B-47E3-B14F-3AA0BEC11E98}">
  <dimension ref="B2:I7"/>
  <sheetViews>
    <sheetView workbookViewId="0">
      <selection activeCell="C6" sqref="C6"/>
    </sheetView>
  </sheetViews>
  <sheetFormatPr defaultRowHeight="18.75" x14ac:dyDescent="0.4"/>
  <cols>
    <col min="2" max="2" width="17.375" bestFit="1" customWidth="1"/>
    <col min="7" max="9" width="5.625" bestFit="1" customWidth="1"/>
  </cols>
  <sheetData>
    <row r="2" spans="2:9" x14ac:dyDescent="0.4">
      <c r="B2" s="4" t="s">
        <v>75</v>
      </c>
    </row>
    <row r="4" spans="2:9" x14ac:dyDescent="0.4">
      <c r="B4" s="4" t="s">
        <v>8</v>
      </c>
      <c r="G4" s="4" t="s">
        <v>69</v>
      </c>
    </row>
    <row r="5" spans="2:9" x14ac:dyDescent="0.4">
      <c r="B5" t="s">
        <v>9</v>
      </c>
      <c r="C5" t="s">
        <v>2</v>
      </c>
      <c r="D5" t="s">
        <v>3</v>
      </c>
      <c r="E5" t="s">
        <v>4</v>
      </c>
      <c r="G5" t="s">
        <v>2</v>
      </c>
      <c r="H5" t="s">
        <v>3</v>
      </c>
      <c r="I5" t="s">
        <v>4</v>
      </c>
    </row>
    <row r="6" spans="2:9" x14ac:dyDescent="0.4">
      <c r="B6" t="s">
        <v>10</v>
      </c>
      <c r="C6">
        <v>40</v>
      </c>
      <c r="D6">
        <v>40</v>
      </c>
      <c r="E6">
        <v>40</v>
      </c>
      <c r="G6">
        <v>1</v>
      </c>
      <c r="H6">
        <v>2</v>
      </c>
      <c r="I6">
        <v>2</v>
      </c>
    </row>
    <row r="7" spans="2:9" x14ac:dyDescent="0.4">
      <c r="B7" t="s">
        <v>11</v>
      </c>
      <c r="C7">
        <v>30</v>
      </c>
      <c r="D7">
        <v>30</v>
      </c>
      <c r="E7">
        <v>30</v>
      </c>
    </row>
  </sheetData>
  <phoneticPr fontId="1"/>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8596-29DF-4026-94BD-463CE274C637}">
  <dimension ref="B2:J45"/>
  <sheetViews>
    <sheetView workbookViewId="0"/>
  </sheetViews>
  <sheetFormatPr defaultRowHeight="18.75" x14ac:dyDescent="0.4"/>
  <sheetData>
    <row r="2" spans="2:2" x14ac:dyDescent="0.4">
      <c r="B2" s="1" t="s">
        <v>57</v>
      </c>
    </row>
    <row r="3" spans="2:2" x14ac:dyDescent="0.4">
      <c r="B3" s="17" t="s">
        <v>70</v>
      </c>
    </row>
    <row r="4" spans="2:2" x14ac:dyDescent="0.4">
      <c r="B4" s="19" t="s">
        <v>71</v>
      </c>
    </row>
    <row r="5" spans="2:2" x14ac:dyDescent="0.4">
      <c r="B5" s="19" t="s">
        <v>72</v>
      </c>
    </row>
    <row r="6" spans="2:2" x14ac:dyDescent="0.4">
      <c r="B6" s="17"/>
    </row>
    <row r="7" spans="2:2" x14ac:dyDescent="0.4">
      <c r="B7" s="17" t="s">
        <v>29</v>
      </c>
    </row>
    <row r="8" spans="2:2" x14ac:dyDescent="0.4">
      <c r="B8" s="17"/>
    </row>
    <row r="9" spans="2:2" x14ac:dyDescent="0.4">
      <c r="B9" s="18" t="s">
        <v>58</v>
      </c>
    </row>
    <row r="10" spans="2:2" x14ac:dyDescent="0.4">
      <c r="B10" s="17"/>
    </row>
    <row r="11" spans="2:2" x14ac:dyDescent="0.4">
      <c r="B11" s="19" t="s">
        <v>30</v>
      </c>
    </row>
    <row r="12" spans="2:2" x14ac:dyDescent="0.4">
      <c r="B12" s="19" t="s">
        <v>31</v>
      </c>
    </row>
    <row r="13" spans="2:2" x14ac:dyDescent="0.4">
      <c r="B13" s="18" t="s">
        <v>32</v>
      </c>
    </row>
    <row r="14" spans="2:2" x14ac:dyDescent="0.4">
      <c r="B14" s="19" t="s">
        <v>33</v>
      </c>
    </row>
    <row r="15" spans="2:2" x14ac:dyDescent="0.4">
      <c r="B15" s="19" t="s">
        <v>34</v>
      </c>
    </row>
    <row r="16" spans="2:2" x14ac:dyDescent="0.4">
      <c r="B16" s="19" t="s">
        <v>35</v>
      </c>
    </row>
    <row r="17" spans="2:2" x14ac:dyDescent="0.4">
      <c r="B17" s="17"/>
    </row>
    <row r="18" spans="2:2" x14ac:dyDescent="0.4">
      <c r="B18" s="19" t="s">
        <v>59</v>
      </c>
    </row>
    <row r="19" spans="2:2" x14ac:dyDescent="0.4">
      <c r="B19" s="17" t="s">
        <v>36</v>
      </c>
    </row>
    <row r="20" spans="2:2" x14ac:dyDescent="0.4">
      <c r="B20" s="17" t="s">
        <v>37</v>
      </c>
    </row>
    <row r="21" spans="2:2" x14ac:dyDescent="0.4">
      <c r="B21" s="17" t="s">
        <v>38</v>
      </c>
    </row>
    <row r="22" spans="2:2" x14ac:dyDescent="0.4">
      <c r="B22" s="17"/>
    </row>
    <row r="23" spans="2:2" x14ac:dyDescent="0.4">
      <c r="B23" s="17" t="s">
        <v>39</v>
      </c>
    </row>
    <row r="24" spans="2:2" x14ac:dyDescent="0.4">
      <c r="B24" s="17" t="s">
        <v>40</v>
      </c>
    </row>
    <row r="25" spans="2:2" x14ac:dyDescent="0.4">
      <c r="B25" s="17"/>
    </row>
    <row r="26" spans="2:2" x14ac:dyDescent="0.4">
      <c r="B26" s="17" t="s">
        <v>41</v>
      </c>
    </row>
    <row r="27" spans="2:2" x14ac:dyDescent="0.4">
      <c r="B27" s="17" t="s">
        <v>42</v>
      </c>
    </row>
    <row r="28" spans="2:2" x14ac:dyDescent="0.4">
      <c r="B28" s="17"/>
    </row>
    <row r="29" spans="2:2" x14ac:dyDescent="0.4">
      <c r="B29" s="17" t="s">
        <v>43</v>
      </c>
    </row>
    <row r="30" spans="2:2" x14ac:dyDescent="0.4">
      <c r="B30" s="2" t="s">
        <v>44</v>
      </c>
    </row>
    <row r="31" spans="2:2" x14ac:dyDescent="0.4">
      <c r="B31" s="17" t="s">
        <v>45</v>
      </c>
    </row>
    <row r="32" spans="2:2" x14ac:dyDescent="0.4">
      <c r="B32" s="2" t="s">
        <v>44</v>
      </c>
    </row>
    <row r="33" spans="2:10" x14ac:dyDescent="0.4">
      <c r="B33" s="17" t="s">
        <v>46</v>
      </c>
    </row>
    <row r="34" spans="2:10" x14ac:dyDescent="0.4">
      <c r="B34" s="3"/>
    </row>
    <row r="35" spans="2:10" x14ac:dyDescent="0.4">
      <c r="B35" s="17" t="s">
        <v>47</v>
      </c>
      <c r="J35" s="89" t="s">
        <v>81</v>
      </c>
    </row>
    <row r="36" spans="2:10" x14ac:dyDescent="0.4">
      <c r="B36" s="17" t="s">
        <v>48</v>
      </c>
    </row>
    <row r="37" spans="2:10" x14ac:dyDescent="0.4">
      <c r="B37" s="17" t="s">
        <v>49</v>
      </c>
    </row>
    <row r="38" spans="2:10" x14ac:dyDescent="0.4">
      <c r="B38" s="17" t="s">
        <v>50</v>
      </c>
    </row>
    <row r="39" spans="2:10" x14ac:dyDescent="0.4">
      <c r="B39" s="2" t="s">
        <v>51</v>
      </c>
    </row>
    <row r="40" spans="2:10" x14ac:dyDescent="0.4">
      <c r="B40" s="17"/>
    </row>
    <row r="41" spans="2:10" x14ac:dyDescent="0.4">
      <c r="B41" s="19" t="s">
        <v>52</v>
      </c>
    </row>
    <row r="42" spans="2:10" x14ac:dyDescent="0.4">
      <c r="B42" s="17" t="s">
        <v>53</v>
      </c>
    </row>
    <row r="43" spans="2:10" x14ac:dyDescent="0.4">
      <c r="B43" s="17" t="s">
        <v>54</v>
      </c>
    </row>
    <row r="44" spans="2:10" x14ac:dyDescent="0.4">
      <c r="B44" s="17" t="s">
        <v>55</v>
      </c>
    </row>
    <row r="45" spans="2:10" x14ac:dyDescent="0.4">
      <c r="B45" s="17" t="s">
        <v>56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サマリ</vt:lpstr>
      <vt:lpstr>食事区分毎詳細</vt:lpstr>
      <vt:lpstr>施設毎詳細</vt:lpstr>
      <vt:lpstr>参照</vt:lpstr>
      <vt:lpstr>(参考)売価計算仕様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加藤大介</dc:creator>
  <cp:lastModifiedBy>加藤大介</cp:lastModifiedBy>
  <cp:lastPrinted>2022-10-28T01:21:29Z</cp:lastPrinted>
  <dcterms:created xsi:type="dcterms:W3CDTF">2022-10-07T01:21:57Z</dcterms:created>
  <dcterms:modified xsi:type="dcterms:W3CDTF">2023-04-26T02:56:44Z</dcterms:modified>
</cp:coreProperties>
</file>