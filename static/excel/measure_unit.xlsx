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93BF54FA-B1AB-4E98-AAD2-915B40048317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常食" sheetId="3" r:id="rId1"/>
    <sheet name="薄味" sheetId="4" r:id="rId2"/>
    <sheet name="ソフト" sheetId="5" r:id="rId3"/>
    <sheet name="ソフト(液)" sheetId="8" r:id="rId4"/>
    <sheet name="ミキサー" sheetId="6" r:id="rId5"/>
    <sheet name="ミキサー(液)" sheetId="9" r:id="rId6"/>
    <sheet name="ゼリー" sheetId="7" r:id="rId7"/>
    <sheet name="ゼリー(液)" sheetId="10" r:id="rId8"/>
  </sheets>
  <definedNames>
    <definedName name="_xlnm.Print_Area" localSheetId="0">常食!$A$1:$Q$155</definedName>
    <definedName name="_xlnm.Print_Area" localSheetId="1">薄味!$A$1:$Q$62</definedName>
    <definedName name="_xlnm.Print_Titles" localSheetId="6">ゼリー!$1:$3</definedName>
    <definedName name="_xlnm.Print_Titles" localSheetId="7">'ゼリー(液)'!$1:$3</definedName>
    <definedName name="_xlnm.Print_Titles" localSheetId="2">ソフト!$1:$3</definedName>
    <definedName name="_xlnm.Print_Titles" localSheetId="3">'ソフト(液)'!$1:$3</definedName>
    <definedName name="_xlnm.Print_Titles" localSheetId="4">ミキサー!$1:$3</definedName>
    <definedName name="_xlnm.Print_Titles" localSheetId="5">'ミキサー(液)'!$1:$3</definedName>
    <definedName name="_xlnm.Print_Titles" localSheetId="0">常食!$1:$3</definedName>
    <definedName name="_xlnm.Print_Titles" localSheetId="1">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54" i="3" l="1"/>
  <c r="O154" i="3"/>
  <c r="N154" i="3"/>
  <c r="M154" i="3"/>
  <c r="L154" i="3"/>
  <c r="K154" i="3"/>
  <c r="I154" i="3"/>
  <c r="H154" i="3"/>
  <c r="F154" i="3"/>
  <c r="Q153" i="3"/>
  <c r="O153" i="3"/>
  <c r="N153" i="3"/>
  <c r="M153" i="3"/>
  <c r="L153" i="3"/>
  <c r="K153" i="3"/>
  <c r="I153" i="3"/>
  <c r="H153" i="3"/>
  <c r="F153" i="3"/>
  <c r="E153" i="3"/>
  <c r="Q152" i="3"/>
  <c r="O152" i="3"/>
  <c r="N152" i="3"/>
  <c r="M152" i="3"/>
  <c r="L152" i="3"/>
  <c r="E152" i="3" s="1"/>
  <c r="K152" i="3"/>
  <c r="I152" i="3"/>
  <c r="H152" i="3"/>
  <c r="F152" i="3"/>
  <c r="Q151" i="3"/>
  <c r="O151" i="3"/>
  <c r="N151" i="3"/>
  <c r="M151" i="3"/>
  <c r="L151" i="3"/>
  <c r="K151" i="3"/>
  <c r="I151" i="3"/>
  <c r="H151" i="3"/>
  <c r="F151" i="3"/>
  <c r="Q150" i="3"/>
  <c r="O150" i="3"/>
  <c r="N150" i="3"/>
  <c r="M150" i="3"/>
  <c r="L150" i="3"/>
  <c r="K150" i="3"/>
  <c r="I150" i="3"/>
  <c r="H150" i="3"/>
  <c r="F150" i="3"/>
  <c r="Q149" i="3"/>
  <c r="O149" i="3"/>
  <c r="N149" i="3"/>
  <c r="M149" i="3"/>
  <c r="L149" i="3"/>
  <c r="K149" i="3"/>
  <c r="I149" i="3"/>
  <c r="H149" i="3"/>
  <c r="F149" i="3"/>
  <c r="Q148" i="3"/>
  <c r="O148" i="3"/>
  <c r="N148" i="3"/>
  <c r="M148" i="3"/>
  <c r="L148" i="3"/>
  <c r="K148" i="3"/>
  <c r="E148" i="3" s="1"/>
  <c r="I148" i="3"/>
  <c r="H148" i="3"/>
  <c r="F148" i="3"/>
  <c r="Q147" i="3"/>
  <c r="O147" i="3"/>
  <c r="N147" i="3"/>
  <c r="M147" i="3"/>
  <c r="L147" i="3"/>
  <c r="K147" i="3"/>
  <c r="I147" i="3"/>
  <c r="H147" i="3"/>
  <c r="F147" i="3"/>
  <c r="Q146" i="3"/>
  <c r="O146" i="3"/>
  <c r="N146" i="3"/>
  <c r="M146" i="3"/>
  <c r="L146" i="3"/>
  <c r="K146" i="3"/>
  <c r="I146" i="3"/>
  <c r="H146" i="3"/>
  <c r="F146" i="3"/>
  <c r="Q145" i="3"/>
  <c r="O145" i="3"/>
  <c r="N145" i="3"/>
  <c r="M145" i="3"/>
  <c r="L145" i="3"/>
  <c r="K145" i="3"/>
  <c r="I145" i="3"/>
  <c r="H145" i="3"/>
  <c r="F145" i="3"/>
  <c r="Q144" i="3"/>
  <c r="O144" i="3"/>
  <c r="N144" i="3"/>
  <c r="M144" i="3"/>
  <c r="L144" i="3"/>
  <c r="K144" i="3"/>
  <c r="I144" i="3"/>
  <c r="H144" i="3"/>
  <c r="F144" i="3"/>
  <c r="Q143" i="3"/>
  <c r="O143" i="3"/>
  <c r="N143" i="3"/>
  <c r="M143" i="3"/>
  <c r="L143" i="3"/>
  <c r="E143" i="3" s="1"/>
  <c r="K143" i="3"/>
  <c r="I143" i="3"/>
  <c r="H143" i="3"/>
  <c r="F143" i="3"/>
  <c r="Q142" i="3"/>
  <c r="O142" i="3"/>
  <c r="N142" i="3"/>
  <c r="M142" i="3"/>
  <c r="L142" i="3"/>
  <c r="K142" i="3"/>
  <c r="I142" i="3"/>
  <c r="H142" i="3"/>
  <c r="F142" i="3"/>
  <c r="Q141" i="3"/>
  <c r="O141" i="3"/>
  <c r="N141" i="3"/>
  <c r="M141" i="3"/>
  <c r="L141" i="3"/>
  <c r="K141" i="3"/>
  <c r="I141" i="3"/>
  <c r="H141" i="3"/>
  <c r="F141" i="3"/>
  <c r="Q140" i="3"/>
  <c r="O140" i="3"/>
  <c r="N140" i="3"/>
  <c r="M140" i="3"/>
  <c r="L140" i="3"/>
  <c r="K140" i="3"/>
  <c r="I140" i="3"/>
  <c r="H140" i="3"/>
  <c r="F140" i="3"/>
  <c r="Q139" i="3"/>
  <c r="O139" i="3"/>
  <c r="N139" i="3"/>
  <c r="M139" i="3"/>
  <c r="L139" i="3"/>
  <c r="K139" i="3"/>
  <c r="I139" i="3"/>
  <c r="H139" i="3"/>
  <c r="F139" i="3"/>
  <c r="Q138" i="3"/>
  <c r="O138" i="3"/>
  <c r="N138" i="3"/>
  <c r="M138" i="3"/>
  <c r="L138" i="3"/>
  <c r="K138" i="3"/>
  <c r="I138" i="3"/>
  <c r="H138" i="3"/>
  <c r="F138" i="3"/>
  <c r="Q137" i="3"/>
  <c r="O137" i="3"/>
  <c r="N137" i="3"/>
  <c r="M137" i="3"/>
  <c r="L137" i="3"/>
  <c r="K137" i="3"/>
  <c r="I137" i="3"/>
  <c r="H137" i="3"/>
  <c r="F137" i="3"/>
  <c r="Q136" i="3"/>
  <c r="O136" i="3"/>
  <c r="N136" i="3"/>
  <c r="M136" i="3"/>
  <c r="L136" i="3"/>
  <c r="K136" i="3"/>
  <c r="I136" i="3"/>
  <c r="H136" i="3"/>
  <c r="F136" i="3"/>
  <c r="Q135" i="3"/>
  <c r="O135" i="3"/>
  <c r="N135" i="3"/>
  <c r="M135" i="3"/>
  <c r="L135" i="3"/>
  <c r="K135" i="3"/>
  <c r="I135" i="3"/>
  <c r="H135" i="3"/>
  <c r="F135" i="3"/>
  <c r="Q134" i="3"/>
  <c r="O134" i="3"/>
  <c r="N134" i="3"/>
  <c r="M134" i="3"/>
  <c r="L134" i="3"/>
  <c r="K134" i="3"/>
  <c r="I134" i="3"/>
  <c r="H134" i="3"/>
  <c r="F134" i="3"/>
  <c r="Q133" i="3"/>
  <c r="O133" i="3"/>
  <c r="N133" i="3"/>
  <c r="M133" i="3"/>
  <c r="L133" i="3"/>
  <c r="K133" i="3"/>
  <c r="I133" i="3"/>
  <c r="H133" i="3"/>
  <c r="F133" i="3"/>
  <c r="Q132" i="3"/>
  <c r="O132" i="3"/>
  <c r="N132" i="3"/>
  <c r="M132" i="3"/>
  <c r="L132" i="3"/>
  <c r="K132" i="3"/>
  <c r="I132" i="3"/>
  <c r="H132" i="3"/>
  <c r="F132" i="3"/>
  <c r="Q131" i="3"/>
  <c r="O131" i="3"/>
  <c r="N131" i="3"/>
  <c r="M131" i="3"/>
  <c r="L131" i="3"/>
  <c r="K131" i="3"/>
  <c r="I131" i="3"/>
  <c r="H131" i="3"/>
  <c r="F131" i="3"/>
  <c r="Q130" i="3"/>
  <c r="O130" i="3"/>
  <c r="N130" i="3"/>
  <c r="M130" i="3"/>
  <c r="L130" i="3"/>
  <c r="K130" i="3"/>
  <c r="E130" i="3" s="1"/>
  <c r="I130" i="3"/>
  <c r="H130" i="3"/>
  <c r="F130" i="3"/>
  <c r="Q129" i="3"/>
  <c r="O129" i="3"/>
  <c r="N129" i="3"/>
  <c r="M129" i="3"/>
  <c r="L129" i="3"/>
  <c r="K129" i="3"/>
  <c r="I129" i="3"/>
  <c r="H129" i="3"/>
  <c r="F129" i="3"/>
  <c r="Q128" i="3"/>
  <c r="O128" i="3"/>
  <c r="N128" i="3"/>
  <c r="M128" i="3"/>
  <c r="L128" i="3"/>
  <c r="K128" i="3"/>
  <c r="I128" i="3"/>
  <c r="H128" i="3"/>
  <c r="F128" i="3"/>
  <c r="Q127" i="3"/>
  <c r="O127" i="3"/>
  <c r="N127" i="3"/>
  <c r="M127" i="3"/>
  <c r="L127" i="3"/>
  <c r="K127" i="3"/>
  <c r="I127" i="3"/>
  <c r="H127" i="3"/>
  <c r="F127" i="3"/>
  <c r="Q126" i="3"/>
  <c r="O126" i="3"/>
  <c r="N126" i="3"/>
  <c r="M126" i="3"/>
  <c r="L126" i="3"/>
  <c r="K126" i="3"/>
  <c r="I126" i="3"/>
  <c r="H126" i="3"/>
  <c r="F126" i="3"/>
  <c r="Q125" i="3"/>
  <c r="O125" i="3"/>
  <c r="N125" i="3"/>
  <c r="M125" i="3"/>
  <c r="L125" i="3"/>
  <c r="K125" i="3"/>
  <c r="I125" i="3"/>
  <c r="H125" i="3"/>
  <c r="F125" i="3"/>
  <c r="Q124" i="3"/>
  <c r="O124" i="3"/>
  <c r="N124" i="3"/>
  <c r="M124" i="3"/>
  <c r="L124" i="3"/>
  <c r="K124" i="3"/>
  <c r="I124" i="3"/>
  <c r="H124" i="3"/>
  <c r="F124" i="3"/>
  <c r="Q123" i="3"/>
  <c r="O123" i="3"/>
  <c r="N123" i="3"/>
  <c r="M123" i="3"/>
  <c r="L123" i="3"/>
  <c r="K123" i="3"/>
  <c r="I123" i="3"/>
  <c r="H123" i="3"/>
  <c r="F123" i="3"/>
  <c r="Q122" i="3"/>
  <c r="O122" i="3"/>
  <c r="N122" i="3"/>
  <c r="M122" i="3"/>
  <c r="L122" i="3"/>
  <c r="E122" i="3" s="1"/>
  <c r="K122" i="3"/>
  <c r="I122" i="3"/>
  <c r="H122" i="3"/>
  <c r="F122" i="3"/>
  <c r="Q121" i="3"/>
  <c r="O121" i="3"/>
  <c r="N121" i="3"/>
  <c r="M121" i="3"/>
  <c r="L121" i="3"/>
  <c r="K121" i="3"/>
  <c r="I121" i="3"/>
  <c r="H121" i="3"/>
  <c r="F121" i="3"/>
  <c r="Q120" i="3"/>
  <c r="O120" i="3"/>
  <c r="N120" i="3"/>
  <c r="M120" i="3"/>
  <c r="L120" i="3"/>
  <c r="K120" i="3"/>
  <c r="I120" i="3"/>
  <c r="H120" i="3"/>
  <c r="F120" i="3"/>
  <c r="Q119" i="3"/>
  <c r="O119" i="3"/>
  <c r="N119" i="3"/>
  <c r="M119" i="3"/>
  <c r="L119" i="3"/>
  <c r="E119" i="3" s="1"/>
  <c r="K119" i="3"/>
  <c r="I119" i="3"/>
  <c r="H119" i="3"/>
  <c r="F119" i="3"/>
  <c r="Q118" i="3"/>
  <c r="O118" i="3"/>
  <c r="N118" i="3"/>
  <c r="M118" i="3"/>
  <c r="L118" i="3"/>
  <c r="K118" i="3"/>
  <c r="I118" i="3"/>
  <c r="H118" i="3"/>
  <c r="F118" i="3"/>
  <c r="Q117" i="3"/>
  <c r="O117" i="3"/>
  <c r="N117" i="3"/>
  <c r="M117" i="3"/>
  <c r="L117" i="3"/>
  <c r="K117" i="3"/>
  <c r="I117" i="3"/>
  <c r="H117" i="3"/>
  <c r="F117" i="3"/>
  <c r="Q116" i="3"/>
  <c r="O116" i="3"/>
  <c r="N116" i="3"/>
  <c r="M116" i="3"/>
  <c r="L116" i="3"/>
  <c r="K116" i="3"/>
  <c r="I116" i="3"/>
  <c r="H116" i="3"/>
  <c r="F116" i="3"/>
  <c r="Q115" i="3"/>
  <c r="O115" i="3"/>
  <c r="N115" i="3"/>
  <c r="M115" i="3"/>
  <c r="L115" i="3"/>
  <c r="K115" i="3"/>
  <c r="I115" i="3"/>
  <c r="H115" i="3"/>
  <c r="F115" i="3"/>
  <c r="Q114" i="3"/>
  <c r="O114" i="3"/>
  <c r="N114" i="3"/>
  <c r="M114" i="3"/>
  <c r="L114" i="3"/>
  <c r="K114" i="3"/>
  <c r="I114" i="3"/>
  <c r="H114" i="3"/>
  <c r="F114" i="3"/>
  <c r="Q113" i="3"/>
  <c r="O113" i="3"/>
  <c r="N113" i="3"/>
  <c r="M113" i="3"/>
  <c r="L113" i="3"/>
  <c r="K113" i="3"/>
  <c r="I113" i="3"/>
  <c r="H113" i="3"/>
  <c r="F113" i="3"/>
  <c r="Q112" i="3"/>
  <c r="O112" i="3"/>
  <c r="N112" i="3"/>
  <c r="M112" i="3"/>
  <c r="L112" i="3"/>
  <c r="E112" i="3" s="1"/>
  <c r="K112" i="3"/>
  <c r="I112" i="3"/>
  <c r="H112" i="3"/>
  <c r="F112" i="3"/>
  <c r="Q111" i="3"/>
  <c r="O111" i="3"/>
  <c r="N111" i="3"/>
  <c r="M111" i="3"/>
  <c r="L111" i="3"/>
  <c r="E111" i="3" s="1"/>
  <c r="K111" i="3"/>
  <c r="I111" i="3"/>
  <c r="H111" i="3"/>
  <c r="F111" i="3"/>
  <c r="Q110" i="3"/>
  <c r="O110" i="3"/>
  <c r="N110" i="3"/>
  <c r="M110" i="3"/>
  <c r="L110" i="3"/>
  <c r="K110" i="3"/>
  <c r="I110" i="3"/>
  <c r="H110" i="3"/>
  <c r="F110" i="3"/>
  <c r="Q109" i="3"/>
  <c r="O109" i="3"/>
  <c r="N109" i="3"/>
  <c r="M109" i="3"/>
  <c r="L109" i="3"/>
  <c r="K109" i="3"/>
  <c r="I109" i="3"/>
  <c r="H109" i="3"/>
  <c r="F109" i="3"/>
  <c r="Q108" i="3"/>
  <c r="O108" i="3"/>
  <c r="N108" i="3"/>
  <c r="M108" i="3"/>
  <c r="L108" i="3"/>
  <c r="K108" i="3"/>
  <c r="I108" i="3"/>
  <c r="H108" i="3"/>
  <c r="F108" i="3"/>
  <c r="Q107" i="3"/>
  <c r="O107" i="3"/>
  <c r="N107" i="3"/>
  <c r="M107" i="3"/>
  <c r="L107" i="3"/>
  <c r="K107" i="3"/>
  <c r="I107" i="3"/>
  <c r="H107" i="3"/>
  <c r="F107" i="3"/>
  <c r="Q106" i="3"/>
  <c r="O106" i="3"/>
  <c r="N106" i="3"/>
  <c r="M106" i="3"/>
  <c r="L106" i="3"/>
  <c r="E106" i="3" s="1"/>
  <c r="K106" i="3"/>
  <c r="I106" i="3"/>
  <c r="H106" i="3"/>
  <c r="F106" i="3"/>
  <c r="Q105" i="3"/>
  <c r="O105" i="3"/>
  <c r="N105" i="3"/>
  <c r="M105" i="3"/>
  <c r="L105" i="3"/>
  <c r="K105" i="3"/>
  <c r="I105" i="3"/>
  <c r="H105" i="3"/>
  <c r="F105" i="3"/>
  <c r="Q104" i="3"/>
  <c r="O104" i="3"/>
  <c r="N104" i="3"/>
  <c r="M104" i="3"/>
  <c r="L104" i="3"/>
  <c r="K104" i="3"/>
  <c r="I104" i="3"/>
  <c r="H104" i="3"/>
  <c r="F104" i="3"/>
  <c r="Q103" i="3"/>
  <c r="O103" i="3"/>
  <c r="N103" i="3"/>
  <c r="M103" i="3"/>
  <c r="L103" i="3"/>
  <c r="K103" i="3"/>
  <c r="I103" i="3"/>
  <c r="H103" i="3"/>
  <c r="F103" i="3"/>
  <c r="Q102" i="3"/>
  <c r="O102" i="3"/>
  <c r="N102" i="3"/>
  <c r="M102" i="3"/>
  <c r="L102" i="3"/>
  <c r="K102" i="3"/>
  <c r="I102" i="3"/>
  <c r="H102" i="3"/>
  <c r="F102" i="3"/>
  <c r="Q101" i="3"/>
  <c r="O101" i="3"/>
  <c r="N101" i="3"/>
  <c r="M101" i="3"/>
  <c r="L101" i="3"/>
  <c r="K101" i="3"/>
  <c r="I101" i="3"/>
  <c r="H101" i="3"/>
  <c r="F101" i="3"/>
  <c r="Q100" i="3"/>
  <c r="O100" i="3"/>
  <c r="N100" i="3"/>
  <c r="M100" i="3"/>
  <c r="L100" i="3"/>
  <c r="K100" i="3"/>
  <c r="I100" i="3"/>
  <c r="H100" i="3"/>
  <c r="F100" i="3"/>
  <c r="Q99" i="3"/>
  <c r="O99" i="3"/>
  <c r="N99" i="3"/>
  <c r="M99" i="3"/>
  <c r="L99" i="3"/>
  <c r="K99" i="3"/>
  <c r="I99" i="3"/>
  <c r="H99" i="3"/>
  <c r="F99" i="3"/>
  <c r="Q98" i="3"/>
  <c r="O98" i="3"/>
  <c r="N98" i="3"/>
  <c r="M98" i="3"/>
  <c r="L98" i="3"/>
  <c r="K98" i="3"/>
  <c r="I98" i="3"/>
  <c r="H98" i="3"/>
  <c r="F98" i="3"/>
  <c r="Q97" i="3"/>
  <c r="O97" i="3"/>
  <c r="N97" i="3"/>
  <c r="M97" i="3"/>
  <c r="L97" i="3"/>
  <c r="K97" i="3"/>
  <c r="I97" i="3"/>
  <c r="H97" i="3"/>
  <c r="F97" i="3"/>
  <c r="Q96" i="3"/>
  <c r="O96" i="3"/>
  <c r="N96" i="3"/>
  <c r="M96" i="3"/>
  <c r="L96" i="3"/>
  <c r="E96" i="3" s="1"/>
  <c r="K96" i="3"/>
  <c r="I96" i="3"/>
  <c r="H96" i="3"/>
  <c r="F96" i="3"/>
  <c r="Q95" i="3"/>
  <c r="O95" i="3"/>
  <c r="N95" i="3"/>
  <c r="M95" i="3"/>
  <c r="L95" i="3"/>
  <c r="E95" i="3" s="1"/>
  <c r="K95" i="3"/>
  <c r="I95" i="3"/>
  <c r="H95" i="3"/>
  <c r="F95" i="3"/>
  <c r="Q94" i="3"/>
  <c r="O94" i="3"/>
  <c r="N94" i="3"/>
  <c r="M94" i="3"/>
  <c r="L94" i="3"/>
  <c r="E94" i="3" s="1"/>
  <c r="K94" i="3"/>
  <c r="I94" i="3"/>
  <c r="H94" i="3"/>
  <c r="F94" i="3"/>
  <c r="Q93" i="3"/>
  <c r="O93" i="3"/>
  <c r="N93" i="3"/>
  <c r="M93" i="3"/>
  <c r="L93" i="3"/>
  <c r="K93" i="3"/>
  <c r="I93" i="3"/>
  <c r="H93" i="3"/>
  <c r="F93" i="3"/>
  <c r="Q92" i="3"/>
  <c r="O92" i="3"/>
  <c r="N92" i="3"/>
  <c r="M92" i="3"/>
  <c r="L92" i="3"/>
  <c r="K92" i="3"/>
  <c r="I92" i="3"/>
  <c r="H92" i="3"/>
  <c r="F92" i="3"/>
  <c r="Q91" i="3"/>
  <c r="O91" i="3"/>
  <c r="N91" i="3"/>
  <c r="M91" i="3"/>
  <c r="L91" i="3"/>
  <c r="K91" i="3"/>
  <c r="I91" i="3"/>
  <c r="H91" i="3"/>
  <c r="F91" i="3"/>
  <c r="Q90" i="3"/>
  <c r="O90" i="3"/>
  <c r="N90" i="3"/>
  <c r="M90" i="3"/>
  <c r="L90" i="3"/>
  <c r="K90" i="3"/>
  <c r="I90" i="3"/>
  <c r="H90" i="3"/>
  <c r="F90" i="3"/>
  <c r="Q89" i="3"/>
  <c r="O89" i="3"/>
  <c r="N89" i="3"/>
  <c r="M89" i="3"/>
  <c r="L89" i="3"/>
  <c r="K89" i="3"/>
  <c r="I89" i="3"/>
  <c r="H89" i="3"/>
  <c r="F89" i="3"/>
  <c r="D8" i="10"/>
  <c r="D8" i="7"/>
  <c r="D8" i="9"/>
  <c r="D8" i="6"/>
  <c r="D8" i="8"/>
  <c r="D8" i="5"/>
  <c r="F6" i="10"/>
  <c r="B6" i="10"/>
  <c r="F6" i="7"/>
  <c r="B6" i="7"/>
  <c r="F6" i="9"/>
  <c r="F6" i="6"/>
  <c r="F6" i="8"/>
  <c r="F6" i="5"/>
  <c r="Q8" i="4"/>
  <c r="O8" i="4"/>
  <c r="M8" i="4"/>
  <c r="L8" i="4"/>
  <c r="F8" i="4"/>
  <c r="Q8" i="3"/>
  <c r="O8" i="3"/>
  <c r="M8" i="3"/>
  <c r="F8" i="3"/>
  <c r="L8" i="3"/>
  <c r="Q88" i="3"/>
  <c r="O88" i="3"/>
  <c r="N88" i="3"/>
  <c r="M88" i="3"/>
  <c r="L88" i="3"/>
  <c r="K88" i="3"/>
  <c r="I88" i="3"/>
  <c r="H88" i="3"/>
  <c r="F88" i="3"/>
  <c r="Q87" i="3"/>
  <c r="O87" i="3"/>
  <c r="N87" i="3"/>
  <c r="M87" i="3"/>
  <c r="L87" i="3"/>
  <c r="K87" i="3"/>
  <c r="I87" i="3"/>
  <c r="H87" i="3"/>
  <c r="F87" i="3"/>
  <c r="Q86" i="3"/>
  <c r="O86" i="3"/>
  <c r="N86" i="3"/>
  <c r="M86" i="3"/>
  <c r="L86" i="3"/>
  <c r="K86" i="3"/>
  <c r="I86" i="3"/>
  <c r="H86" i="3"/>
  <c r="F86" i="3"/>
  <c r="Q85" i="3"/>
  <c r="O85" i="3"/>
  <c r="N85" i="3"/>
  <c r="M85" i="3"/>
  <c r="L85" i="3"/>
  <c r="K85" i="3"/>
  <c r="I85" i="3"/>
  <c r="H85" i="3"/>
  <c r="F85" i="3"/>
  <c r="Q84" i="3"/>
  <c r="O84" i="3"/>
  <c r="N84" i="3"/>
  <c r="M84" i="3"/>
  <c r="L84" i="3"/>
  <c r="K84" i="3"/>
  <c r="I84" i="3"/>
  <c r="H84" i="3"/>
  <c r="F84" i="3"/>
  <c r="Q83" i="3"/>
  <c r="O83" i="3"/>
  <c r="N83" i="3"/>
  <c r="M83" i="3"/>
  <c r="L83" i="3"/>
  <c r="K83" i="3"/>
  <c r="I83" i="3"/>
  <c r="H83" i="3"/>
  <c r="F83" i="3"/>
  <c r="Q82" i="3"/>
  <c r="O82" i="3"/>
  <c r="N82" i="3"/>
  <c r="M82" i="3"/>
  <c r="L82" i="3"/>
  <c r="K82" i="3"/>
  <c r="I82" i="3"/>
  <c r="H82" i="3"/>
  <c r="F82" i="3"/>
  <c r="Q81" i="3"/>
  <c r="O81" i="3"/>
  <c r="N81" i="3"/>
  <c r="M81" i="3"/>
  <c r="L81" i="3"/>
  <c r="K81" i="3"/>
  <c r="I81" i="3"/>
  <c r="H81" i="3"/>
  <c r="F81" i="3"/>
  <c r="Q80" i="3"/>
  <c r="O80" i="3"/>
  <c r="N80" i="3"/>
  <c r="M80" i="3"/>
  <c r="L80" i="3"/>
  <c r="K80" i="3"/>
  <c r="I80" i="3"/>
  <c r="H80" i="3"/>
  <c r="F80" i="3"/>
  <c r="Q79" i="3"/>
  <c r="O79" i="3"/>
  <c r="N79" i="3"/>
  <c r="M79" i="3"/>
  <c r="L79" i="3"/>
  <c r="K79" i="3"/>
  <c r="I79" i="3"/>
  <c r="H79" i="3"/>
  <c r="F79" i="3"/>
  <c r="Q78" i="3"/>
  <c r="O78" i="3"/>
  <c r="N78" i="3"/>
  <c r="M78" i="3"/>
  <c r="L78" i="3"/>
  <c r="K78" i="3"/>
  <c r="I78" i="3"/>
  <c r="H78" i="3"/>
  <c r="F78" i="3"/>
  <c r="Q77" i="3"/>
  <c r="O77" i="3"/>
  <c r="N77" i="3"/>
  <c r="M77" i="3"/>
  <c r="L77" i="3"/>
  <c r="K77" i="3"/>
  <c r="I77" i="3"/>
  <c r="H77" i="3"/>
  <c r="F77" i="3"/>
  <c r="Q76" i="3"/>
  <c r="O76" i="3"/>
  <c r="N76" i="3"/>
  <c r="M76" i="3"/>
  <c r="L76" i="3"/>
  <c r="K76" i="3"/>
  <c r="I76" i="3"/>
  <c r="H76" i="3"/>
  <c r="F76" i="3"/>
  <c r="Q75" i="3"/>
  <c r="O75" i="3"/>
  <c r="N75" i="3"/>
  <c r="M75" i="3"/>
  <c r="L75" i="3"/>
  <c r="K75" i="3"/>
  <c r="I75" i="3"/>
  <c r="H75" i="3"/>
  <c r="F75" i="3"/>
  <c r="Q74" i="3"/>
  <c r="O74" i="3"/>
  <c r="N74" i="3"/>
  <c r="M74" i="3"/>
  <c r="L74" i="3"/>
  <c r="K74" i="3"/>
  <c r="I74" i="3"/>
  <c r="H74" i="3"/>
  <c r="F74" i="3"/>
  <c r="Q73" i="3"/>
  <c r="O73" i="3"/>
  <c r="N73" i="3"/>
  <c r="M73" i="3"/>
  <c r="L73" i="3"/>
  <c r="K73" i="3"/>
  <c r="I73" i="3"/>
  <c r="H73" i="3"/>
  <c r="F73" i="3"/>
  <c r="Q72" i="3"/>
  <c r="O72" i="3"/>
  <c r="N72" i="3"/>
  <c r="M72" i="3"/>
  <c r="L72" i="3"/>
  <c r="K72" i="3"/>
  <c r="I72" i="3"/>
  <c r="H72" i="3"/>
  <c r="F72" i="3"/>
  <c r="Q71" i="3"/>
  <c r="O71" i="3"/>
  <c r="N71" i="3"/>
  <c r="M71" i="3"/>
  <c r="L71" i="3"/>
  <c r="K71" i="3"/>
  <c r="I71" i="3"/>
  <c r="H71" i="3"/>
  <c r="F71" i="3"/>
  <c r="Q70" i="3"/>
  <c r="O70" i="3"/>
  <c r="N70" i="3"/>
  <c r="M70" i="3"/>
  <c r="L70" i="3"/>
  <c r="K70" i="3"/>
  <c r="E70" i="3" s="1"/>
  <c r="I70" i="3"/>
  <c r="H70" i="3"/>
  <c r="F70" i="3"/>
  <c r="Q69" i="3"/>
  <c r="O69" i="3"/>
  <c r="N69" i="3"/>
  <c r="M69" i="3"/>
  <c r="L69" i="3"/>
  <c r="K69" i="3"/>
  <c r="I69" i="3"/>
  <c r="H69" i="3"/>
  <c r="F69" i="3"/>
  <c r="Q68" i="3"/>
  <c r="O68" i="3"/>
  <c r="N68" i="3"/>
  <c r="M68" i="3"/>
  <c r="L68" i="3"/>
  <c r="K68" i="3"/>
  <c r="I68" i="3"/>
  <c r="H68" i="3"/>
  <c r="F68" i="3"/>
  <c r="Q67" i="3"/>
  <c r="O67" i="3"/>
  <c r="N67" i="3"/>
  <c r="M67" i="3"/>
  <c r="L67" i="3"/>
  <c r="K67" i="3"/>
  <c r="I67" i="3"/>
  <c r="H67" i="3"/>
  <c r="F67" i="3"/>
  <c r="Q66" i="3"/>
  <c r="O66" i="3"/>
  <c r="N66" i="3"/>
  <c r="M66" i="3"/>
  <c r="L66" i="3"/>
  <c r="K66" i="3"/>
  <c r="I66" i="3"/>
  <c r="H66" i="3"/>
  <c r="F66" i="3"/>
  <c r="Q65" i="3"/>
  <c r="O65" i="3"/>
  <c r="N65" i="3"/>
  <c r="M65" i="3"/>
  <c r="L65" i="3"/>
  <c r="K65" i="3"/>
  <c r="I65" i="3"/>
  <c r="H65" i="3"/>
  <c r="F65" i="3"/>
  <c r="Q64" i="3"/>
  <c r="O64" i="3"/>
  <c r="N64" i="3"/>
  <c r="M64" i="3"/>
  <c r="L64" i="3"/>
  <c r="K64" i="3"/>
  <c r="I64" i="3"/>
  <c r="H64" i="3"/>
  <c r="F64" i="3"/>
  <c r="Q63" i="3"/>
  <c r="O63" i="3"/>
  <c r="N63" i="3"/>
  <c r="M63" i="3"/>
  <c r="L63" i="3"/>
  <c r="K63" i="3"/>
  <c r="I63" i="3"/>
  <c r="H63" i="3"/>
  <c r="F63" i="3"/>
  <c r="Q62" i="3"/>
  <c r="O62" i="3"/>
  <c r="N62" i="3"/>
  <c r="M62" i="3"/>
  <c r="L62" i="3"/>
  <c r="K62" i="3"/>
  <c r="E62" i="3" s="1"/>
  <c r="I62" i="3"/>
  <c r="H62" i="3"/>
  <c r="F62" i="3"/>
  <c r="E4" i="3"/>
  <c r="H4" i="3"/>
  <c r="N8" i="3" s="1"/>
  <c r="Q155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0" i="3"/>
  <c r="Q9" i="3"/>
  <c r="Q7" i="3"/>
  <c r="E99" i="3" l="1"/>
  <c r="E100" i="3"/>
  <c r="E108" i="3"/>
  <c r="E138" i="3"/>
  <c r="E146" i="3"/>
  <c r="P146" i="3" s="1"/>
  <c r="E147" i="3"/>
  <c r="P151" i="3"/>
  <c r="E109" i="3"/>
  <c r="P109" i="3" s="1"/>
  <c r="E110" i="3"/>
  <c r="E117" i="3"/>
  <c r="E140" i="3"/>
  <c r="E141" i="3"/>
  <c r="E154" i="3"/>
  <c r="P154" i="3" s="1"/>
  <c r="E134" i="3"/>
  <c r="P134" i="3" s="1"/>
  <c r="E150" i="3"/>
  <c r="P150" i="3" s="1"/>
  <c r="P152" i="3"/>
  <c r="E135" i="3"/>
  <c r="E151" i="3"/>
  <c r="P153" i="3"/>
  <c r="E74" i="3"/>
  <c r="E82" i="3"/>
  <c r="E97" i="3"/>
  <c r="E98" i="3"/>
  <c r="E105" i="3"/>
  <c r="P105" i="3" s="1"/>
  <c r="E136" i="3"/>
  <c r="E125" i="3"/>
  <c r="P125" i="3" s="1"/>
  <c r="E126" i="3"/>
  <c r="E132" i="3"/>
  <c r="E107" i="3"/>
  <c r="E113" i="3"/>
  <c r="E120" i="3"/>
  <c r="E127" i="3"/>
  <c r="E142" i="3"/>
  <c r="E114" i="3"/>
  <c r="P114" i="3" s="1"/>
  <c r="E128" i="3"/>
  <c r="E149" i="3"/>
  <c r="E103" i="3"/>
  <c r="E104" i="3"/>
  <c r="E144" i="3"/>
  <c r="P144" i="3" s="1"/>
  <c r="E145" i="3"/>
  <c r="P145" i="3" s="1"/>
  <c r="E118" i="3"/>
  <c r="P118" i="3" s="1"/>
  <c r="P148" i="3"/>
  <c r="P147" i="3"/>
  <c r="P149" i="3"/>
  <c r="E93" i="3"/>
  <c r="P98" i="3"/>
  <c r="P104" i="3"/>
  <c r="E91" i="3"/>
  <c r="P91" i="3" s="1"/>
  <c r="E92" i="3"/>
  <c r="P94" i="3"/>
  <c r="P99" i="3"/>
  <c r="P111" i="3"/>
  <c r="P117" i="3"/>
  <c r="P122" i="3"/>
  <c r="P128" i="3"/>
  <c r="E131" i="3"/>
  <c r="E137" i="3"/>
  <c r="P137" i="3" s="1"/>
  <c r="P140" i="3"/>
  <c r="P135" i="3"/>
  <c r="P95" i="3"/>
  <c r="P106" i="3"/>
  <c r="E115" i="3"/>
  <c r="P115" i="3" s="1"/>
  <c r="E121" i="3"/>
  <c r="P121" i="3" s="1"/>
  <c r="E133" i="3"/>
  <c r="E116" i="3"/>
  <c r="P116" i="3" s="1"/>
  <c r="P119" i="3"/>
  <c r="P130" i="3"/>
  <c r="P136" i="3"/>
  <c r="E139" i="3"/>
  <c r="P139" i="3" s="1"/>
  <c r="P112" i="3"/>
  <c r="P96" i="3"/>
  <c r="P143" i="3"/>
  <c r="P92" i="3"/>
  <c r="P97" i="3"/>
  <c r="P103" i="3"/>
  <c r="P120" i="3"/>
  <c r="E123" i="3"/>
  <c r="P123" i="3" s="1"/>
  <c r="E129" i="3"/>
  <c r="P129" i="3" s="1"/>
  <c r="P132" i="3"/>
  <c r="E89" i="3"/>
  <c r="E90" i="3"/>
  <c r="P90" i="3" s="1"/>
  <c r="P93" i="3"/>
  <c r="E101" i="3"/>
  <c r="E102" i="3"/>
  <c r="P102" i="3" s="1"/>
  <c r="P110" i="3"/>
  <c r="E124" i="3"/>
  <c r="P124" i="3" s="1"/>
  <c r="P127" i="3"/>
  <c r="P133" i="3"/>
  <c r="P138" i="3"/>
  <c r="P100" i="3"/>
  <c r="P141" i="3"/>
  <c r="P89" i="3"/>
  <c r="P101" i="3"/>
  <c r="P142" i="3"/>
  <c r="P107" i="3"/>
  <c r="P113" i="3"/>
  <c r="P108" i="3"/>
  <c r="P126" i="3"/>
  <c r="P131" i="3"/>
  <c r="E63" i="3"/>
  <c r="E81" i="3"/>
  <c r="E87" i="3"/>
  <c r="P87" i="3" s="1"/>
  <c r="E73" i="3"/>
  <c r="P73" i="3" s="1"/>
  <c r="E67" i="3"/>
  <c r="P67" i="3" s="1"/>
  <c r="E68" i="3"/>
  <c r="P68" i="3" s="1"/>
  <c r="E76" i="3"/>
  <c r="E71" i="3"/>
  <c r="P71" i="3" s="1"/>
  <c r="E79" i="3"/>
  <c r="P79" i="3" s="1"/>
  <c r="E84" i="3"/>
  <c r="P84" i="3" s="1"/>
  <c r="H8" i="3"/>
  <c r="P8" i="3" s="1"/>
  <c r="E65" i="3"/>
  <c r="P65" i="3" s="1"/>
  <c r="E80" i="3"/>
  <c r="E69" i="3"/>
  <c r="P69" i="3" s="1"/>
  <c r="E75" i="3"/>
  <c r="P75" i="3" s="1"/>
  <c r="E64" i="3"/>
  <c r="P64" i="3" s="1"/>
  <c r="E88" i="3"/>
  <c r="E77" i="3"/>
  <c r="P77" i="3" s="1"/>
  <c r="E78" i="3"/>
  <c r="P78" i="3" s="1"/>
  <c r="E83" i="3"/>
  <c r="P83" i="3" s="1"/>
  <c r="P63" i="3"/>
  <c r="E66" i="3"/>
  <c r="P66" i="3" s="1"/>
  <c r="E72" i="3"/>
  <c r="P72" i="3" s="1"/>
  <c r="P81" i="3"/>
  <c r="P76" i="3"/>
  <c r="E85" i="3"/>
  <c r="P85" i="3" s="1"/>
  <c r="E86" i="3"/>
  <c r="P86" i="3" s="1"/>
  <c r="P62" i="3"/>
  <c r="P74" i="3"/>
  <c r="P80" i="3"/>
  <c r="P70" i="3"/>
  <c r="P82" i="3"/>
  <c r="P88" i="3"/>
  <c r="F45" i="10"/>
  <c r="F44" i="10"/>
  <c r="F43" i="10"/>
  <c r="F42" i="10"/>
  <c r="F41" i="10"/>
  <c r="F40" i="10"/>
  <c r="F39" i="10"/>
  <c r="F38" i="10"/>
  <c r="F52" i="10"/>
  <c r="F51" i="10"/>
  <c r="F50" i="10"/>
  <c r="F49" i="10"/>
  <c r="F48" i="10"/>
  <c r="F47" i="10"/>
  <c r="F46" i="10"/>
  <c r="F28" i="10"/>
  <c r="F27" i="10"/>
  <c r="F26" i="10"/>
  <c r="F25" i="10"/>
  <c r="F24" i="10"/>
  <c r="F23" i="10"/>
  <c r="F22" i="10"/>
  <c r="F21" i="10"/>
  <c r="F36" i="10"/>
  <c r="F35" i="10"/>
  <c r="F34" i="10"/>
  <c r="F33" i="10"/>
  <c r="F32" i="10"/>
  <c r="F31" i="10"/>
  <c r="F30" i="10"/>
  <c r="F29" i="10"/>
  <c r="F42" i="7"/>
  <c r="F41" i="7"/>
  <c r="F40" i="7"/>
  <c r="F46" i="7"/>
  <c r="F45" i="7"/>
  <c r="F44" i="7"/>
  <c r="F43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58" i="9"/>
  <c r="F57" i="9"/>
  <c r="F56" i="9"/>
  <c r="F55" i="9"/>
  <c r="F54" i="9"/>
  <c r="F53" i="9"/>
  <c r="F52" i="9"/>
  <c r="F51" i="9"/>
  <c r="F50" i="9"/>
  <c r="F50" i="6"/>
  <c r="F49" i="6"/>
  <c r="F48" i="6"/>
  <c r="F47" i="6"/>
  <c r="F46" i="6"/>
  <c r="F45" i="6"/>
  <c r="F44" i="6"/>
  <c r="F43" i="6"/>
  <c r="F42" i="6"/>
  <c r="F41" i="6"/>
  <c r="F40" i="6"/>
  <c r="F28" i="6"/>
  <c r="F27" i="6"/>
  <c r="F26" i="6"/>
  <c r="F25" i="6"/>
  <c r="F24" i="6"/>
  <c r="F23" i="6"/>
  <c r="F22" i="6"/>
  <c r="F21" i="6"/>
  <c r="F20" i="6"/>
  <c r="F19" i="6"/>
  <c r="F18" i="6"/>
  <c r="F39" i="6"/>
  <c r="F38" i="6"/>
  <c r="F37" i="6"/>
  <c r="F36" i="6"/>
  <c r="F35" i="6"/>
  <c r="F34" i="6"/>
  <c r="F33" i="6"/>
  <c r="F32" i="6"/>
  <c r="F31" i="6"/>
  <c r="F30" i="6"/>
  <c r="F29" i="6"/>
  <c r="F55" i="8"/>
  <c r="F54" i="8"/>
  <c r="F53" i="8"/>
  <c r="F52" i="8"/>
  <c r="F51" i="8"/>
  <c r="F50" i="8"/>
  <c r="F27" i="8"/>
  <c r="F26" i="8"/>
  <c r="F25" i="8"/>
  <c r="F24" i="8"/>
  <c r="F23" i="8"/>
  <c r="F22" i="8"/>
  <c r="F21" i="8"/>
  <c r="F20" i="8"/>
  <c r="F35" i="8"/>
  <c r="F34" i="8"/>
  <c r="F33" i="8"/>
  <c r="F32" i="8"/>
  <c r="F31" i="8"/>
  <c r="F30" i="8"/>
  <c r="F29" i="8"/>
  <c r="F28" i="8"/>
  <c r="F43" i="8"/>
  <c r="F42" i="8"/>
  <c r="F41" i="8"/>
  <c r="F40" i="8"/>
  <c r="F39" i="8"/>
  <c r="F38" i="8"/>
  <c r="F37" i="8"/>
  <c r="F36" i="8"/>
  <c r="F46" i="5"/>
  <c r="F45" i="5"/>
  <c r="F50" i="5"/>
  <c r="F49" i="5"/>
  <c r="F48" i="5"/>
  <c r="F47" i="5"/>
  <c r="F28" i="5"/>
  <c r="F27" i="5"/>
  <c r="F26" i="5"/>
  <c r="F25" i="5"/>
  <c r="F24" i="5"/>
  <c r="F23" i="5"/>
  <c r="F34" i="5"/>
  <c r="F33" i="5"/>
  <c r="F32" i="5"/>
  <c r="F31" i="5"/>
  <c r="F30" i="5"/>
  <c r="F29" i="5"/>
  <c r="F40" i="5"/>
  <c r="F39" i="5"/>
  <c r="F38" i="5"/>
  <c r="F37" i="5"/>
  <c r="F36" i="5"/>
  <c r="F35" i="5"/>
  <c r="F52" i="5"/>
  <c r="F51" i="5"/>
  <c r="F44" i="5"/>
  <c r="F43" i="5"/>
  <c r="F42" i="5"/>
  <c r="F41" i="5"/>
  <c r="F58" i="10"/>
  <c r="F57" i="10"/>
  <c r="F56" i="10"/>
  <c r="F55" i="10"/>
  <c r="F54" i="10"/>
  <c r="F53" i="10"/>
  <c r="F37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E8" i="10"/>
  <c r="F7" i="10"/>
  <c r="E7" i="10"/>
  <c r="B7" i="10"/>
  <c r="F5" i="10"/>
  <c r="E5" i="10"/>
  <c r="B5" i="10"/>
  <c r="F4" i="10"/>
  <c r="E4" i="10"/>
  <c r="F5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8" i="9"/>
  <c r="E8" i="9"/>
  <c r="F7" i="9"/>
  <c r="E7" i="9"/>
  <c r="F5" i="9"/>
  <c r="E5" i="9"/>
  <c r="B5" i="9"/>
  <c r="F4" i="9"/>
  <c r="E4" i="9"/>
  <c r="F59" i="8"/>
  <c r="F58" i="8"/>
  <c r="F57" i="8"/>
  <c r="F56" i="8"/>
  <c r="F49" i="8"/>
  <c r="F48" i="8"/>
  <c r="F47" i="8"/>
  <c r="F46" i="8"/>
  <c r="F45" i="8"/>
  <c r="F44" i="8"/>
  <c r="F19" i="8"/>
  <c r="F18" i="8"/>
  <c r="F17" i="8"/>
  <c r="F16" i="8"/>
  <c r="F15" i="8"/>
  <c r="F14" i="8"/>
  <c r="F13" i="8"/>
  <c r="F12" i="8"/>
  <c r="F11" i="8"/>
  <c r="F10" i="8"/>
  <c r="F8" i="8"/>
  <c r="E8" i="8"/>
  <c r="F7" i="8"/>
  <c r="E7" i="8"/>
  <c r="F5" i="8"/>
  <c r="E5" i="8"/>
  <c r="B5" i="8"/>
  <c r="F4" i="8"/>
  <c r="E4" i="8"/>
  <c r="E25" i="4"/>
  <c r="E17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E26" i="4" s="1"/>
  <c r="L25" i="4"/>
  <c r="L24" i="4"/>
  <c r="E24" i="4" s="1"/>
  <c r="L23" i="4"/>
  <c r="E23" i="4" s="1"/>
  <c r="L22" i="4"/>
  <c r="E22" i="4" s="1"/>
  <c r="L21" i="4"/>
  <c r="E21" i="4" s="1"/>
  <c r="L20" i="4"/>
  <c r="E20" i="4" s="1"/>
  <c r="L19" i="4"/>
  <c r="L18" i="4"/>
  <c r="E18" i="4" s="1"/>
  <c r="L17" i="4"/>
  <c r="L16" i="4"/>
  <c r="E16" i="4" s="1"/>
  <c r="L15" i="4"/>
  <c r="E15" i="4" s="1"/>
  <c r="L14" i="4"/>
  <c r="E14" i="4" s="1"/>
  <c r="L155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E19" i="4" s="1"/>
  <c r="K18" i="4"/>
  <c r="K17" i="4"/>
  <c r="K16" i="4"/>
  <c r="K15" i="4"/>
  <c r="K14" i="4"/>
  <c r="K155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E7" i="4"/>
  <c r="E8" i="5"/>
  <c r="E7" i="5"/>
  <c r="E5" i="5"/>
  <c r="E4" i="5"/>
  <c r="E8" i="6"/>
  <c r="E7" i="6"/>
  <c r="E5" i="6"/>
  <c r="E4" i="6"/>
  <c r="E7" i="7"/>
  <c r="E5" i="7"/>
  <c r="E4" i="7"/>
  <c r="E8" i="7"/>
  <c r="E19" i="3" l="1"/>
  <c r="E58" i="3"/>
  <c r="E27" i="4"/>
  <c r="E62" i="4"/>
  <c r="E31" i="4"/>
  <c r="E39" i="4"/>
  <c r="E47" i="4"/>
  <c r="E21" i="3"/>
  <c r="E18" i="3"/>
  <c r="E26" i="3"/>
  <c r="E22" i="3"/>
  <c r="E15" i="3"/>
  <c r="E23" i="3"/>
  <c r="E16" i="3"/>
  <c r="E24" i="3"/>
  <c r="E17" i="3"/>
  <c r="E25" i="3"/>
  <c r="E20" i="3"/>
  <c r="E31" i="3"/>
  <c r="E39" i="3"/>
  <c r="E47" i="3"/>
  <c r="E55" i="3"/>
  <c r="E32" i="3"/>
  <c r="E40" i="3"/>
  <c r="E48" i="3"/>
  <c r="E56" i="3"/>
  <c r="E34" i="3"/>
  <c r="E42" i="3"/>
  <c r="E50" i="3"/>
  <c r="E155" i="3"/>
  <c r="E27" i="3"/>
  <c r="E33" i="3"/>
  <c r="E41" i="3"/>
  <c r="E49" i="3"/>
  <c r="E57" i="3"/>
  <c r="E35" i="3"/>
  <c r="E43" i="3"/>
  <c r="E51" i="3"/>
  <c r="E59" i="3"/>
  <c r="E28" i="3"/>
  <c r="E36" i="3"/>
  <c r="E44" i="3"/>
  <c r="E52" i="3"/>
  <c r="E60" i="3"/>
  <c r="E29" i="3"/>
  <c r="E37" i="3"/>
  <c r="E45" i="3"/>
  <c r="E53" i="3"/>
  <c r="E61" i="3"/>
  <c r="E30" i="3"/>
  <c r="E38" i="3"/>
  <c r="E46" i="3"/>
  <c r="E54" i="3"/>
  <c r="E55" i="4"/>
  <c r="E28" i="4"/>
  <c r="E36" i="4"/>
  <c r="E44" i="4"/>
  <c r="E52" i="4"/>
  <c r="E60" i="4"/>
  <c r="E29" i="4"/>
  <c r="E37" i="4"/>
  <c r="E45" i="4"/>
  <c r="E53" i="4"/>
  <c r="E61" i="4"/>
  <c r="E30" i="4"/>
  <c r="E38" i="4"/>
  <c r="E46" i="4"/>
  <c r="E54" i="4"/>
  <c r="E32" i="4"/>
  <c r="E40" i="4"/>
  <c r="E48" i="4"/>
  <c r="E56" i="4"/>
  <c r="E33" i="4"/>
  <c r="E41" i="4"/>
  <c r="E49" i="4"/>
  <c r="E57" i="4"/>
  <c r="E34" i="4"/>
  <c r="E42" i="4"/>
  <c r="E50" i="4"/>
  <c r="E58" i="4"/>
  <c r="E35" i="4"/>
  <c r="E43" i="4"/>
  <c r="E51" i="4"/>
  <c r="E59" i="4"/>
  <c r="E14" i="3"/>
  <c r="H10" i="4" l="1"/>
  <c r="H6" i="4"/>
  <c r="N10" i="4"/>
  <c r="N9" i="4"/>
  <c r="N7" i="4"/>
  <c r="N6" i="4"/>
  <c r="H5" i="4"/>
  <c r="H4" i="4"/>
  <c r="H7" i="4" s="1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55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E6" i="3"/>
  <c r="E7" i="3"/>
  <c r="E6" i="4"/>
  <c r="L6" i="4" s="1"/>
  <c r="E10" i="4"/>
  <c r="L10" i="4" s="1"/>
  <c r="E9" i="4"/>
  <c r="O62" i="4"/>
  <c r="N62" i="4"/>
  <c r="M62" i="4"/>
  <c r="O61" i="4"/>
  <c r="N61" i="4"/>
  <c r="M61" i="4"/>
  <c r="O60" i="4"/>
  <c r="N60" i="4"/>
  <c r="M60" i="4"/>
  <c r="O59" i="4"/>
  <c r="N59" i="4"/>
  <c r="M59" i="4"/>
  <c r="O58" i="4"/>
  <c r="N58" i="4"/>
  <c r="M58" i="4"/>
  <c r="O57" i="4"/>
  <c r="N57" i="4"/>
  <c r="M57" i="4"/>
  <c r="O56" i="4"/>
  <c r="N56" i="4"/>
  <c r="M56" i="4"/>
  <c r="O55" i="4"/>
  <c r="N55" i="4"/>
  <c r="M55" i="4"/>
  <c r="O54" i="4"/>
  <c r="N54" i="4"/>
  <c r="M54" i="4"/>
  <c r="O53" i="4"/>
  <c r="N53" i="4"/>
  <c r="M53" i="4"/>
  <c r="O52" i="4"/>
  <c r="N52" i="4"/>
  <c r="M52" i="4"/>
  <c r="O51" i="4"/>
  <c r="N51" i="4"/>
  <c r="M51" i="4"/>
  <c r="O50" i="4"/>
  <c r="N50" i="4"/>
  <c r="M50" i="4"/>
  <c r="O49" i="4"/>
  <c r="N49" i="4"/>
  <c r="M49" i="4"/>
  <c r="O48" i="4"/>
  <c r="N48" i="4"/>
  <c r="M48" i="4"/>
  <c r="O47" i="4"/>
  <c r="N47" i="4"/>
  <c r="M47" i="4"/>
  <c r="O46" i="4"/>
  <c r="N46" i="4"/>
  <c r="M46" i="4"/>
  <c r="O45" i="4"/>
  <c r="N45" i="4"/>
  <c r="M45" i="4"/>
  <c r="O44" i="4"/>
  <c r="N44" i="4"/>
  <c r="M44" i="4"/>
  <c r="O43" i="4"/>
  <c r="N43" i="4"/>
  <c r="M43" i="4"/>
  <c r="O42" i="4"/>
  <c r="N42" i="4"/>
  <c r="M42" i="4"/>
  <c r="O41" i="4"/>
  <c r="N41" i="4"/>
  <c r="M41" i="4"/>
  <c r="O40" i="4"/>
  <c r="N40" i="4"/>
  <c r="M40" i="4"/>
  <c r="O39" i="4"/>
  <c r="N39" i="4"/>
  <c r="M39" i="4"/>
  <c r="O38" i="4"/>
  <c r="N38" i="4"/>
  <c r="M38" i="4"/>
  <c r="O37" i="4"/>
  <c r="N37" i="4"/>
  <c r="M37" i="4"/>
  <c r="O36" i="4"/>
  <c r="N36" i="4"/>
  <c r="M36" i="4"/>
  <c r="O35" i="4"/>
  <c r="N35" i="4"/>
  <c r="M35" i="4"/>
  <c r="O34" i="4"/>
  <c r="N34" i="4"/>
  <c r="M34" i="4"/>
  <c r="O33" i="4"/>
  <c r="N33" i="4"/>
  <c r="M33" i="4"/>
  <c r="O32" i="4"/>
  <c r="N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O27" i="4"/>
  <c r="N27" i="4"/>
  <c r="M27" i="4"/>
  <c r="O26" i="4"/>
  <c r="N26" i="4"/>
  <c r="M26" i="4"/>
  <c r="O25" i="4"/>
  <c r="N25" i="4"/>
  <c r="M25" i="4"/>
  <c r="O24" i="4"/>
  <c r="N24" i="4"/>
  <c r="M24" i="4"/>
  <c r="O23" i="4"/>
  <c r="N23" i="4"/>
  <c r="M23" i="4"/>
  <c r="O22" i="4"/>
  <c r="N22" i="4"/>
  <c r="M22" i="4"/>
  <c r="O21" i="4"/>
  <c r="N21" i="4"/>
  <c r="M21" i="4"/>
  <c r="O20" i="4"/>
  <c r="N20" i="4"/>
  <c r="M20" i="4"/>
  <c r="O19" i="4"/>
  <c r="N19" i="4"/>
  <c r="M19" i="4"/>
  <c r="O18" i="4"/>
  <c r="N18" i="4"/>
  <c r="M18" i="4"/>
  <c r="O17" i="4"/>
  <c r="N17" i="4"/>
  <c r="M17" i="4"/>
  <c r="O16" i="4"/>
  <c r="N16" i="4"/>
  <c r="M16" i="4"/>
  <c r="O15" i="4"/>
  <c r="N15" i="4"/>
  <c r="M15" i="4"/>
  <c r="O14" i="4"/>
  <c r="N14" i="4"/>
  <c r="M14" i="4"/>
  <c r="O10" i="4"/>
  <c r="M10" i="4"/>
  <c r="O9" i="4"/>
  <c r="M9" i="4"/>
  <c r="L9" i="4"/>
  <c r="O7" i="4"/>
  <c r="M7" i="4"/>
  <c r="L7" i="4"/>
  <c r="O6" i="4"/>
  <c r="M6" i="4"/>
  <c r="E9" i="3"/>
  <c r="E10" i="3"/>
  <c r="N155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8" i="4" l="1"/>
  <c r="H8" i="4"/>
  <c r="P8" i="4" s="1"/>
  <c r="H9" i="4"/>
  <c r="O155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0" i="3"/>
  <c r="O9" i="3"/>
  <c r="O7" i="3"/>
  <c r="O6" i="3"/>
  <c r="M155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0" i="3"/>
  <c r="M9" i="3"/>
  <c r="M7" i="3"/>
  <c r="M6" i="3"/>
  <c r="L10" i="3"/>
  <c r="L9" i="3"/>
  <c r="L7" i="3"/>
  <c r="L6" i="3"/>
  <c r="F10" i="4"/>
  <c r="P10" i="4" s="1"/>
  <c r="F9" i="4"/>
  <c r="P9" i="4" s="1"/>
  <c r="F7" i="4"/>
  <c r="P7" i="4" s="1"/>
  <c r="F6" i="4"/>
  <c r="P6" i="4" s="1"/>
  <c r="F14" i="4"/>
  <c r="F10" i="3"/>
  <c r="F9" i="3"/>
  <c r="F7" i="3"/>
  <c r="F6" i="3"/>
  <c r="H5" i="3"/>
  <c r="H1" i="3"/>
  <c r="H2" i="3"/>
  <c r="K1" i="3" s="1"/>
  <c r="H2" i="4"/>
  <c r="K1" i="4" s="1"/>
  <c r="H1" i="4"/>
  <c r="B7" i="7"/>
  <c r="B5" i="7"/>
  <c r="B5" i="6"/>
  <c r="B5" i="5"/>
  <c r="H10" i="3" l="1"/>
  <c r="P10" i="3" s="1"/>
  <c r="N10" i="3"/>
  <c r="H9" i="3"/>
  <c r="P9" i="3" s="1"/>
  <c r="N9" i="3"/>
  <c r="H7" i="3"/>
  <c r="P7" i="3" s="1"/>
  <c r="N7" i="3"/>
  <c r="H6" i="3"/>
  <c r="P6" i="3" s="1"/>
  <c r="N6" i="3"/>
  <c r="D13" i="3"/>
  <c r="E13" i="3" s="1"/>
  <c r="F8" i="7"/>
  <c r="F7" i="7"/>
  <c r="F8" i="6"/>
  <c r="D12" i="3"/>
  <c r="E12" i="3" s="1"/>
  <c r="F7" i="6"/>
  <c r="F58" i="7"/>
  <c r="F57" i="7"/>
  <c r="F56" i="7"/>
  <c r="F55" i="7"/>
  <c r="F54" i="7"/>
  <c r="F53" i="7"/>
  <c r="F52" i="7"/>
  <c r="F51" i="7"/>
  <c r="F50" i="7"/>
  <c r="F49" i="7"/>
  <c r="F48" i="7"/>
  <c r="F47" i="7"/>
  <c r="F17" i="7"/>
  <c r="F16" i="7"/>
  <c r="F15" i="7"/>
  <c r="F14" i="7"/>
  <c r="F13" i="7"/>
  <c r="F12" i="7"/>
  <c r="F11" i="7"/>
  <c r="F10" i="7"/>
  <c r="F9" i="7"/>
  <c r="F5" i="7"/>
  <c r="F4" i="7"/>
  <c r="F58" i="6"/>
  <c r="F57" i="6"/>
  <c r="F56" i="6"/>
  <c r="F55" i="6"/>
  <c r="F54" i="6"/>
  <c r="F53" i="6"/>
  <c r="F52" i="6"/>
  <c r="F51" i="6"/>
  <c r="F17" i="6"/>
  <c r="F16" i="6"/>
  <c r="F15" i="6"/>
  <c r="F14" i="6"/>
  <c r="F13" i="6"/>
  <c r="F12" i="6"/>
  <c r="F11" i="6"/>
  <c r="F10" i="6"/>
  <c r="F5" i="6"/>
  <c r="F4" i="6"/>
  <c r="F59" i="5"/>
  <c r="F58" i="5"/>
  <c r="F57" i="5"/>
  <c r="F56" i="5"/>
  <c r="F55" i="5"/>
  <c r="F54" i="5"/>
  <c r="F5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8" i="5"/>
  <c r="F7" i="5"/>
  <c r="F5" i="5"/>
  <c r="F4" i="5"/>
  <c r="I62" i="4"/>
  <c r="F62" i="4"/>
  <c r="P62" i="4" s="1"/>
  <c r="I61" i="4"/>
  <c r="F61" i="4"/>
  <c r="P61" i="4" s="1"/>
  <c r="I60" i="4"/>
  <c r="F60" i="4"/>
  <c r="P60" i="4" s="1"/>
  <c r="I59" i="4"/>
  <c r="F59" i="4"/>
  <c r="P59" i="4" s="1"/>
  <c r="I58" i="4"/>
  <c r="F58" i="4"/>
  <c r="P58" i="4" s="1"/>
  <c r="I57" i="4"/>
  <c r="F57" i="4"/>
  <c r="P57" i="4" s="1"/>
  <c r="I56" i="4"/>
  <c r="F56" i="4"/>
  <c r="P56" i="4" s="1"/>
  <c r="I55" i="4"/>
  <c r="F55" i="4"/>
  <c r="P55" i="4" s="1"/>
  <c r="I54" i="4"/>
  <c r="F54" i="4"/>
  <c r="P54" i="4" s="1"/>
  <c r="I53" i="4"/>
  <c r="F53" i="4"/>
  <c r="P53" i="4" s="1"/>
  <c r="I52" i="4"/>
  <c r="F52" i="4"/>
  <c r="P52" i="4" s="1"/>
  <c r="I51" i="4"/>
  <c r="F51" i="4"/>
  <c r="P51" i="4" s="1"/>
  <c r="I50" i="4"/>
  <c r="F50" i="4"/>
  <c r="P50" i="4" s="1"/>
  <c r="I49" i="4"/>
  <c r="F49" i="4"/>
  <c r="P49" i="4" s="1"/>
  <c r="I48" i="4"/>
  <c r="F48" i="4"/>
  <c r="P48" i="4" s="1"/>
  <c r="I47" i="4"/>
  <c r="F47" i="4"/>
  <c r="P47" i="4" s="1"/>
  <c r="I46" i="4"/>
  <c r="F46" i="4"/>
  <c r="P46" i="4" s="1"/>
  <c r="I45" i="4"/>
  <c r="F45" i="4"/>
  <c r="P45" i="4" s="1"/>
  <c r="I44" i="4"/>
  <c r="F44" i="4"/>
  <c r="P44" i="4" s="1"/>
  <c r="I43" i="4"/>
  <c r="F43" i="4"/>
  <c r="P43" i="4" s="1"/>
  <c r="I42" i="4"/>
  <c r="F42" i="4"/>
  <c r="P42" i="4" s="1"/>
  <c r="I41" i="4"/>
  <c r="F41" i="4"/>
  <c r="P41" i="4" s="1"/>
  <c r="I40" i="4"/>
  <c r="F40" i="4"/>
  <c r="P40" i="4" s="1"/>
  <c r="I39" i="4"/>
  <c r="F39" i="4"/>
  <c r="P39" i="4" s="1"/>
  <c r="I38" i="4"/>
  <c r="F38" i="4"/>
  <c r="P38" i="4" s="1"/>
  <c r="I37" i="4"/>
  <c r="F37" i="4"/>
  <c r="P37" i="4" s="1"/>
  <c r="I36" i="4"/>
  <c r="F36" i="4"/>
  <c r="P36" i="4" s="1"/>
  <c r="I35" i="4"/>
  <c r="F35" i="4"/>
  <c r="P35" i="4" s="1"/>
  <c r="I34" i="4"/>
  <c r="F34" i="4"/>
  <c r="P34" i="4" s="1"/>
  <c r="I33" i="4"/>
  <c r="F33" i="4"/>
  <c r="P33" i="4" s="1"/>
  <c r="I32" i="4"/>
  <c r="F32" i="4"/>
  <c r="P32" i="4" s="1"/>
  <c r="I31" i="4"/>
  <c r="F31" i="4"/>
  <c r="P31" i="4" s="1"/>
  <c r="I30" i="4"/>
  <c r="F30" i="4"/>
  <c r="P30" i="4" s="1"/>
  <c r="I29" i="4"/>
  <c r="F29" i="4"/>
  <c r="P29" i="4" s="1"/>
  <c r="I28" i="4"/>
  <c r="F28" i="4"/>
  <c r="P28" i="4" s="1"/>
  <c r="I27" i="4"/>
  <c r="F27" i="4"/>
  <c r="P27" i="4" s="1"/>
  <c r="I26" i="4"/>
  <c r="F26" i="4"/>
  <c r="P26" i="4" s="1"/>
  <c r="I25" i="4"/>
  <c r="F25" i="4"/>
  <c r="P25" i="4" s="1"/>
  <c r="I24" i="4"/>
  <c r="F24" i="4"/>
  <c r="P24" i="4" s="1"/>
  <c r="I23" i="4"/>
  <c r="F23" i="4"/>
  <c r="P23" i="4" s="1"/>
  <c r="I22" i="4"/>
  <c r="F22" i="4"/>
  <c r="P22" i="4" s="1"/>
  <c r="I21" i="4"/>
  <c r="F21" i="4"/>
  <c r="P21" i="4" s="1"/>
  <c r="I20" i="4"/>
  <c r="F20" i="4"/>
  <c r="P20" i="4" s="1"/>
  <c r="I19" i="4"/>
  <c r="F19" i="4"/>
  <c r="P19" i="4" s="1"/>
  <c r="I18" i="4"/>
  <c r="F18" i="4"/>
  <c r="P18" i="4" s="1"/>
  <c r="I17" i="4"/>
  <c r="F17" i="4"/>
  <c r="P17" i="4" s="1"/>
  <c r="I16" i="4"/>
  <c r="F16" i="4"/>
  <c r="P16" i="4" s="1"/>
  <c r="I15" i="4"/>
  <c r="F15" i="4"/>
  <c r="P15" i="4" s="1"/>
  <c r="I14" i="4"/>
  <c r="P14" i="4" s="1"/>
  <c r="I5" i="4"/>
  <c r="F5" i="4"/>
  <c r="F4" i="4"/>
  <c r="I155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5" i="3"/>
  <c r="E5" i="3"/>
  <c r="F4" i="3"/>
  <c r="P4" i="3" s="1"/>
  <c r="F5" i="3"/>
  <c r="F11" i="3"/>
  <c r="F12" i="3"/>
  <c r="F13" i="3"/>
  <c r="F14" i="3"/>
  <c r="P14" i="3" s="1"/>
  <c r="F15" i="3"/>
  <c r="F16" i="3"/>
  <c r="F17" i="3"/>
  <c r="F18" i="3"/>
  <c r="P18" i="3" s="1"/>
  <c r="F19" i="3"/>
  <c r="F20" i="3"/>
  <c r="F21" i="3"/>
  <c r="F22" i="3"/>
  <c r="P22" i="3" s="1"/>
  <c r="F23" i="3"/>
  <c r="F24" i="3"/>
  <c r="F25" i="3"/>
  <c r="F26" i="3"/>
  <c r="P26" i="3" s="1"/>
  <c r="F27" i="3"/>
  <c r="P27" i="3" s="1"/>
  <c r="F28" i="3"/>
  <c r="F29" i="3"/>
  <c r="F30" i="3"/>
  <c r="P30" i="3" s="1"/>
  <c r="F31" i="3"/>
  <c r="F32" i="3"/>
  <c r="F33" i="3"/>
  <c r="F34" i="3"/>
  <c r="P34" i="3" s="1"/>
  <c r="F35" i="3"/>
  <c r="P35" i="3" s="1"/>
  <c r="F36" i="3"/>
  <c r="F37" i="3"/>
  <c r="F38" i="3"/>
  <c r="P38" i="3" s="1"/>
  <c r="F39" i="3"/>
  <c r="F40" i="3"/>
  <c r="F41" i="3"/>
  <c r="F42" i="3"/>
  <c r="P42" i="3" s="1"/>
  <c r="F43" i="3"/>
  <c r="P43" i="3" s="1"/>
  <c r="F44" i="3"/>
  <c r="F45" i="3"/>
  <c r="F46" i="3"/>
  <c r="P46" i="3" s="1"/>
  <c r="F47" i="3"/>
  <c r="F48" i="3"/>
  <c r="F49" i="3"/>
  <c r="F50" i="3"/>
  <c r="P50" i="3" s="1"/>
  <c r="F51" i="3"/>
  <c r="P51" i="3" s="1"/>
  <c r="F52" i="3"/>
  <c r="F53" i="3"/>
  <c r="F54" i="3"/>
  <c r="P54" i="3" s="1"/>
  <c r="F55" i="3"/>
  <c r="F56" i="3"/>
  <c r="F57" i="3"/>
  <c r="F58" i="3"/>
  <c r="P58" i="3" s="1"/>
  <c r="F59" i="3"/>
  <c r="P59" i="3" s="1"/>
  <c r="F60" i="3"/>
  <c r="F61" i="3"/>
  <c r="F155" i="3"/>
  <c r="P155" i="3" s="1"/>
  <c r="P53" i="3" l="1"/>
  <c r="P37" i="3"/>
  <c r="P29" i="3"/>
  <c r="P21" i="3"/>
  <c r="P61" i="3"/>
  <c r="P45" i="3"/>
  <c r="P60" i="3"/>
  <c r="P52" i="3"/>
  <c r="P44" i="3"/>
  <c r="P36" i="3"/>
  <c r="P4" i="4"/>
  <c r="P5" i="3"/>
  <c r="P57" i="3"/>
  <c r="P49" i="3"/>
  <c r="P41" i="3"/>
  <c r="P33" i="3"/>
  <c r="P25" i="3"/>
  <c r="P17" i="3"/>
  <c r="P56" i="3"/>
  <c r="P48" i="3"/>
  <c r="P40" i="3"/>
  <c r="P32" i="3"/>
  <c r="P24" i="3"/>
  <c r="P16" i="3"/>
  <c r="P39" i="3"/>
  <c r="P15" i="3"/>
  <c r="P55" i="3"/>
  <c r="P47" i="3"/>
  <c r="P31" i="3"/>
  <c r="P23" i="3"/>
  <c r="P28" i="3"/>
  <c r="P20" i="3"/>
  <c r="P19" i="3"/>
  <c r="E4" i="4"/>
  <c r="E5" i="4"/>
  <c r="P5" i="4" s="1"/>
  <c r="D11" i="3" l="1"/>
  <c r="E11" i="3" s="1"/>
</calcChain>
</file>

<file path=xl/sharedStrings.xml><?xml version="1.0" encoding="utf-8"?>
<sst xmlns="http://schemas.openxmlformats.org/spreadsheetml/2006/main" count="165" uniqueCount="33">
  <si>
    <t>常食</t>
  </si>
  <si>
    <t>出汁</t>
  </si>
  <si>
    <t>10人</t>
  </si>
  <si>
    <t>1人</t>
  </si>
  <si>
    <t>g</t>
  </si>
  <si>
    <t>%</t>
  </si>
  <si>
    <t>薄味</t>
  </si>
  <si>
    <t>ソフト食</t>
  </si>
  <si>
    <t>1人（C. フリーズ分も同様）</t>
  </si>
  <si>
    <t>10人（C. フリーズ分も同様）</t>
  </si>
  <si>
    <t>注文数</t>
  </si>
  <si>
    <t>端数</t>
  </si>
  <si>
    <t>ミキサー食</t>
  </si>
  <si>
    <t>ゼリー食</t>
  </si>
  <si>
    <t>ミキサー合計</t>
  </si>
  <si>
    <t>ゼリー合計</t>
  </si>
  <si>
    <t>ソフト合計</t>
  </si>
  <si>
    <t>人（針刺し用）</t>
  </si>
  <si>
    <t>人</t>
  </si>
  <si>
    <t>人（針刺し用）</t>
    <phoneticPr fontId="3"/>
  </si>
  <si>
    <t>人（保存用）</t>
    <rPh sb="2" eb="4">
      <t xml:space="preserve">ホゾｎ </t>
    </rPh>
    <phoneticPr fontId="3"/>
  </si>
  <si>
    <t>ミキサー合計</t>
    <phoneticPr fontId="3"/>
  </si>
  <si>
    <t>ゼリー合計</t>
    <phoneticPr fontId="3"/>
  </si>
  <si>
    <t>袋数</t>
    <rPh sb="0" eb="1">
      <t>フクロ</t>
    </rPh>
    <rPh sb="1" eb="2">
      <t>スウ</t>
    </rPh>
    <phoneticPr fontId="3"/>
  </si>
  <si>
    <t>人前(針刺し用)</t>
    <rPh sb="0" eb="2">
      <t>ニンマエ</t>
    </rPh>
    <rPh sb="3" eb="5">
      <t>ハリサ</t>
    </rPh>
    <rPh sb="6" eb="7">
      <t>ヨウ</t>
    </rPh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</si>
  <si>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</si>
  <si>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人前(写真用)</t>
    <rPh sb="0" eb="2">
      <t>ニンマエ</t>
    </rPh>
    <rPh sb="3" eb="5">
      <t>シャシン</t>
    </rPh>
    <rPh sb="5" eb="6">
      <t>ヨウ</t>
    </rPh>
    <phoneticPr fontId="3"/>
  </si>
  <si>
    <t>袋数</t>
  </si>
  <si>
    <t>合計</t>
  </si>
  <si>
    <t>g</t>
    <phoneticPr fontId="3"/>
  </si>
  <si>
    <t>合計</t>
    <rPh sb="0" eb="2">
      <t>ゴウケイ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</si>
  <si>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</si>
  <si>
    <t>人（保存用50g）</t>
    <rPh sb="2" eb="4">
      <t>ホゾン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</si>
</sst>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21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6"/>
      <color theme="1"/>
      <name val="Meiryo"/>
      <family val="2"/>
      <charset val="128"/>
    </font>
    <font>
      <b/>
      <sz val="18"/>
      <color theme="1"/>
      <name val="Meiryo"/>
      <family val="3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4"/>
      <color theme="1"/>
      <name val="Meiryo"/>
      <charset val="128"/>
    </font>
    <font>
      <b/>
      <sz val="24"/>
      <color theme="1"/>
      <name val="Meiryo"/>
      <charset val="128"/>
    </font>
    <font>
      <sz val="22"/>
      <color theme="1"/>
      <name val="Meiryo"/>
      <family val="2"/>
      <charset val="128"/>
    </font>
    <font>
      <sz val="22"/>
      <color theme="1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medium">
        <color auto="1"/>
      </right>
      <top style="double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3" borderId="13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1" fillId="4" borderId="17" xfId="0" applyFont="1" applyFill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 shrinkToFit="1"/>
    </xf>
    <xf numFmtId="0" fontId="1" fillId="0" borderId="3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" fillId="2" borderId="36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0" fontId="4" fillId="3" borderId="45" xfId="0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3" borderId="14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shrinkToFit="1"/>
    </xf>
    <xf numFmtId="0" fontId="4" fillId="3" borderId="16" xfId="0" applyFont="1" applyFill="1" applyBorder="1" applyAlignment="1">
      <alignment horizontal="center" vertical="center" shrinkToFit="1"/>
    </xf>
    <xf numFmtId="176" fontId="4" fillId="0" borderId="2" xfId="0" applyNumberFormat="1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4" fillId="3" borderId="15" xfId="0" applyFont="1" applyFill="1" applyBorder="1" applyAlignment="1">
      <alignment horizontal="center" vertical="center" shrinkToFit="1"/>
    </xf>
    <xf numFmtId="177" fontId="8" fillId="3" borderId="35" xfId="0" applyNumberFormat="1" applyFont="1" applyFill="1" applyBorder="1" applyAlignment="1">
      <alignment horizontal="center" vertical="center" shrinkToFit="1"/>
    </xf>
    <xf numFmtId="177" fontId="8" fillId="3" borderId="3" xfId="0" applyNumberFormat="1" applyFont="1" applyFill="1" applyBorder="1" applyAlignment="1">
      <alignment horizontal="center" vertical="center" shrinkToFit="1"/>
    </xf>
    <xf numFmtId="177" fontId="8" fillId="3" borderId="11" xfId="0" applyNumberFormat="1" applyFont="1" applyFill="1" applyBorder="1" applyAlignment="1">
      <alignment horizontal="center" vertical="center" shrinkToFit="1"/>
    </xf>
    <xf numFmtId="177" fontId="8" fillId="3" borderId="12" xfId="0" applyNumberFormat="1" applyFont="1" applyFill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1" fontId="8" fillId="0" borderId="27" xfId="0" applyNumberFormat="1" applyFont="1" applyBorder="1" applyAlignment="1">
      <alignment horizontal="center" vertical="center" shrinkToFit="1"/>
    </xf>
    <xf numFmtId="1" fontId="8" fillId="0" borderId="29" xfId="0" applyNumberFormat="1" applyFont="1" applyBorder="1" applyAlignment="1">
      <alignment horizontal="center" vertical="center" shrinkToFit="1"/>
    </xf>
    <xf numFmtId="1" fontId="8" fillId="0" borderId="28" xfId="0" applyNumberFormat="1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76" fontId="12" fillId="0" borderId="26" xfId="0" applyNumberFormat="1" applyFont="1" applyBorder="1" applyAlignment="1">
      <alignment horizontal="right" vertical="center" shrinkToFit="1"/>
    </xf>
    <xf numFmtId="1" fontId="12" fillId="0" borderId="26" xfId="0" applyNumberFormat="1" applyFont="1" applyBorder="1" applyAlignment="1">
      <alignment horizontal="right" vertical="center" shrinkToFit="1"/>
    </xf>
    <xf numFmtId="0" fontId="13" fillId="2" borderId="10" xfId="0" applyFont="1" applyFill="1" applyBorder="1" applyAlignment="1">
      <alignment horizontal="center" vertical="center" shrinkToFit="1"/>
    </xf>
    <xf numFmtId="1" fontId="14" fillId="2" borderId="28" xfId="0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4" fillId="2" borderId="52" xfId="0" applyFont="1" applyFill="1" applyBorder="1" applyAlignment="1">
      <alignment horizontal="center" vertical="center" shrinkToFit="1"/>
    </xf>
    <xf numFmtId="0" fontId="14" fillId="0" borderId="9" xfId="0" applyFont="1" applyBorder="1" applyAlignment="1">
      <alignment vertical="center" shrinkToFit="1"/>
    </xf>
    <xf numFmtId="1" fontId="15" fillId="0" borderId="1" xfId="0" applyNumberFormat="1" applyFont="1" applyBorder="1" applyAlignment="1">
      <alignment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0" xfId="0" applyFont="1" applyBorder="1" applyAlignment="1">
      <alignment vertical="center" shrinkToFit="1"/>
    </xf>
    <xf numFmtId="1" fontId="15" fillId="0" borderId="11" xfId="0" applyNumberFormat="1" applyFont="1" applyBorder="1" applyAlignment="1">
      <alignment vertical="center" shrinkToFit="1"/>
    </xf>
    <xf numFmtId="0" fontId="14" fillId="0" borderId="24" xfId="0" applyFont="1" applyBorder="1" applyAlignment="1">
      <alignment horizontal="right" vertical="center" shrinkToFit="1"/>
    </xf>
    <xf numFmtId="0" fontId="15" fillId="0" borderId="25" xfId="0" applyFont="1" applyBorder="1" applyAlignment="1">
      <alignment vertical="center"/>
    </xf>
    <xf numFmtId="0" fontId="14" fillId="0" borderId="43" xfId="0" applyFont="1" applyBorder="1" applyAlignment="1">
      <alignment vertical="center" shrinkToFit="1"/>
    </xf>
    <xf numFmtId="1" fontId="15" fillId="0" borderId="35" xfId="0" applyNumberFormat="1" applyFont="1" applyBorder="1" applyAlignment="1">
      <alignment vertical="center" shrinkToFit="1"/>
    </xf>
    <xf numFmtId="0" fontId="14" fillId="0" borderId="21" xfId="0" applyFont="1" applyBorder="1" applyAlignment="1">
      <alignment horizontal="right" vertical="center" shrinkToFit="1"/>
    </xf>
    <xf numFmtId="0" fontId="15" fillId="0" borderId="2" xfId="0" applyFont="1" applyBorder="1" applyAlignment="1">
      <alignment vertical="center"/>
    </xf>
    <xf numFmtId="0" fontId="14" fillId="0" borderId="20" xfId="0" applyFont="1" applyBorder="1" applyAlignment="1">
      <alignment horizontal="right" vertical="center" shrinkToFit="1"/>
    </xf>
    <xf numFmtId="0" fontId="15" fillId="0" borderId="17" xfId="0" applyFont="1" applyBorder="1" applyAlignment="1">
      <alignment vertical="center"/>
    </xf>
    <xf numFmtId="1" fontId="15" fillId="0" borderId="3" xfId="0" applyNumberFormat="1" applyFont="1" applyBorder="1" applyAlignment="1">
      <alignment vertical="center" shrinkToFit="1"/>
    </xf>
    <xf numFmtId="0" fontId="14" fillId="0" borderId="7" xfId="0" applyFont="1" applyBorder="1" applyAlignment="1">
      <alignment vertical="center" shrinkToFit="1"/>
    </xf>
    <xf numFmtId="0" fontId="14" fillId="0" borderId="22" xfId="0" applyFont="1" applyBorder="1" applyAlignment="1">
      <alignment vertical="center" shrinkToFit="1"/>
    </xf>
    <xf numFmtId="0" fontId="14" fillId="0" borderId="4" xfId="0" applyFont="1" applyBorder="1" applyAlignment="1">
      <alignment vertical="center" shrinkToFit="1"/>
    </xf>
    <xf numFmtId="0" fontId="14" fillId="0" borderId="23" xfId="0" applyFont="1" applyBorder="1" applyAlignment="1">
      <alignment vertical="center" shrinkToFit="1"/>
    </xf>
    <xf numFmtId="0" fontId="14" fillId="0" borderId="18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1" fontId="15" fillId="0" borderId="12" xfId="0" applyNumberFormat="1" applyFont="1" applyBorder="1" applyAlignment="1">
      <alignment vertical="center" shrinkToFit="1"/>
    </xf>
    <xf numFmtId="1" fontId="16" fillId="3" borderId="1" xfId="0" applyNumberFormat="1" applyFont="1" applyFill="1" applyBorder="1" applyAlignment="1">
      <alignment vertical="center" shrinkToFit="1"/>
    </xf>
    <xf numFmtId="1" fontId="16" fillId="3" borderId="11" xfId="0" applyNumberFormat="1" applyFont="1" applyFill="1" applyBorder="1" applyAlignment="1">
      <alignment vertical="center" shrinkToFit="1"/>
    </xf>
    <xf numFmtId="1" fontId="16" fillId="3" borderId="35" xfId="0" applyNumberFormat="1" applyFont="1" applyFill="1" applyBorder="1" applyAlignment="1">
      <alignment vertical="center" shrinkToFit="1"/>
    </xf>
    <xf numFmtId="1" fontId="16" fillId="3" borderId="3" xfId="0" applyNumberFormat="1" applyFont="1" applyFill="1" applyBorder="1" applyAlignment="1">
      <alignment vertical="center" shrinkToFit="1"/>
    </xf>
    <xf numFmtId="1" fontId="16" fillId="3" borderId="12" xfId="0" applyNumberFormat="1" applyFont="1" applyFill="1" applyBorder="1" applyAlignment="1">
      <alignment vertical="center" shrinkToFit="1"/>
    </xf>
    <xf numFmtId="0" fontId="17" fillId="0" borderId="53" xfId="0" applyFont="1" applyBorder="1" applyAlignment="1">
      <alignment horizontal="center" vertical="center" shrinkToFit="1"/>
    </xf>
    <xf numFmtId="0" fontId="17" fillId="0" borderId="36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shrinkToFit="1"/>
    </xf>
    <xf numFmtId="0" fontId="18" fillId="0" borderId="41" xfId="0" applyFont="1" applyBorder="1" applyAlignment="1">
      <alignment horizontal="center" vertical="center" shrinkToFit="1"/>
    </xf>
    <xf numFmtId="0" fontId="18" fillId="0" borderId="36" xfId="0" applyFont="1" applyBorder="1" applyAlignment="1">
      <alignment horizontal="center" vertical="center" shrinkToFit="1"/>
    </xf>
    <xf numFmtId="0" fontId="18" fillId="0" borderId="42" xfId="0" applyFont="1" applyBorder="1" applyAlignment="1">
      <alignment horizontal="center" vertical="center" shrinkToFit="1"/>
    </xf>
    <xf numFmtId="0" fontId="13" fillId="4" borderId="10" xfId="0" applyFont="1" applyFill="1" applyBorder="1" applyAlignment="1">
      <alignment horizontal="center" vertical="center" shrinkToFit="1"/>
    </xf>
    <xf numFmtId="1" fontId="14" fillId="4" borderId="28" xfId="0" applyNumberFormat="1" applyFont="1" applyFill="1" applyBorder="1" applyAlignment="1">
      <alignment horizontal="center" vertical="center" shrinkToFit="1"/>
    </xf>
    <xf numFmtId="1" fontId="14" fillId="0" borderId="0" xfId="0" applyNumberFormat="1" applyFont="1" applyAlignment="1">
      <alignment horizontal="center" vertical="center" shrinkToFit="1"/>
    </xf>
    <xf numFmtId="0" fontId="14" fillId="0" borderId="21" xfId="0" applyFont="1" applyBorder="1" applyAlignment="1">
      <alignment vertical="center" shrinkToFit="1"/>
    </xf>
    <xf numFmtId="0" fontId="14" fillId="0" borderId="2" xfId="0" applyFont="1" applyBorder="1" applyAlignment="1">
      <alignment vertical="center" shrinkToFit="1"/>
    </xf>
    <xf numFmtId="0" fontId="13" fillId="0" borderId="24" xfId="0" applyFont="1" applyBorder="1" applyAlignment="1">
      <alignment horizontal="right" vertical="center" shrinkToFit="1"/>
    </xf>
    <xf numFmtId="0" fontId="13" fillId="0" borderId="25" xfId="0" applyFont="1" applyBorder="1" applyAlignment="1">
      <alignment horizontal="left" vertical="center" shrinkToFit="1"/>
    </xf>
    <xf numFmtId="1" fontId="15" fillId="0" borderId="1" xfId="0" applyNumberFormat="1" applyFont="1" applyBorder="1" applyAlignment="1">
      <alignment horizontal="right" vertical="center" shrinkToFit="1"/>
    </xf>
    <xf numFmtId="0" fontId="14" fillId="0" borderId="31" xfId="0" applyFont="1" applyBorder="1" applyAlignment="1">
      <alignment horizontal="right" vertical="center" shrinkToFit="1"/>
    </xf>
    <xf numFmtId="0" fontId="14" fillId="0" borderId="32" xfId="0" applyFont="1" applyBorder="1" applyAlignment="1">
      <alignment horizontal="left" vertical="center" shrinkToFit="1"/>
    </xf>
    <xf numFmtId="0" fontId="14" fillId="0" borderId="33" xfId="0" applyFont="1" applyBorder="1" applyAlignment="1">
      <alignment horizontal="right" vertical="center" shrinkToFit="1"/>
    </xf>
    <xf numFmtId="1" fontId="15" fillId="0" borderId="34" xfId="0" applyNumberFormat="1" applyFont="1" applyBorder="1" applyAlignment="1">
      <alignment horizontal="right" vertical="center" shrinkToFit="1"/>
    </xf>
    <xf numFmtId="1" fontId="15" fillId="0" borderId="35" xfId="0" applyNumberFormat="1" applyFont="1" applyBorder="1" applyAlignment="1">
      <alignment horizontal="right" vertical="center" shrinkToFit="1"/>
    </xf>
    <xf numFmtId="0" fontId="13" fillId="0" borderId="4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 shrinkToFit="1"/>
    </xf>
    <xf numFmtId="0" fontId="13" fillId="0" borderId="36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 shrinkToFit="1"/>
    </xf>
    <xf numFmtId="0" fontId="14" fillId="0" borderId="33" xfId="0" applyFont="1" applyBorder="1" applyAlignment="1">
      <alignment vertical="center" shrinkToFit="1"/>
    </xf>
    <xf numFmtId="0" fontId="19" fillId="0" borderId="49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17" xfId="0" applyFont="1" applyBorder="1" applyAlignment="1">
      <alignment horizontal="center" vertical="center" shrinkToFit="1"/>
    </xf>
    <xf numFmtId="0" fontId="19" fillId="0" borderId="2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shrinkToFit="1"/>
    </xf>
    <xf numFmtId="0" fontId="19" fillId="0" borderId="46" xfId="0" applyFont="1" applyBorder="1" applyAlignment="1">
      <alignment horizontal="center" vertical="center" shrinkToFit="1"/>
    </xf>
    <xf numFmtId="0" fontId="19" fillId="3" borderId="15" xfId="0" applyFont="1" applyFill="1" applyBorder="1" applyAlignment="1">
      <alignment horizontal="center" vertical="center" shrinkToFit="1"/>
    </xf>
    <xf numFmtId="0" fontId="20" fillId="3" borderId="14" xfId="0" applyFont="1" applyFill="1" applyBorder="1" applyAlignment="1">
      <alignment horizontal="center" vertical="center" shrinkToFit="1"/>
    </xf>
    <xf numFmtId="0" fontId="20" fillId="3" borderId="45" xfId="0" applyFont="1" applyFill="1" applyBorder="1" applyAlignment="1">
      <alignment horizontal="center" vertical="center" shrinkToFit="1"/>
    </xf>
    <xf numFmtId="0" fontId="20" fillId="3" borderId="15" xfId="0" applyFont="1" applyFill="1" applyBorder="1" applyAlignment="1">
      <alignment horizontal="center" vertical="center" shrinkToFit="1"/>
    </xf>
    <xf numFmtId="0" fontId="19" fillId="3" borderId="13" xfId="0" applyFont="1" applyFill="1" applyBorder="1" applyAlignment="1">
      <alignment horizontal="center" vertical="center" shrinkToFit="1"/>
    </xf>
    <xf numFmtId="0" fontId="19" fillId="3" borderId="16" xfId="0" applyFont="1" applyFill="1" applyBorder="1" applyAlignment="1">
      <alignment horizontal="center" vertical="center" shrinkToFit="1"/>
    </xf>
    <xf numFmtId="0" fontId="19" fillId="0" borderId="37" xfId="0" applyFont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 shrinkToFit="1"/>
    </xf>
    <xf numFmtId="0" fontId="19" fillId="0" borderId="38" xfId="0" applyFont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 shrinkToFit="1"/>
    </xf>
    <xf numFmtId="0" fontId="19" fillId="0" borderId="29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1" fontId="15" fillId="0" borderId="27" xfId="0" applyNumberFormat="1" applyFont="1" applyBorder="1" applyAlignment="1">
      <alignment horizontal="center" vertical="center" shrinkToFit="1"/>
    </xf>
    <xf numFmtId="176" fontId="19" fillId="0" borderId="2" xfId="0" applyNumberFormat="1" applyFont="1" applyBorder="1" applyAlignment="1">
      <alignment horizontal="center" vertical="center" shrinkToFit="1"/>
    </xf>
    <xf numFmtId="1" fontId="15" fillId="0" borderId="29" xfId="0" applyNumberFormat="1" applyFont="1" applyBorder="1" applyAlignment="1">
      <alignment horizontal="center" vertical="center" shrinkToFit="1"/>
    </xf>
    <xf numFmtId="1" fontId="15" fillId="0" borderId="28" xfId="0" applyNumberFormat="1" applyFont="1" applyBorder="1" applyAlignment="1">
      <alignment horizontal="center" vertical="center" shrinkToFit="1"/>
    </xf>
    <xf numFmtId="0" fontId="4" fillId="0" borderId="54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center" vertical="center" shrinkToFit="1"/>
    </xf>
    <xf numFmtId="1" fontId="15" fillId="0" borderId="30" xfId="0" applyNumberFormat="1" applyFont="1" applyBorder="1" applyAlignment="1">
      <alignment horizontal="center" vertical="center" shrinkToFit="1"/>
    </xf>
    <xf numFmtId="1" fontId="15" fillId="0" borderId="44" xfId="0" applyNumberFormat="1" applyFont="1" applyBorder="1" applyAlignment="1">
      <alignment horizontal="center" vertical="center" shrinkToFit="1"/>
    </xf>
    <xf numFmtId="1" fontId="14" fillId="2" borderId="11" xfId="0" applyNumberFormat="1" applyFont="1" applyFill="1" applyBorder="1" applyAlignment="1">
      <alignment horizontal="center" vertical="center" shrinkToFit="1"/>
    </xf>
    <xf numFmtId="1" fontId="14" fillId="2" borderId="14" xfId="0" applyNumberFormat="1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" fontId="14" fillId="2" borderId="17" xfId="0" applyNumberFormat="1" applyFont="1" applyFill="1" applyBorder="1" applyAlignment="1">
      <alignment horizontal="center" vertical="center" shrinkToFit="1"/>
    </xf>
    <xf numFmtId="0" fontId="15" fillId="0" borderId="24" xfId="0" applyFont="1" applyBorder="1" applyAlignment="1">
      <alignment horizontal="center" shrinkToFit="1"/>
    </xf>
    <xf numFmtId="0" fontId="15" fillId="0" borderId="25" xfId="0" applyFont="1" applyBorder="1" applyAlignment="1">
      <alignment horizontal="center" shrinkToFit="1"/>
    </xf>
    <xf numFmtId="0" fontId="14" fillId="0" borderId="24" xfId="0" applyFont="1" applyBorder="1" applyAlignment="1">
      <alignment horizontal="left" vertical="center" shrinkToFit="1"/>
    </xf>
    <xf numFmtId="0" fontId="14" fillId="0" borderId="25" xfId="0" applyFont="1" applyBorder="1" applyAlignment="1">
      <alignment horizontal="left" vertical="center" shrinkToFit="1"/>
    </xf>
    <xf numFmtId="0" fontId="14" fillId="0" borderId="20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1" fontId="14" fillId="5" borderId="11" xfId="0" applyNumberFormat="1" applyFont="1" applyFill="1" applyBorder="1" applyAlignment="1">
      <alignment horizontal="center" vertical="center" shrinkToFit="1"/>
    </xf>
    <xf numFmtId="1" fontId="14" fillId="5" borderId="14" xfId="0" applyNumberFormat="1" applyFont="1" applyFill="1" applyBorder="1" applyAlignment="1">
      <alignment horizontal="center" vertical="center" shrinkToFit="1"/>
    </xf>
    <xf numFmtId="1" fontId="14" fillId="4" borderId="11" xfId="0" applyNumberFormat="1" applyFont="1" applyFill="1" applyBorder="1" applyAlignment="1">
      <alignment horizontal="center" vertical="center" shrinkToFit="1"/>
    </xf>
    <xf numFmtId="1" fontId="14" fillId="4" borderId="17" xfId="0" applyNumberFormat="1" applyFont="1" applyFill="1" applyBorder="1" applyAlignment="1">
      <alignment horizontal="center" vertical="center" shrinkToFit="1"/>
    </xf>
    <xf numFmtId="1" fontId="14" fillId="4" borderId="14" xfId="0" applyNumberFormat="1" applyFont="1" applyFill="1" applyBorder="1" applyAlignment="1">
      <alignment horizontal="center" vertical="center" shrinkToFit="1"/>
    </xf>
    <xf numFmtId="0" fontId="15" fillId="0" borderId="21" xfId="0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1" fontId="6" fillId="2" borderId="11" xfId="0" applyNumberFormat="1" applyFont="1" applyFill="1" applyBorder="1" applyAlignment="1">
      <alignment horizontal="center" vertical="center" shrinkToFit="1"/>
    </xf>
    <xf numFmtId="1" fontId="6" fillId="2" borderId="28" xfId="0" applyNumberFormat="1" applyFont="1" applyFill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sheetPr>
    <pageSetUpPr fitToPage="1"/>
  </sheetPr>
  <dimension ref="B1:Q168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5.6640625" style="8" hidden="1" customWidth="1"/>
    <col min="8" max="8" width="11.6640625" style="5" customWidth="1"/>
    <col min="9" max="9" width="5.6640625" style="8" customWidth="1"/>
    <col min="10" max="10" width="2.88671875" style="4" hidden="1" customWidth="1"/>
    <col min="11" max="11" width="7.6640625" style="4" customWidth="1"/>
    <col min="12" max="12" width="7.33203125" style="4" hidden="1" customWidth="1"/>
    <col min="13" max="13" width="4.44140625" style="4" hidden="1" customWidth="1"/>
    <col min="14" max="14" width="8.21875" style="4" hidden="1" customWidth="1"/>
    <col min="15" max="15" width="4.33203125" style="4" hidden="1" customWidth="1"/>
    <col min="16" max="16" width="11.6640625" style="4" customWidth="1"/>
    <col min="17" max="17" width="5.6640625" style="4" customWidth="1"/>
    <col min="18" max="16384" width="13.109375" style="3"/>
  </cols>
  <sheetData>
    <row r="1" spans="2:17" ht="48" customHeight="1" thickBot="1">
      <c r="B1" s="161" t="s">
        <v>0</v>
      </c>
      <c r="C1" s="151"/>
      <c r="D1" s="151"/>
      <c r="E1" s="151"/>
      <c r="F1" s="151"/>
      <c r="G1" s="59"/>
      <c r="H1" s="151">
        <f>G1</f>
        <v>0</v>
      </c>
      <c r="I1" s="151"/>
      <c r="J1" s="59"/>
      <c r="K1" s="59" t="str">
        <f>IF(H2="",IF(G2&gt;0, G2&amp;"%",""),"")</f>
        <v/>
      </c>
      <c r="L1" s="20"/>
      <c r="M1" s="20"/>
      <c r="N1" s="20"/>
      <c r="O1" s="20"/>
      <c r="P1" s="20"/>
      <c r="Q1" s="20"/>
    </row>
    <row r="2" spans="2:17" ht="50.1" customHeight="1" thickBot="1">
      <c r="B2" s="152"/>
      <c r="C2" s="153"/>
      <c r="D2" s="153"/>
      <c r="E2" s="60"/>
      <c r="F2" s="116" t="s">
        <v>4</v>
      </c>
      <c r="G2" s="22"/>
      <c r="H2" s="61" t="str">
        <f>IF($G$2="","",G2)</f>
        <v/>
      </c>
      <c r="I2" s="122" t="s">
        <v>5</v>
      </c>
      <c r="J2" s="36"/>
      <c r="K2" s="56"/>
      <c r="L2" s="46"/>
      <c r="M2" s="46"/>
      <c r="N2" s="46"/>
      <c r="O2" s="47"/>
      <c r="P2" s="140"/>
      <c r="Q2" s="141"/>
    </row>
    <row r="3" spans="2:17" s="4" customFormat="1" ht="36" customHeight="1" thickBot="1">
      <c r="B3" s="10"/>
      <c r="C3" s="11"/>
      <c r="D3" s="62" t="s">
        <v>11</v>
      </c>
      <c r="E3" s="145" t="s">
        <v>0</v>
      </c>
      <c r="F3" s="154"/>
      <c r="G3" s="63"/>
      <c r="H3" s="145" t="s">
        <v>1</v>
      </c>
      <c r="I3" s="146"/>
      <c r="J3" s="64"/>
      <c r="K3" s="65" t="s">
        <v>27</v>
      </c>
      <c r="L3" s="147" t="s">
        <v>28</v>
      </c>
      <c r="M3" s="147"/>
      <c r="N3" s="147"/>
      <c r="O3" s="148"/>
      <c r="P3" s="145" t="s">
        <v>30</v>
      </c>
      <c r="Q3" s="146"/>
    </row>
    <row r="4" spans="2:17" ht="36" customHeight="1" thickTop="1">
      <c r="B4" s="157" t="s">
        <v>8</v>
      </c>
      <c r="C4" s="158"/>
      <c r="D4" s="66">
        <v>1</v>
      </c>
      <c r="E4" s="67">
        <f>D4*$E$2</f>
        <v>0</v>
      </c>
      <c r="F4" s="117" t="str">
        <f>$F$2</f>
        <v>g</v>
      </c>
      <c r="G4" s="16"/>
      <c r="H4" s="87" t="str">
        <f>IF($G$3="", "", E4*$G$3%)</f>
        <v/>
      </c>
      <c r="I4" s="123" t="s">
        <v>4</v>
      </c>
      <c r="K4" s="92"/>
      <c r="L4" s="48"/>
      <c r="M4" s="25"/>
      <c r="N4" s="26"/>
      <c r="O4" s="27"/>
      <c r="P4" s="144">
        <f>IF(F4="g", IF(I4="g", IFERROR(E4+H4, 0), 0), 0)</f>
        <v>0</v>
      </c>
      <c r="Q4" s="119" t="s">
        <v>29</v>
      </c>
    </row>
    <row r="5" spans="2:17" ht="36" customHeight="1" thickBot="1">
      <c r="B5" s="159" t="s">
        <v>9</v>
      </c>
      <c r="C5" s="160"/>
      <c r="D5" s="69">
        <v>10</v>
      </c>
      <c r="E5" s="70">
        <f>D5*$E$2</f>
        <v>0</v>
      </c>
      <c r="F5" s="118" t="str">
        <f t="shared" ref="F5:F155" si="0">$F$2</f>
        <v>g</v>
      </c>
      <c r="G5" s="17"/>
      <c r="H5" s="88" t="str">
        <f>IF($G$3="", "", E5*$G$3%)</f>
        <v/>
      </c>
      <c r="I5" s="124" t="str">
        <f>$I$4</f>
        <v>g</v>
      </c>
      <c r="K5" s="93"/>
      <c r="L5" s="49"/>
      <c r="M5" s="28"/>
      <c r="N5" s="29"/>
      <c r="O5" s="30"/>
      <c r="P5" s="138">
        <f t="shared" ref="P5:P155" si="1">IF(F5="g", IF(I5="g", IFERROR(E5+H5, 0), 0), 0)</f>
        <v>0</v>
      </c>
      <c r="Q5" s="142" t="s">
        <v>29</v>
      </c>
    </row>
    <row r="6" spans="2:17" ht="36" customHeight="1" thickTop="1">
      <c r="B6" s="71">
        <v>30</v>
      </c>
      <c r="C6" s="72" t="s">
        <v>24</v>
      </c>
      <c r="D6" s="73">
        <v>1</v>
      </c>
      <c r="E6" s="74">
        <f>B6*$E$2</f>
        <v>0</v>
      </c>
      <c r="F6" s="119" t="str">
        <f t="shared" si="0"/>
        <v>g</v>
      </c>
      <c r="G6" s="24"/>
      <c r="H6" s="89">
        <f>IF(K6=0, 0, IFERROR(B6*$H$4, 0))</f>
        <v>0</v>
      </c>
      <c r="I6" s="125" t="s">
        <v>4</v>
      </c>
      <c r="K6" s="94">
        <v>2</v>
      </c>
      <c r="L6" s="50">
        <f>E6*K6</f>
        <v>0</v>
      </c>
      <c r="M6" s="35" t="str">
        <f>$F$2</f>
        <v>g</v>
      </c>
      <c r="N6" s="42">
        <f>IFERROR(K6*B6*$H$4, 0)</f>
        <v>0</v>
      </c>
      <c r="O6" s="27" t="str">
        <f>$I$4</f>
        <v>g</v>
      </c>
      <c r="P6" s="135">
        <f t="shared" si="1"/>
        <v>0</v>
      </c>
      <c r="Q6" s="136" t="s">
        <v>29</v>
      </c>
    </row>
    <row r="7" spans="2:17" ht="36" customHeight="1">
      <c r="B7" s="75">
        <v>10</v>
      </c>
      <c r="C7" s="76" t="s">
        <v>25</v>
      </c>
      <c r="D7" s="66">
        <v>1</v>
      </c>
      <c r="E7" s="67">
        <f>B7*$E$2</f>
        <v>0</v>
      </c>
      <c r="F7" s="117" t="str">
        <f t="shared" si="0"/>
        <v>g</v>
      </c>
      <c r="G7" s="16"/>
      <c r="H7" s="87">
        <f>IF(K7=0, 0, IFERROR(B7*$H$4, 0))</f>
        <v>0</v>
      </c>
      <c r="I7" s="126" t="s">
        <v>4</v>
      </c>
      <c r="K7" s="95">
        <v>3</v>
      </c>
      <c r="L7" s="51">
        <f>E7*K7</f>
        <v>0</v>
      </c>
      <c r="M7" s="31" t="str">
        <f t="shared" ref="M7:M10" si="2">$F$2</f>
        <v>g</v>
      </c>
      <c r="N7" s="43">
        <f>IFERROR(K7*B7*$H$4, 0)</f>
        <v>0</v>
      </c>
      <c r="O7" s="33" t="str">
        <f t="shared" ref="O7:O155" si="3">$I$4</f>
        <v>g</v>
      </c>
      <c r="P7" s="137">
        <f t="shared" si="1"/>
        <v>0</v>
      </c>
      <c r="Q7" s="120" t="str">
        <f t="shared" ref="Q7:Q10" si="4">$F$2</f>
        <v>g</v>
      </c>
    </row>
    <row r="8" spans="2:17" ht="36" customHeight="1">
      <c r="B8" s="75">
        <v>1</v>
      </c>
      <c r="C8" s="76" t="s">
        <v>31</v>
      </c>
      <c r="D8" s="66">
        <v>1</v>
      </c>
      <c r="E8" s="67">
        <v>50</v>
      </c>
      <c r="F8" s="117" t="str">
        <f t="shared" si="0"/>
        <v>g</v>
      </c>
      <c r="G8" s="16"/>
      <c r="H8" s="87">
        <f>IF(K8=0, 0, IFERROR(B8*$H$4, 0))</f>
        <v>0</v>
      </c>
      <c r="I8" s="126" t="s">
        <v>4</v>
      </c>
      <c r="K8" s="95">
        <v>1</v>
      </c>
      <c r="L8" s="51">
        <f>E8*K8</f>
        <v>50</v>
      </c>
      <c r="M8" s="31" t="str">
        <f t="shared" si="2"/>
        <v>g</v>
      </c>
      <c r="N8" s="43">
        <f>IFERROR(K8*B8*$H$4, 0)</f>
        <v>0</v>
      </c>
      <c r="O8" s="33" t="str">
        <f t="shared" si="3"/>
        <v>g</v>
      </c>
      <c r="P8" s="137">
        <f t="shared" ref="P8" si="5">IF(F8="g", IF(I8="g", IFERROR(E8+H8, 0), 0), 0)</f>
        <v>50</v>
      </c>
      <c r="Q8" s="120" t="str">
        <f t="shared" si="4"/>
        <v>g</v>
      </c>
    </row>
    <row r="9" spans="2:17" ht="36" customHeight="1">
      <c r="B9" s="75">
        <v>1</v>
      </c>
      <c r="C9" s="76" t="s">
        <v>25</v>
      </c>
      <c r="D9" s="66">
        <v>1</v>
      </c>
      <c r="E9" s="67">
        <f t="shared" ref="E9" si="6">$K9*$E$2</f>
        <v>0</v>
      </c>
      <c r="F9" s="117" t="str">
        <f t="shared" si="0"/>
        <v>g</v>
      </c>
      <c r="G9" s="16"/>
      <c r="H9" s="87">
        <f>IF(K9=0, 0, IFERROR(B9*$H$4, 0))</f>
        <v>0</v>
      </c>
      <c r="I9" s="126" t="s">
        <v>4</v>
      </c>
      <c r="K9" s="95">
        <v>1</v>
      </c>
      <c r="L9" s="51">
        <f>E9*K9</f>
        <v>0</v>
      </c>
      <c r="M9" s="31" t="str">
        <f t="shared" si="2"/>
        <v>g</v>
      </c>
      <c r="N9" s="43">
        <f>IFERROR(K9*B9*$H$4, 0)</f>
        <v>0</v>
      </c>
      <c r="O9" s="33" t="str">
        <f t="shared" si="3"/>
        <v>g</v>
      </c>
      <c r="P9" s="137">
        <f t="shared" si="1"/>
        <v>0</v>
      </c>
      <c r="Q9" s="120" t="str">
        <f t="shared" si="4"/>
        <v>g</v>
      </c>
    </row>
    <row r="10" spans="2:17" ht="36" customHeight="1" thickBot="1">
      <c r="B10" s="77">
        <v>1</v>
      </c>
      <c r="C10" s="78" t="s">
        <v>26</v>
      </c>
      <c r="D10" s="69">
        <v>1</v>
      </c>
      <c r="E10" s="70">
        <f>$K10*$E$2</f>
        <v>0</v>
      </c>
      <c r="F10" s="118" t="str">
        <f t="shared" si="0"/>
        <v>g</v>
      </c>
      <c r="G10" s="17"/>
      <c r="H10" s="88">
        <f>IF(K10=0, 0, IFERROR(B10*$H$4, 0))</f>
        <v>0</v>
      </c>
      <c r="I10" s="124" t="s">
        <v>4</v>
      </c>
      <c r="K10" s="96">
        <v>1</v>
      </c>
      <c r="L10" s="52">
        <f>E10*K10</f>
        <v>0</v>
      </c>
      <c r="M10" s="28" t="str">
        <f t="shared" si="2"/>
        <v>g</v>
      </c>
      <c r="N10" s="44">
        <f>IFERROR(K10*B10*$H$4, 0)</f>
        <v>0</v>
      </c>
      <c r="O10" s="30" t="str">
        <f t="shared" si="3"/>
        <v>g</v>
      </c>
      <c r="P10" s="138">
        <f t="shared" si="1"/>
        <v>0</v>
      </c>
      <c r="Q10" s="118" t="str">
        <f t="shared" si="4"/>
        <v>g</v>
      </c>
    </row>
    <row r="11" spans="2:17" ht="36" customHeight="1" thickTop="1">
      <c r="B11" s="155" t="s">
        <v>16</v>
      </c>
      <c r="C11" s="156"/>
      <c r="D11" s="66">
        <f>ソフト!D8</f>
        <v>0</v>
      </c>
      <c r="E11" s="67">
        <f>$E$2*D11</f>
        <v>0</v>
      </c>
      <c r="F11" s="117" t="str">
        <f t="shared" si="0"/>
        <v>g</v>
      </c>
      <c r="G11" s="16"/>
      <c r="H11" s="87"/>
      <c r="I11" s="12"/>
      <c r="K11" s="94"/>
      <c r="L11" s="53"/>
      <c r="M11" s="39"/>
      <c r="N11" s="40"/>
      <c r="O11" s="41"/>
      <c r="P11" s="135"/>
      <c r="Q11" s="117"/>
    </row>
    <row r="12" spans="2:17" ht="36" customHeight="1">
      <c r="B12" s="149" t="s">
        <v>14</v>
      </c>
      <c r="C12" s="150"/>
      <c r="D12" s="66">
        <f>ミキサー!D8</f>
        <v>0</v>
      </c>
      <c r="E12" s="79">
        <f>$E$2*D12</f>
        <v>0</v>
      </c>
      <c r="F12" s="120" t="str">
        <f t="shared" si="0"/>
        <v>g</v>
      </c>
      <c r="G12" s="18"/>
      <c r="H12" s="90"/>
      <c r="I12" s="13"/>
      <c r="K12" s="95"/>
      <c r="L12" s="54"/>
      <c r="M12" s="31"/>
      <c r="N12" s="32"/>
      <c r="O12" s="33"/>
      <c r="P12" s="137"/>
      <c r="Q12" s="120"/>
    </row>
    <row r="13" spans="2:17" ht="36" customHeight="1">
      <c r="B13" s="149" t="s">
        <v>15</v>
      </c>
      <c r="C13" s="150"/>
      <c r="D13" s="80">
        <f>ゼリー!D8</f>
        <v>0</v>
      </c>
      <c r="E13" s="79">
        <f>$E$2*D13</f>
        <v>0</v>
      </c>
      <c r="F13" s="120" t="str">
        <f t="shared" si="0"/>
        <v>g</v>
      </c>
      <c r="G13" s="18"/>
      <c r="H13" s="90"/>
      <c r="I13" s="13"/>
      <c r="K13" s="95"/>
      <c r="L13" s="54"/>
      <c r="M13" s="31"/>
      <c r="N13" s="32"/>
      <c r="O13" s="33"/>
      <c r="P13" s="137"/>
      <c r="Q13" s="120"/>
    </row>
    <row r="14" spans="2:17" ht="36" customHeight="1">
      <c r="B14" s="81"/>
      <c r="C14" s="82"/>
      <c r="D14" s="80"/>
      <c r="E14" s="79" t="str">
        <f>IFERROR(L14/K14,  IF(D14="", "", 0))</f>
        <v/>
      </c>
      <c r="F14" s="120" t="str">
        <f t="shared" si="0"/>
        <v>g</v>
      </c>
      <c r="G14" s="18"/>
      <c r="H14" s="90" t="str">
        <f>IF($G$3="", "", IF(E14="", "", E14*$G$3%))</f>
        <v/>
      </c>
      <c r="I14" s="127" t="str">
        <f t="shared" ref="I14:I155" si="7">$I$4</f>
        <v>g</v>
      </c>
      <c r="K14" s="95">
        <f>IF(AND(D14="", B14&lt;&gt;""), 1, ROUNDUP(D14/30,0))</f>
        <v>0</v>
      </c>
      <c r="L14" s="54">
        <f>IF(AND(D14="", B14&lt;&gt;""), $E$2, D14*$E$2)</f>
        <v>0</v>
      </c>
      <c r="M14" s="31" t="str">
        <f t="shared" ref="M14:M155" si="8">$F$2</f>
        <v>g</v>
      </c>
      <c r="N14" s="43" t="str">
        <f>IF($G$3="", "", L14*$G$3%)</f>
        <v/>
      </c>
      <c r="O14" s="33" t="str">
        <f t="shared" si="3"/>
        <v>g</v>
      </c>
      <c r="P14" s="137">
        <f t="shared" si="1"/>
        <v>0</v>
      </c>
      <c r="Q14" s="120" t="str">
        <f t="shared" ref="Q14:Q155" si="9">$F$2</f>
        <v>g</v>
      </c>
    </row>
    <row r="15" spans="2:17" ht="36" customHeight="1">
      <c r="B15" s="81"/>
      <c r="C15" s="82"/>
      <c r="D15" s="80"/>
      <c r="E15" s="79" t="str">
        <f t="shared" ref="E15:E155" si="10">IFERROR(L15/K15,  IF(D15="", "", 0))</f>
        <v/>
      </c>
      <c r="F15" s="120" t="str">
        <f t="shared" si="0"/>
        <v>g</v>
      </c>
      <c r="G15" s="18"/>
      <c r="H15" s="90" t="str">
        <f t="shared" ref="H15:H155" si="11">IF($G$3="", "", IF(E15="", "", E15*$G$3%))</f>
        <v/>
      </c>
      <c r="I15" s="127" t="str">
        <f t="shared" si="7"/>
        <v>g</v>
      </c>
      <c r="K15" s="95">
        <f t="shared" ref="K15:K155" si="12">IF(AND(D15="", B15&lt;&gt;""), 1, ROUNDUP(D15/30,0))</f>
        <v>0</v>
      </c>
      <c r="L15" s="54">
        <f t="shared" ref="L15:L155" si="13">IF(AND(D15="", B15&lt;&gt;""), $E$2, D15*$E$2)</f>
        <v>0</v>
      </c>
      <c r="M15" s="31" t="str">
        <f t="shared" si="8"/>
        <v>g</v>
      </c>
      <c r="N15" s="43" t="str">
        <f t="shared" ref="N15:N155" si="14">IF($G$3="", "", L15*$G$3%)</f>
        <v/>
      </c>
      <c r="O15" s="33" t="str">
        <f t="shared" si="3"/>
        <v>g</v>
      </c>
      <c r="P15" s="137">
        <f t="shared" si="1"/>
        <v>0</v>
      </c>
      <c r="Q15" s="120" t="str">
        <f t="shared" si="9"/>
        <v>g</v>
      </c>
    </row>
    <row r="16" spans="2:17" ht="36" customHeight="1">
      <c r="B16" s="81"/>
      <c r="C16" s="82"/>
      <c r="D16" s="80"/>
      <c r="E16" s="79" t="str">
        <f t="shared" si="10"/>
        <v/>
      </c>
      <c r="F16" s="120" t="str">
        <f t="shared" si="0"/>
        <v>g</v>
      </c>
      <c r="G16" s="18"/>
      <c r="H16" s="90" t="str">
        <f t="shared" si="11"/>
        <v/>
      </c>
      <c r="I16" s="127" t="str">
        <f t="shared" si="7"/>
        <v>g</v>
      </c>
      <c r="K16" s="95">
        <f t="shared" si="12"/>
        <v>0</v>
      </c>
      <c r="L16" s="54">
        <f t="shared" si="13"/>
        <v>0</v>
      </c>
      <c r="M16" s="31" t="str">
        <f t="shared" si="8"/>
        <v>g</v>
      </c>
      <c r="N16" s="43" t="str">
        <f t="shared" si="14"/>
        <v/>
      </c>
      <c r="O16" s="33" t="str">
        <f t="shared" si="3"/>
        <v>g</v>
      </c>
      <c r="P16" s="137">
        <f t="shared" si="1"/>
        <v>0</v>
      </c>
      <c r="Q16" s="120" t="str">
        <f t="shared" si="9"/>
        <v>g</v>
      </c>
    </row>
    <row r="17" spans="2:17" ht="36" customHeight="1">
      <c r="B17" s="81"/>
      <c r="C17" s="82"/>
      <c r="D17" s="80"/>
      <c r="E17" s="79" t="str">
        <f t="shared" si="10"/>
        <v/>
      </c>
      <c r="F17" s="120" t="str">
        <f t="shared" si="0"/>
        <v>g</v>
      </c>
      <c r="G17" s="18"/>
      <c r="H17" s="90" t="str">
        <f t="shared" si="11"/>
        <v/>
      </c>
      <c r="I17" s="127" t="str">
        <f t="shared" si="7"/>
        <v>g</v>
      </c>
      <c r="K17" s="95">
        <f t="shared" si="12"/>
        <v>0</v>
      </c>
      <c r="L17" s="54">
        <f t="shared" si="13"/>
        <v>0</v>
      </c>
      <c r="M17" s="31" t="str">
        <f t="shared" si="8"/>
        <v>g</v>
      </c>
      <c r="N17" s="43" t="str">
        <f t="shared" si="14"/>
        <v/>
      </c>
      <c r="O17" s="33" t="str">
        <f t="shared" si="3"/>
        <v>g</v>
      </c>
      <c r="P17" s="137">
        <f t="shared" si="1"/>
        <v>0</v>
      </c>
      <c r="Q17" s="120" t="str">
        <f t="shared" si="9"/>
        <v>g</v>
      </c>
    </row>
    <row r="18" spans="2:17" ht="36" customHeight="1">
      <c r="B18" s="81"/>
      <c r="C18" s="82"/>
      <c r="D18" s="80"/>
      <c r="E18" s="79" t="str">
        <f t="shared" si="10"/>
        <v/>
      </c>
      <c r="F18" s="120" t="str">
        <f t="shared" si="0"/>
        <v>g</v>
      </c>
      <c r="G18" s="18"/>
      <c r="H18" s="90" t="str">
        <f t="shared" si="11"/>
        <v/>
      </c>
      <c r="I18" s="127" t="str">
        <f t="shared" si="7"/>
        <v>g</v>
      </c>
      <c r="K18" s="95">
        <f t="shared" si="12"/>
        <v>0</v>
      </c>
      <c r="L18" s="54">
        <f t="shared" si="13"/>
        <v>0</v>
      </c>
      <c r="M18" s="31" t="str">
        <f t="shared" si="8"/>
        <v>g</v>
      </c>
      <c r="N18" s="43" t="str">
        <f t="shared" si="14"/>
        <v/>
      </c>
      <c r="O18" s="33" t="str">
        <f t="shared" si="3"/>
        <v>g</v>
      </c>
      <c r="P18" s="137">
        <f t="shared" si="1"/>
        <v>0</v>
      </c>
      <c r="Q18" s="120" t="str">
        <f t="shared" si="9"/>
        <v>g</v>
      </c>
    </row>
    <row r="19" spans="2:17" ht="36" customHeight="1">
      <c r="B19" s="81"/>
      <c r="C19" s="82"/>
      <c r="D19" s="80"/>
      <c r="E19" s="79" t="str">
        <f t="shared" si="10"/>
        <v/>
      </c>
      <c r="F19" s="120" t="str">
        <f t="shared" si="0"/>
        <v>g</v>
      </c>
      <c r="G19" s="18"/>
      <c r="H19" s="90" t="str">
        <f t="shared" si="11"/>
        <v/>
      </c>
      <c r="I19" s="127" t="str">
        <f t="shared" si="7"/>
        <v>g</v>
      </c>
      <c r="K19" s="95">
        <f t="shared" si="12"/>
        <v>0</v>
      </c>
      <c r="L19" s="54">
        <f t="shared" si="13"/>
        <v>0</v>
      </c>
      <c r="M19" s="31" t="str">
        <f t="shared" si="8"/>
        <v>g</v>
      </c>
      <c r="N19" s="43" t="str">
        <f t="shared" si="14"/>
        <v/>
      </c>
      <c r="O19" s="33" t="str">
        <f t="shared" si="3"/>
        <v>g</v>
      </c>
      <c r="P19" s="137">
        <f t="shared" si="1"/>
        <v>0</v>
      </c>
      <c r="Q19" s="120" t="str">
        <f t="shared" si="9"/>
        <v>g</v>
      </c>
    </row>
    <row r="20" spans="2:17" ht="36" customHeight="1">
      <c r="B20" s="81"/>
      <c r="C20" s="82"/>
      <c r="D20" s="80"/>
      <c r="E20" s="79" t="str">
        <f t="shared" si="10"/>
        <v/>
      </c>
      <c r="F20" s="120" t="str">
        <f t="shared" si="0"/>
        <v>g</v>
      </c>
      <c r="G20" s="18"/>
      <c r="H20" s="90" t="str">
        <f t="shared" si="11"/>
        <v/>
      </c>
      <c r="I20" s="127" t="str">
        <f t="shared" si="7"/>
        <v>g</v>
      </c>
      <c r="K20" s="95">
        <f t="shared" si="12"/>
        <v>0</v>
      </c>
      <c r="L20" s="54">
        <f t="shared" si="13"/>
        <v>0</v>
      </c>
      <c r="M20" s="31" t="str">
        <f t="shared" si="8"/>
        <v>g</v>
      </c>
      <c r="N20" s="43" t="str">
        <f t="shared" si="14"/>
        <v/>
      </c>
      <c r="O20" s="33" t="str">
        <f t="shared" si="3"/>
        <v>g</v>
      </c>
      <c r="P20" s="137">
        <f t="shared" si="1"/>
        <v>0</v>
      </c>
      <c r="Q20" s="120" t="str">
        <f t="shared" si="9"/>
        <v>g</v>
      </c>
    </row>
    <row r="21" spans="2:17" ht="36" customHeight="1">
      <c r="B21" s="81"/>
      <c r="C21" s="82"/>
      <c r="D21" s="80"/>
      <c r="E21" s="79" t="str">
        <f t="shared" si="10"/>
        <v/>
      </c>
      <c r="F21" s="120" t="str">
        <f t="shared" si="0"/>
        <v>g</v>
      </c>
      <c r="G21" s="18"/>
      <c r="H21" s="90" t="str">
        <f t="shared" si="11"/>
        <v/>
      </c>
      <c r="I21" s="127" t="str">
        <f t="shared" si="7"/>
        <v>g</v>
      </c>
      <c r="K21" s="95">
        <f t="shared" si="12"/>
        <v>0</v>
      </c>
      <c r="L21" s="54">
        <f t="shared" si="13"/>
        <v>0</v>
      </c>
      <c r="M21" s="31" t="str">
        <f t="shared" si="8"/>
        <v>g</v>
      </c>
      <c r="N21" s="43" t="str">
        <f t="shared" si="14"/>
        <v/>
      </c>
      <c r="O21" s="33" t="str">
        <f t="shared" si="3"/>
        <v>g</v>
      </c>
      <c r="P21" s="137">
        <f t="shared" si="1"/>
        <v>0</v>
      </c>
      <c r="Q21" s="120" t="str">
        <f t="shared" si="9"/>
        <v>g</v>
      </c>
    </row>
    <row r="22" spans="2:17" ht="36" customHeight="1">
      <c r="B22" s="81"/>
      <c r="C22" s="82"/>
      <c r="D22" s="80"/>
      <c r="E22" s="79" t="str">
        <f t="shared" si="10"/>
        <v/>
      </c>
      <c r="F22" s="120" t="str">
        <f t="shared" si="0"/>
        <v>g</v>
      </c>
      <c r="G22" s="18"/>
      <c r="H22" s="90" t="str">
        <f t="shared" si="11"/>
        <v/>
      </c>
      <c r="I22" s="127" t="str">
        <f t="shared" si="7"/>
        <v>g</v>
      </c>
      <c r="K22" s="95">
        <f t="shared" si="12"/>
        <v>0</v>
      </c>
      <c r="L22" s="54">
        <f t="shared" si="13"/>
        <v>0</v>
      </c>
      <c r="M22" s="31" t="str">
        <f t="shared" si="8"/>
        <v>g</v>
      </c>
      <c r="N22" s="43" t="str">
        <f t="shared" si="14"/>
        <v/>
      </c>
      <c r="O22" s="33" t="str">
        <f t="shared" si="3"/>
        <v>g</v>
      </c>
      <c r="P22" s="137">
        <f t="shared" si="1"/>
        <v>0</v>
      </c>
      <c r="Q22" s="120" t="str">
        <f t="shared" si="9"/>
        <v>g</v>
      </c>
    </row>
    <row r="23" spans="2:17" ht="36" customHeight="1">
      <c r="B23" s="81"/>
      <c r="C23" s="82"/>
      <c r="D23" s="80"/>
      <c r="E23" s="79" t="str">
        <f t="shared" si="10"/>
        <v/>
      </c>
      <c r="F23" s="120" t="str">
        <f t="shared" si="0"/>
        <v>g</v>
      </c>
      <c r="G23" s="18"/>
      <c r="H23" s="90" t="str">
        <f t="shared" si="11"/>
        <v/>
      </c>
      <c r="I23" s="127" t="str">
        <f t="shared" si="7"/>
        <v>g</v>
      </c>
      <c r="K23" s="95">
        <f t="shared" si="12"/>
        <v>0</v>
      </c>
      <c r="L23" s="54">
        <f t="shared" si="13"/>
        <v>0</v>
      </c>
      <c r="M23" s="31" t="str">
        <f t="shared" si="8"/>
        <v>g</v>
      </c>
      <c r="N23" s="43" t="str">
        <f t="shared" si="14"/>
        <v/>
      </c>
      <c r="O23" s="33" t="str">
        <f t="shared" si="3"/>
        <v>g</v>
      </c>
      <c r="P23" s="137">
        <f t="shared" si="1"/>
        <v>0</v>
      </c>
      <c r="Q23" s="120" t="str">
        <f t="shared" si="9"/>
        <v>g</v>
      </c>
    </row>
    <row r="24" spans="2:17" ht="36" customHeight="1">
      <c r="B24" s="81"/>
      <c r="C24" s="82"/>
      <c r="D24" s="80"/>
      <c r="E24" s="79" t="str">
        <f t="shared" si="10"/>
        <v/>
      </c>
      <c r="F24" s="120" t="str">
        <f t="shared" si="0"/>
        <v>g</v>
      </c>
      <c r="G24" s="18"/>
      <c r="H24" s="90" t="str">
        <f t="shared" si="11"/>
        <v/>
      </c>
      <c r="I24" s="127" t="str">
        <f t="shared" si="7"/>
        <v>g</v>
      </c>
      <c r="K24" s="95">
        <f t="shared" si="12"/>
        <v>0</v>
      </c>
      <c r="L24" s="54">
        <f t="shared" si="13"/>
        <v>0</v>
      </c>
      <c r="M24" s="31" t="str">
        <f t="shared" si="8"/>
        <v>g</v>
      </c>
      <c r="N24" s="43" t="str">
        <f t="shared" si="14"/>
        <v/>
      </c>
      <c r="O24" s="33" t="str">
        <f t="shared" si="3"/>
        <v>g</v>
      </c>
      <c r="P24" s="137">
        <f t="shared" si="1"/>
        <v>0</v>
      </c>
      <c r="Q24" s="120" t="str">
        <f t="shared" si="9"/>
        <v>g</v>
      </c>
    </row>
    <row r="25" spans="2:17" ht="36" customHeight="1">
      <c r="B25" s="81"/>
      <c r="C25" s="82"/>
      <c r="D25" s="80"/>
      <c r="E25" s="79" t="str">
        <f t="shared" si="10"/>
        <v/>
      </c>
      <c r="F25" s="120" t="str">
        <f t="shared" si="0"/>
        <v>g</v>
      </c>
      <c r="G25" s="18"/>
      <c r="H25" s="90" t="str">
        <f t="shared" si="11"/>
        <v/>
      </c>
      <c r="I25" s="127" t="str">
        <f t="shared" si="7"/>
        <v>g</v>
      </c>
      <c r="K25" s="95">
        <f t="shared" si="12"/>
        <v>0</v>
      </c>
      <c r="L25" s="54">
        <f t="shared" si="13"/>
        <v>0</v>
      </c>
      <c r="M25" s="31" t="str">
        <f t="shared" si="8"/>
        <v>g</v>
      </c>
      <c r="N25" s="43" t="str">
        <f t="shared" si="14"/>
        <v/>
      </c>
      <c r="O25" s="33" t="str">
        <f t="shared" si="3"/>
        <v>g</v>
      </c>
      <c r="P25" s="137">
        <f t="shared" si="1"/>
        <v>0</v>
      </c>
      <c r="Q25" s="120" t="str">
        <f t="shared" si="9"/>
        <v>g</v>
      </c>
    </row>
    <row r="26" spans="2:17" ht="36" customHeight="1">
      <c r="B26" s="81"/>
      <c r="C26" s="82"/>
      <c r="D26" s="80"/>
      <c r="E26" s="79" t="str">
        <f t="shared" si="10"/>
        <v/>
      </c>
      <c r="F26" s="120" t="str">
        <f t="shared" si="0"/>
        <v>g</v>
      </c>
      <c r="G26" s="18"/>
      <c r="H26" s="90" t="str">
        <f t="shared" si="11"/>
        <v/>
      </c>
      <c r="I26" s="127" t="str">
        <f t="shared" si="7"/>
        <v>g</v>
      </c>
      <c r="K26" s="95">
        <f t="shared" si="12"/>
        <v>0</v>
      </c>
      <c r="L26" s="54">
        <f t="shared" si="13"/>
        <v>0</v>
      </c>
      <c r="M26" s="31" t="str">
        <f t="shared" si="8"/>
        <v>g</v>
      </c>
      <c r="N26" s="43" t="str">
        <f t="shared" si="14"/>
        <v/>
      </c>
      <c r="O26" s="33" t="str">
        <f t="shared" si="3"/>
        <v>g</v>
      </c>
      <c r="P26" s="137">
        <f t="shared" si="1"/>
        <v>0</v>
      </c>
      <c r="Q26" s="120" t="str">
        <f t="shared" si="9"/>
        <v>g</v>
      </c>
    </row>
    <row r="27" spans="2:17" ht="36" customHeight="1">
      <c r="B27" s="81"/>
      <c r="C27" s="82"/>
      <c r="D27" s="80"/>
      <c r="E27" s="79" t="str">
        <f t="shared" si="10"/>
        <v/>
      </c>
      <c r="F27" s="120" t="str">
        <f t="shared" si="0"/>
        <v>g</v>
      </c>
      <c r="G27" s="18"/>
      <c r="H27" s="90" t="str">
        <f t="shared" si="11"/>
        <v/>
      </c>
      <c r="I27" s="127" t="str">
        <f t="shared" si="7"/>
        <v>g</v>
      </c>
      <c r="K27" s="95">
        <f t="shared" si="12"/>
        <v>0</v>
      </c>
      <c r="L27" s="54">
        <f t="shared" si="13"/>
        <v>0</v>
      </c>
      <c r="M27" s="31" t="str">
        <f t="shared" si="8"/>
        <v>g</v>
      </c>
      <c r="N27" s="43" t="str">
        <f t="shared" si="14"/>
        <v/>
      </c>
      <c r="O27" s="33" t="str">
        <f t="shared" si="3"/>
        <v>g</v>
      </c>
      <c r="P27" s="137">
        <f t="shared" si="1"/>
        <v>0</v>
      </c>
      <c r="Q27" s="120" t="str">
        <f t="shared" si="9"/>
        <v>g</v>
      </c>
    </row>
    <row r="28" spans="2:17" ht="36" customHeight="1">
      <c r="B28" s="81"/>
      <c r="C28" s="82"/>
      <c r="D28" s="80"/>
      <c r="E28" s="79" t="str">
        <f t="shared" si="10"/>
        <v/>
      </c>
      <c r="F28" s="120" t="str">
        <f t="shared" si="0"/>
        <v>g</v>
      </c>
      <c r="G28" s="18"/>
      <c r="H28" s="90" t="str">
        <f t="shared" si="11"/>
        <v/>
      </c>
      <c r="I28" s="127" t="str">
        <f t="shared" si="7"/>
        <v>g</v>
      </c>
      <c r="K28" s="95">
        <f t="shared" si="12"/>
        <v>0</v>
      </c>
      <c r="L28" s="54">
        <f t="shared" si="13"/>
        <v>0</v>
      </c>
      <c r="M28" s="31" t="str">
        <f t="shared" si="8"/>
        <v>g</v>
      </c>
      <c r="N28" s="43" t="str">
        <f t="shared" si="14"/>
        <v/>
      </c>
      <c r="O28" s="33" t="str">
        <f t="shared" si="3"/>
        <v>g</v>
      </c>
      <c r="P28" s="137">
        <f t="shared" si="1"/>
        <v>0</v>
      </c>
      <c r="Q28" s="120" t="str">
        <f t="shared" si="9"/>
        <v>g</v>
      </c>
    </row>
    <row r="29" spans="2:17" ht="36" customHeight="1">
      <c r="B29" s="81"/>
      <c r="C29" s="82"/>
      <c r="D29" s="80"/>
      <c r="E29" s="79" t="str">
        <f t="shared" si="10"/>
        <v/>
      </c>
      <c r="F29" s="120" t="str">
        <f t="shared" si="0"/>
        <v>g</v>
      </c>
      <c r="G29" s="18"/>
      <c r="H29" s="90" t="str">
        <f t="shared" si="11"/>
        <v/>
      </c>
      <c r="I29" s="127" t="str">
        <f t="shared" si="7"/>
        <v>g</v>
      </c>
      <c r="K29" s="95">
        <f t="shared" si="12"/>
        <v>0</v>
      </c>
      <c r="L29" s="54">
        <f t="shared" si="13"/>
        <v>0</v>
      </c>
      <c r="M29" s="31" t="str">
        <f t="shared" si="8"/>
        <v>g</v>
      </c>
      <c r="N29" s="43" t="str">
        <f t="shared" si="14"/>
        <v/>
      </c>
      <c r="O29" s="33" t="str">
        <f t="shared" si="3"/>
        <v>g</v>
      </c>
      <c r="P29" s="137">
        <f t="shared" si="1"/>
        <v>0</v>
      </c>
      <c r="Q29" s="120" t="str">
        <f t="shared" si="9"/>
        <v>g</v>
      </c>
    </row>
    <row r="30" spans="2:17" ht="36" customHeight="1">
      <c r="B30" s="81"/>
      <c r="C30" s="82"/>
      <c r="D30" s="80"/>
      <c r="E30" s="79" t="str">
        <f t="shared" si="10"/>
        <v/>
      </c>
      <c r="F30" s="120" t="str">
        <f t="shared" si="0"/>
        <v>g</v>
      </c>
      <c r="G30" s="18"/>
      <c r="H30" s="90" t="str">
        <f t="shared" si="11"/>
        <v/>
      </c>
      <c r="I30" s="127" t="str">
        <f t="shared" si="7"/>
        <v>g</v>
      </c>
      <c r="K30" s="95">
        <f t="shared" si="12"/>
        <v>0</v>
      </c>
      <c r="L30" s="54">
        <f t="shared" si="13"/>
        <v>0</v>
      </c>
      <c r="M30" s="31" t="str">
        <f t="shared" si="8"/>
        <v>g</v>
      </c>
      <c r="N30" s="43" t="str">
        <f t="shared" si="14"/>
        <v/>
      </c>
      <c r="O30" s="33" t="str">
        <f t="shared" si="3"/>
        <v>g</v>
      </c>
      <c r="P30" s="137">
        <f t="shared" si="1"/>
        <v>0</v>
      </c>
      <c r="Q30" s="120" t="str">
        <f t="shared" si="9"/>
        <v>g</v>
      </c>
    </row>
    <row r="31" spans="2:17" ht="36" customHeight="1">
      <c r="B31" s="81"/>
      <c r="C31" s="82"/>
      <c r="D31" s="80"/>
      <c r="E31" s="79" t="str">
        <f t="shared" si="10"/>
        <v/>
      </c>
      <c r="F31" s="120" t="str">
        <f t="shared" si="0"/>
        <v>g</v>
      </c>
      <c r="G31" s="18"/>
      <c r="H31" s="90" t="str">
        <f t="shared" si="11"/>
        <v/>
      </c>
      <c r="I31" s="127" t="str">
        <f t="shared" si="7"/>
        <v>g</v>
      </c>
      <c r="K31" s="95">
        <f t="shared" si="12"/>
        <v>0</v>
      </c>
      <c r="L31" s="54">
        <f t="shared" si="13"/>
        <v>0</v>
      </c>
      <c r="M31" s="31" t="str">
        <f t="shared" si="8"/>
        <v>g</v>
      </c>
      <c r="N31" s="43" t="str">
        <f t="shared" si="14"/>
        <v/>
      </c>
      <c r="O31" s="33" t="str">
        <f t="shared" si="3"/>
        <v>g</v>
      </c>
      <c r="P31" s="137">
        <f t="shared" si="1"/>
        <v>0</v>
      </c>
      <c r="Q31" s="120" t="str">
        <f t="shared" si="9"/>
        <v>g</v>
      </c>
    </row>
    <row r="32" spans="2:17" ht="36" customHeight="1">
      <c r="B32" s="81"/>
      <c r="C32" s="82"/>
      <c r="D32" s="80"/>
      <c r="E32" s="79" t="str">
        <f t="shared" si="10"/>
        <v/>
      </c>
      <c r="F32" s="120" t="str">
        <f t="shared" si="0"/>
        <v>g</v>
      </c>
      <c r="G32" s="18"/>
      <c r="H32" s="90" t="str">
        <f t="shared" si="11"/>
        <v/>
      </c>
      <c r="I32" s="127" t="str">
        <f t="shared" si="7"/>
        <v>g</v>
      </c>
      <c r="K32" s="95">
        <f t="shared" si="12"/>
        <v>0</v>
      </c>
      <c r="L32" s="54">
        <f t="shared" si="13"/>
        <v>0</v>
      </c>
      <c r="M32" s="31" t="str">
        <f t="shared" si="8"/>
        <v>g</v>
      </c>
      <c r="N32" s="43" t="str">
        <f t="shared" si="14"/>
        <v/>
      </c>
      <c r="O32" s="33" t="str">
        <f t="shared" si="3"/>
        <v>g</v>
      </c>
      <c r="P32" s="137">
        <f t="shared" si="1"/>
        <v>0</v>
      </c>
      <c r="Q32" s="120" t="str">
        <f t="shared" si="9"/>
        <v>g</v>
      </c>
    </row>
    <row r="33" spans="2:17" ht="36" customHeight="1">
      <c r="B33" s="81"/>
      <c r="C33" s="82"/>
      <c r="D33" s="80"/>
      <c r="E33" s="79" t="str">
        <f t="shared" si="10"/>
        <v/>
      </c>
      <c r="F33" s="120" t="str">
        <f t="shared" si="0"/>
        <v>g</v>
      </c>
      <c r="G33" s="18"/>
      <c r="H33" s="90" t="str">
        <f t="shared" si="11"/>
        <v/>
      </c>
      <c r="I33" s="127" t="str">
        <f t="shared" si="7"/>
        <v>g</v>
      </c>
      <c r="K33" s="95">
        <f t="shared" si="12"/>
        <v>0</v>
      </c>
      <c r="L33" s="54">
        <f t="shared" si="13"/>
        <v>0</v>
      </c>
      <c r="M33" s="31" t="str">
        <f t="shared" si="8"/>
        <v>g</v>
      </c>
      <c r="N33" s="43" t="str">
        <f t="shared" si="14"/>
        <v/>
      </c>
      <c r="O33" s="33" t="str">
        <f t="shared" si="3"/>
        <v>g</v>
      </c>
      <c r="P33" s="137">
        <f t="shared" si="1"/>
        <v>0</v>
      </c>
      <c r="Q33" s="120" t="str">
        <f t="shared" si="9"/>
        <v>g</v>
      </c>
    </row>
    <row r="34" spans="2:17" ht="36" hidden="1" customHeight="1">
      <c r="B34" s="81"/>
      <c r="C34" s="82"/>
      <c r="D34" s="80"/>
      <c r="E34" s="79" t="str">
        <f t="shared" si="10"/>
        <v/>
      </c>
      <c r="F34" s="120" t="str">
        <f t="shared" si="0"/>
        <v>g</v>
      </c>
      <c r="G34" s="18"/>
      <c r="H34" s="90" t="str">
        <f t="shared" si="11"/>
        <v/>
      </c>
      <c r="I34" s="127" t="str">
        <f t="shared" si="7"/>
        <v>g</v>
      </c>
      <c r="K34" s="95">
        <f t="shared" si="12"/>
        <v>0</v>
      </c>
      <c r="L34" s="54">
        <f t="shared" si="13"/>
        <v>0</v>
      </c>
      <c r="M34" s="31" t="str">
        <f t="shared" si="8"/>
        <v>g</v>
      </c>
      <c r="N34" s="43" t="str">
        <f t="shared" si="14"/>
        <v/>
      </c>
      <c r="O34" s="33" t="str">
        <f t="shared" si="3"/>
        <v>g</v>
      </c>
      <c r="P34" s="137">
        <f t="shared" si="1"/>
        <v>0</v>
      </c>
      <c r="Q34" s="120" t="str">
        <f t="shared" si="9"/>
        <v>g</v>
      </c>
    </row>
    <row r="35" spans="2:17" ht="36" hidden="1" customHeight="1">
      <c r="B35" s="81"/>
      <c r="C35" s="82"/>
      <c r="D35" s="80"/>
      <c r="E35" s="79" t="str">
        <f t="shared" si="10"/>
        <v/>
      </c>
      <c r="F35" s="120" t="str">
        <f t="shared" si="0"/>
        <v>g</v>
      </c>
      <c r="G35" s="18"/>
      <c r="H35" s="90" t="str">
        <f t="shared" si="11"/>
        <v/>
      </c>
      <c r="I35" s="127" t="str">
        <f t="shared" si="7"/>
        <v>g</v>
      </c>
      <c r="K35" s="95">
        <f t="shared" si="12"/>
        <v>0</v>
      </c>
      <c r="L35" s="54">
        <f t="shared" si="13"/>
        <v>0</v>
      </c>
      <c r="M35" s="31" t="str">
        <f t="shared" si="8"/>
        <v>g</v>
      </c>
      <c r="N35" s="43" t="str">
        <f t="shared" si="14"/>
        <v/>
      </c>
      <c r="O35" s="33" t="str">
        <f t="shared" si="3"/>
        <v>g</v>
      </c>
      <c r="P35" s="137">
        <f t="shared" si="1"/>
        <v>0</v>
      </c>
      <c r="Q35" s="120" t="str">
        <f t="shared" si="9"/>
        <v>g</v>
      </c>
    </row>
    <row r="36" spans="2:17" ht="36" hidden="1" customHeight="1">
      <c r="B36" s="81"/>
      <c r="C36" s="82"/>
      <c r="D36" s="80"/>
      <c r="E36" s="79" t="str">
        <f t="shared" si="10"/>
        <v/>
      </c>
      <c r="F36" s="120" t="str">
        <f t="shared" si="0"/>
        <v>g</v>
      </c>
      <c r="G36" s="18"/>
      <c r="H36" s="90" t="str">
        <f t="shared" si="11"/>
        <v/>
      </c>
      <c r="I36" s="127" t="str">
        <f t="shared" si="7"/>
        <v>g</v>
      </c>
      <c r="K36" s="95">
        <f t="shared" si="12"/>
        <v>0</v>
      </c>
      <c r="L36" s="54">
        <f t="shared" si="13"/>
        <v>0</v>
      </c>
      <c r="M36" s="31" t="str">
        <f t="shared" si="8"/>
        <v>g</v>
      </c>
      <c r="N36" s="43" t="str">
        <f t="shared" si="14"/>
        <v/>
      </c>
      <c r="O36" s="33" t="str">
        <f t="shared" si="3"/>
        <v>g</v>
      </c>
      <c r="P36" s="137">
        <f t="shared" si="1"/>
        <v>0</v>
      </c>
      <c r="Q36" s="120" t="str">
        <f t="shared" si="9"/>
        <v>g</v>
      </c>
    </row>
    <row r="37" spans="2:17" ht="36" hidden="1" customHeight="1">
      <c r="B37" s="81"/>
      <c r="C37" s="82"/>
      <c r="D37" s="80"/>
      <c r="E37" s="79" t="str">
        <f t="shared" si="10"/>
        <v/>
      </c>
      <c r="F37" s="120" t="str">
        <f t="shared" si="0"/>
        <v>g</v>
      </c>
      <c r="G37" s="18"/>
      <c r="H37" s="90" t="str">
        <f t="shared" si="11"/>
        <v/>
      </c>
      <c r="I37" s="127" t="str">
        <f t="shared" si="7"/>
        <v>g</v>
      </c>
      <c r="K37" s="95">
        <f t="shared" si="12"/>
        <v>0</v>
      </c>
      <c r="L37" s="54">
        <f t="shared" si="13"/>
        <v>0</v>
      </c>
      <c r="M37" s="31" t="str">
        <f t="shared" si="8"/>
        <v>g</v>
      </c>
      <c r="N37" s="43" t="str">
        <f t="shared" si="14"/>
        <v/>
      </c>
      <c r="O37" s="33" t="str">
        <f t="shared" si="3"/>
        <v>g</v>
      </c>
      <c r="P37" s="137">
        <f t="shared" si="1"/>
        <v>0</v>
      </c>
      <c r="Q37" s="120" t="str">
        <f t="shared" si="9"/>
        <v>g</v>
      </c>
    </row>
    <row r="38" spans="2:17" ht="36" hidden="1" customHeight="1">
      <c r="B38" s="81"/>
      <c r="C38" s="82"/>
      <c r="D38" s="80"/>
      <c r="E38" s="79" t="str">
        <f t="shared" si="10"/>
        <v/>
      </c>
      <c r="F38" s="120" t="str">
        <f t="shared" si="0"/>
        <v>g</v>
      </c>
      <c r="G38" s="18"/>
      <c r="H38" s="90" t="str">
        <f t="shared" si="11"/>
        <v/>
      </c>
      <c r="I38" s="127" t="str">
        <f t="shared" si="7"/>
        <v>g</v>
      </c>
      <c r="K38" s="95">
        <f t="shared" si="12"/>
        <v>0</v>
      </c>
      <c r="L38" s="54">
        <f t="shared" si="13"/>
        <v>0</v>
      </c>
      <c r="M38" s="31" t="str">
        <f t="shared" si="8"/>
        <v>g</v>
      </c>
      <c r="N38" s="43" t="str">
        <f t="shared" si="14"/>
        <v/>
      </c>
      <c r="O38" s="33" t="str">
        <f t="shared" si="3"/>
        <v>g</v>
      </c>
      <c r="P38" s="137">
        <f t="shared" si="1"/>
        <v>0</v>
      </c>
      <c r="Q38" s="120" t="str">
        <f t="shared" si="9"/>
        <v>g</v>
      </c>
    </row>
    <row r="39" spans="2:17" ht="36" hidden="1" customHeight="1">
      <c r="B39" s="81"/>
      <c r="C39" s="82"/>
      <c r="D39" s="80"/>
      <c r="E39" s="79" t="str">
        <f t="shared" si="10"/>
        <v/>
      </c>
      <c r="F39" s="120" t="str">
        <f t="shared" si="0"/>
        <v>g</v>
      </c>
      <c r="G39" s="18"/>
      <c r="H39" s="90" t="str">
        <f t="shared" si="11"/>
        <v/>
      </c>
      <c r="I39" s="127" t="str">
        <f t="shared" si="7"/>
        <v>g</v>
      </c>
      <c r="K39" s="95">
        <f t="shared" si="12"/>
        <v>0</v>
      </c>
      <c r="L39" s="54">
        <f t="shared" si="13"/>
        <v>0</v>
      </c>
      <c r="M39" s="31" t="str">
        <f t="shared" si="8"/>
        <v>g</v>
      </c>
      <c r="N39" s="43" t="str">
        <f t="shared" si="14"/>
        <v/>
      </c>
      <c r="O39" s="33" t="str">
        <f t="shared" si="3"/>
        <v>g</v>
      </c>
      <c r="P39" s="137">
        <f t="shared" si="1"/>
        <v>0</v>
      </c>
      <c r="Q39" s="120" t="str">
        <f t="shared" si="9"/>
        <v>g</v>
      </c>
    </row>
    <row r="40" spans="2:17" ht="36" hidden="1" customHeight="1">
      <c r="B40" s="81"/>
      <c r="C40" s="82"/>
      <c r="D40" s="80"/>
      <c r="E40" s="79" t="str">
        <f t="shared" si="10"/>
        <v/>
      </c>
      <c r="F40" s="120" t="str">
        <f t="shared" si="0"/>
        <v>g</v>
      </c>
      <c r="G40" s="18"/>
      <c r="H40" s="90" t="str">
        <f t="shared" si="11"/>
        <v/>
      </c>
      <c r="I40" s="127" t="str">
        <f t="shared" si="7"/>
        <v>g</v>
      </c>
      <c r="K40" s="95">
        <f t="shared" si="12"/>
        <v>0</v>
      </c>
      <c r="L40" s="54">
        <f t="shared" si="13"/>
        <v>0</v>
      </c>
      <c r="M40" s="31" t="str">
        <f t="shared" si="8"/>
        <v>g</v>
      </c>
      <c r="N40" s="43" t="str">
        <f t="shared" si="14"/>
        <v/>
      </c>
      <c r="O40" s="33" t="str">
        <f t="shared" si="3"/>
        <v>g</v>
      </c>
      <c r="P40" s="137">
        <f t="shared" si="1"/>
        <v>0</v>
      </c>
      <c r="Q40" s="120" t="str">
        <f t="shared" si="9"/>
        <v>g</v>
      </c>
    </row>
    <row r="41" spans="2:17" ht="36" hidden="1" customHeight="1">
      <c r="B41" s="81"/>
      <c r="C41" s="82"/>
      <c r="D41" s="80"/>
      <c r="E41" s="79" t="str">
        <f t="shared" si="10"/>
        <v/>
      </c>
      <c r="F41" s="120" t="str">
        <f t="shared" si="0"/>
        <v>g</v>
      </c>
      <c r="G41" s="18"/>
      <c r="H41" s="90" t="str">
        <f t="shared" si="11"/>
        <v/>
      </c>
      <c r="I41" s="127" t="str">
        <f t="shared" si="7"/>
        <v>g</v>
      </c>
      <c r="K41" s="95">
        <f t="shared" si="12"/>
        <v>0</v>
      </c>
      <c r="L41" s="54">
        <f t="shared" si="13"/>
        <v>0</v>
      </c>
      <c r="M41" s="31" t="str">
        <f t="shared" si="8"/>
        <v>g</v>
      </c>
      <c r="N41" s="43" t="str">
        <f t="shared" si="14"/>
        <v/>
      </c>
      <c r="O41" s="33" t="str">
        <f t="shared" si="3"/>
        <v>g</v>
      </c>
      <c r="P41" s="137">
        <f t="shared" si="1"/>
        <v>0</v>
      </c>
      <c r="Q41" s="120" t="str">
        <f t="shared" si="9"/>
        <v>g</v>
      </c>
    </row>
    <row r="42" spans="2:17" ht="36" hidden="1" customHeight="1">
      <c r="B42" s="81"/>
      <c r="C42" s="82"/>
      <c r="D42" s="80"/>
      <c r="E42" s="79" t="str">
        <f t="shared" si="10"/>
        <v/>
      </c>
      <c r="F42" s="120" t="str">
        <f t="shared" si="0"/>
        <v>g</v>
      </c>
      <c r="G42" s="18"/>
      <c r="H42" s="90" t="str">
        <f t="shared" si="11"/>
        <v/>
      </c>
      <c r="I42" s="127" t="str">
        <f t="shared" si="7"/>
        <v>g</v>
      </c>
      <c r="K42" s="95">
        <f t="shared" si="12"/>
        <v>0</v>
      </c>
      <c r="L42" s="54">
        <f t="shared" si="13"/>
        <v>0</v>
      </c>
      <c r="M42" s="31" t="str">
        <f t="shared" si="8"/>
        <v>g</v>
      </c>
      <c r="N42" s="43" t="str">
        <f t="shared" si="14"/>
        <v/>
      </c>
      <c r="O42" s="33" t="str">
        <f t="shared" si="3"/>
        <v>g</v>
      </c>
      <c r="P42" s="137">
        <f t="shared" si="1"/>
        <v>0</v>
      </c>
      <c r="Q42" s="120" t="str">
        <f t="shared" si="9"/>
        <v>g</v>
      </c>
    </row>
    <row r="43" spans="2:17" ht="36" hidden="1" customHeight="1">
      <c r="B43" s="81"/>
      <c r="C43" s="82"/>
      <c r="D43" s="80"/>
      <c r="E43" s="79" t="str">
        <f t="shared" si="10"/>
        <v/>
      </c>
      <c r="F43" s="120" t="str">
        <f t="shared" si="0"/>
        <v>g</v>
      </c>
      <c r="G43" s="18"/>
      <c r="H43" s="90" t="str">
        <f t="shared" si="11"/>
        <v/>
      </c>
      <c r="I43" s="127" t="str">
        <f t="shared" si="7"/>
        <v>g</v>
      </c>
      <c r="K43" s="95">
        <f t="shared" si="12"/>
        <v>0</v>
      </c>
      <c r="L43" s="54">
        <f t="shared" si="13"/>
        <v>0</v>
      </c>
      <c r="M43" s="31" t="str">
        <f t="shared" si="8"/>
        <v>g</v>
      </c>
      <c r="N43" s="43" t="str">
        <f t="shared" si="14"/>
        <v/>
      </c>
      <c r="O43" s="33" t="str">
        <f t="shared" si="3"/>
        <v>g</v>
      </c>
      <c r="P43" s="137">
        <f t="shared" si="1"/>
        <v>0</v>
      </c>
      <c r="Q43" s="120" t="str">
        <f t="shared" si="9"/>
        <v>g</v>
      </c>
    </row>
    <row r="44" spans="2:17" ht="36" hidden="1" customHeight="1">
      <c r="B44" s="81"/>
      <c r="C44" s="82"/>
      <c r="D44" s="80"/>
      <c r="E44" s="79" t="str">
        <f t="shared" si="10"/>
        <v/>
      </c>
      <c r="F44" s="120" t="str">
        <f t="shared" si="0"/>
        <v>g</v>
      </c>
      <c r="G44" s="18"/>
      <c r="H44" s="90" t="str">
        <f t="shared" si="11"/>
        <v/>
      </c>
      <c r="I44" s="127" t="str">
        <f t="shared" si="7"/>
        <v>g</v>
      </c>
      <c r="K44" s="95">
        <f t="shared" si="12"/>
        <v>0</v>
      </c>
      <c r="L44" s="54">
        <f t="shared" si="13"/>
        <v>0</v>
      </c>
      <c r="M44" s="31" t="str">
        <f t="shared" si="8"/>
        <v>g</v>
      </c>
      <c r="N44" s="43" t="str">
        <f t="shared" si="14"/>
        <v/>
      </c>
      <c r="O44" s="33" t="str">
        <f t="shared" si="3"/>
        <v>g</v>
      </c>
      <c r="P44" s="137">
        <f t="shared" si="1"/>
        <v>0</v>
      </c>
      <c r="Q44" s="120" t="str">
        <f t="shared" si="9"/>
        <v>g</v>
      </c>
    </row>
    <row r="45" spans="2:17" ht="36" hidden="1" customHeight="1">
      <c r="B45" s="81"/>
      <c r="C45" s="82"/>
      <c r="D45" s="80"/>
      <c r="E45" s="79" t="str">
        <f t="shared" si="10"/>
        <v/>
      </c>
      <c r="F45" s="120" t="str">
        <f t="shared" si="0"/>
        <v>g</v>
      </c>
      <c r="G45" s="18"/>
      <c r="H45" s="90" t="str">
        <f t="shared" si="11"/>
        <v/>
      </c>
      <c r="I45" s="127" t="str">
        <f t="shared" si="7"/>
        <v>g</v>
      </c>
      <c r="K45" s="95">
        <f t="shared" si="12"/>
        <v>0</v>
      </c>
      <c r="L45" s="54">
        <f t="shared" si="13"/>
        <v>0</v>
      </c>
      <c r="M45" s="31" t="str">
        <f t="shared" si="8"/>
        <v>g</v>
      </c>
      <c r="N45" s="43" t="str">
        <f t="shared" si="14"/>
        <v/>
      </c>
      <c r="O45" s="33" t="str">
        <f t="shared" si="3"/>
        <v>g</v>
      </c>
      <c r="P45" s="137">
        <f t="shared" si="1"/>
        <v>0</v>
      </c>
      <c r="Q45" s="120" t="str">
        <f t="shared" si="9"/>
        <v>g</v>
      </c>
    </row>
    <row r="46" spans="2:17" ht="36" hidden="1" customHeight="1">
      <c r="B46" s="81"/>
      <c r="C46" s="82"/>
      <c r="D46" s="80"/>
      <c r="E46" s="79" t="str">
        <f t="shared" si="10"/>
        <v/>
      </c>
      <c r="F46" s="120" t="str">
        <f t="shared" si="0"/>
        <v>g</v>
      </c>
      <c r="G46" s="18"/>
      <c r="H46" s="90" t="str">
        <f t="shared" si="11"/>
        <v/>
      </c>
      <c r="I46" s="127" t="str">
        <f t="shared" si="7"/>
        <v>g</v>
      </c>
      <c r="K46" s="95">
        <f t="shared" si="12"/>
        <v>0</v>
      </c>
      <c r="L46" s="54">
        <f t="shared" si="13"/>
        <v>0</v>
      </c>
      <c r="M46" s="31" t="str">
        <f t="shared" si="8"/>
        <v>g</v>
      </c>
      <c r="N46" s="43" t="str">
        <f t="shared" si="14"/>
        <v/>
      </c>
      <c r="O46" s="33" t="str">
        <f t="shared" si="3"/>
        <v>g</v>
      </c>
      <c r="P46" s="137">
        <f t="shared" si="1"/>
        <v>0</v>
      </c>
      <c r="Q46" s="120" t="str">
        <f t="shared" si="9"/>
        <v>g</v>
      </c>
    </row>
    <row r="47" spans="2:17" ht="36" hidden="1" customHeight="1">
      <c r="B47" s="81"/>
      <c r="C47" s="82"/>
      <c r="D47" s="80"/>
      <c r="E47" s="79" t="str">
        <f t="shared" si="10"/>
        <v/>
      </c>
      <c r="F47" s="120" t="str">
        <f t="shared" si="0"/>
        <v>g</v>
      </c>
      <c r="G47" s="18"/>
      <c r="H47" s="90" t="str">
        <f t="shared" si="11"/>
        <v/>
      </c>
      <c r="I47" s="127" t="str">
        <f t="shared" si="7"/>
        <v>g</v>
      </c>
      <c r="K47" s="95">
        <f t="shared" si="12"/>
        <v>0</v>
      </c>
      <c r="L47" s="54">
        <f t="shared" si="13"/>
        <v>0</v>
      </c>
      <c r="M47" s="31" t="str">
        <f t="shared" si="8"/>
        <v>g</v>
      </c>
      <c r="N47" s="43" t="str">
        <f t="shared" si="14"/>
        <v/>
      </c>
      <c r="O47" s="33" t="str">
        <f t="shared" si="3"/>
        <v>g</v>
      </c>
      <c r="P47" s="137">
        <f t="shared" si="1"/>
        <v>0</v>
      </c>
      <c r="Q47" s="120" t="str">
        <f t="shared" si="9"/>
        <v>g</v>
      </c>
    </row>
    <row r="48" spans="2:17" ht="36" hidden="1" customHeight="1">
      <c r="B48" s="81"/>
      <c r="C48" s="82"/>
      <c r="D48" s="80"/>
      <c r="E48" s="79" t="str">
        <f t="shared" si="10"/>
        <v/>
      </c>
      <c r="F48" s="120" t="str">
        <f t="shared" si="0"/>
        <v>g</v>
      </c>
      <c r="G48" s="18"/>
      <c r="H48" s="90" t="str">
        <f t="shared" si="11"/>
        <v/>
      </c>
      <c r="I48" s="127" t="str">
        <f t="shared" si="7"/>
        <v>g</v>
      </c>
      <c r="K48" s="95">
        <f t="shared" si="12"/>
        <v>0</v>
      </c>
      <c r="L48" s="54">
        <f t="shared" si="13"/>
        <v>0</v>
      </c>
      <c r="M48" s="31" t="str">
        <f t="shared" si="8"/>
        <v>g</v>
      </c>
      <c r="N48" s="43" t="str">
        <f t="shared" si="14"/>
        <v/>
      </c>
      <c r="O48" s="33" t="str">
        <f t="shared" si="3"/>
        <v>g</v>
      </c>
      <c r="P48" s="137">
        <f t="shared" si="1"/>
        <v>0</v>
      </c>
      <c r="Q48" s="120" t="str">
        <f t="shared" si="9"/>
        <v>g</v>
      </c>
    </row>
    <row r="49" spans="2:17" ht="36" hidden="1" customHeight="1">
      <c r="B49" s="81"/>
      <c r="C49" s="82"/>
      <c r="D49" s="80"/>
      <c r="E49" s="79" t="str">
        <f t="shared" si="10"/>
        <v/>
      </c>
      <c r="F49" s="120" t="str">
        <f t="shared" si="0"/>
        <v>g</v>
      </c>
      <c r="G49" s="18"/>
      <c r="H49" s="90" t="str">
        <f t="shared" si="11"/>
        <v/>
      </c>
      <c r="I49" s="127" t="str">
        <f t="shared" si="7"/>
        <v>g</v>
      </c>
      <c r="K49" s="95">
        <f t="shared" si="12"/>
        <v>0</v>
      </c>
      <c r="L49" s="54">
        <f t="shared" si="13"/>
        <v>0</v>
      </c>
      <c r="M49" s="31" t="str">
        <f t="shared" si="8"/>
        <v>g</v>
      </c>
      <c r="N49" s="43" t="str">
        <f t="shared" si="14"/>
        <v/>
      </c>
      <c r="O49" s="33" t="str">
        <f t="shared" si="3"/>
        <v>g</v>
      </c>
      <c r="P49" s="137">
        <f t="shared" si="1"/>
        <v>0</v>
      </c>
      <c r="Q49" s="120" t="str">
        <f t="shared" si="9"/>
        <v>g</v>
      </c>
    </row>
    <row r="50" spans="2:17" ht="36" hidden="1" customHeight="1">
      <c r="B50" s="81"/>
      <c r="C50" s="82"/>
      <c r="D50" s="80"/>
      <c r="E50" s="79" t="str">
        <f t="shared" si="10"/>
        <v/>
      </c>
      <c r="F50" s="120" t="str">
        <f t="shared" si="0"/>
        <v>g</v>
      </c>
      <c r="G50" s="18"/>
      <c r="H50" s="90" t="str">
        <f t="shared" si="11"/>
        <v/>
      </c>
      <c r="I50" s="127" t="str">
        <f t="shared" si="7"/>
        <v>g</v>
      </c>
      <c r="K50" s="95">
        <f t="shared" si="12"/>
        <v>0</v>
      </c>
      <c r="L50" s="54">
        <f t="shared" si="13"/>
        <v>0</v>
      </c>
      <c r="M50" s="31" t="str">
        <f t="shared" si="8"/>
        <v>g</v>
      </c>
      <c r="N50" s="43" t="str">
        <f t="shared" si="14"/>
        <v/>
      </c>
      <c r="O50" s="33" t="str">
        <f t="shared" si="3"/>
        <v>g</v>
      </c>
      <c r="P50" s="137">
        <f t="shared" si="1"/>
        <v>0</v>
      </c>
      <c r="Q50" s="120" t="str">
        <f t="shared" si="9"/>
        <v>g</v>
      </c>
    </row>
    <row r="51" spans="2:17" ht="36" hidden="1" customHeight="1">
      <c r="B51" s="81"/>
      <c r="C51" s="82"/>
      <c r="D51" s="80"/>
      <c r="E51" s="79" t="str">
        <f t="shared" si="10"/>
        <v/>
      </c>
      <c r="F51" s="120" t="str">
        <f t="shared" si="0"/>
        <v>g</v>
      </c>
      <c r="G51" s="18"/>
      <c r="H51" s="90" t="str">
        <f t="shared" si="11"/>
        <v/>
      </c>
      <c r="I51" s="127" t="str">
        <f t="shared" si="7"/>
        <v>g</v>
      </c>
      <c r="K51" s="95">
        <f t="shared" si="12"/>
        <v>0</v>
      </c>
      <c r="L51" s="54">
        <f t="shared" si="13"/>
        <v>0</v>
      </c>
      <c r="M51" s="31" t="str">
        <f t="shared" si="8"/>
        <v>g</v>
      </c>
      <c r="N51" s="43" t="str">
        <f t="shared" si="14"/>
        <v/>
      </c>
      <c r="O51" s="33" t="str">
        <f t="shared" si="3"/>
        <v>g</v>
      </c>
      <c r="P51" s="137">
        <f t="shared" si="1"/>
        <v>0</v>
      </c>
      <c r="Q51" s="120" t="str">
        <f t="shared" si="9"/>
        <v>g</v>
      </c>
    </row>
    <row r="52" spans="2:17" ht="36" hidden="1" customHeight="1">
      <c r="B52" s="81"/>
      <c r="C52" s="82"/>
      <c r="D52" s="80"/>
      <c r="E52" s="79" t="str">
        <f t="shared" si="10"/>
        <v/>
      </c>
      <c r="F52" s="120" t="str">
        <f t="shared" si="0"/>
        <v>g</v>
      </c>
      <c r="G52" s="18"/>
      <c r="H52" s="90" t="str">
        <f t="shared" si="11"/>
        <v/>
      </c>
      <c r="I52" s="127" t="str">
        <f t="shared" si="7"/>
        <v>g</v>
      </c>
      <c r="K52" s="95">
        <f t="shared" si="12"/>
        <v>0</v>
      </c>
      <c r="L52" s="54">
        <f t="shared" si="13"/>
        <v>0</v>
      </c>
      <c r="M52" s="31" t="str">
        <f t="shared" si="8"/>
        <v>g</v>
      </c>
      <c r="N52" s="43" t="str">
        <f t="shared" si="14"/>
        <v/>
      </c>
      <c r="O52" s="33" t="str">
        <f t="shared" si="3"/>
        <v>g</v>
      </c>
      <c r="P52" s="137">
        <f t="shared" si="1"/>
        <v>0</v>
      </c>
      <c r="Q52" s="120" t="str">
        <f t="shared" si="9"/>
        <v>g</v>
      </c>
    </row>
    <row r="53" spans="2:17" ht="36" hidden="1" customHeight="1">
      <c r="B53" s="81"/>
      <c r="C53" s="82"/>
      <c r="D53" s="80"/>
      <c r="E53" s="79" t="str">
        <f t="shared" si="10"/>
        <v/>
      </c>
      <c r="F53" s="120" t="str">
        <f t="shared" si="0"/>
        <v>g</v>
      </c>
      <c r="G53" s="18"/>
      <c r="H53" s="90" t="str">
        <f t="shared" si="11"/>
        <v/>
      </c>
      <c r="I53" s="127" t="str">
        <f t="shared" si="7"/>
        <v>g</v>
      </c>
      <c r="K53" s="95">
        <f t="shared" si="12"/>
        <v>0</v>
      </c>
      <c r="L53" s="54">
        <f t="shared" si="13"/>
        <v>0</v>
      </c>
      <c r="M53" s="31" t="str">
        <f t="shared" si="8"/>
        <v>g</v>
      </c>
      <c r="N53" s="43" t="str">
        <f t="shared" si="14"/>
        <v/>
      </c>
      <c r="O53" s="33" t="str">
        <f t="shared" si="3"/>
        <v>g</v>
      </c>
      <c r="P53" s="137">
        <f t="shared" si="1"/>
        <v>0</v>
      </c>
      <c r="Q53" s="120" t="str">
        <f t="shared" si="9"/>
        <v>g</v>
      </c>
    </row>
    <row r="54" spans="2:17" ht="36" hidden="1" customHeight="1">
      <c r="B54" s="81"/>
      <c r="C54" s="82"/>
      <c r="D54" s="80"/>
      <c r="E54" s="79" t="str">
        <f t="shared" si="10"/>
        <v/>
      </c>
      <c r="F54" s="120" t="str">
        <f t="shared" si="0"/>
        <v>g</v>
      </c>
      <c r="G54" s="18"/>
      <c r="H54" s="90" t="str">
        <f t="shared" si="11"/>
        <v/>
      </c>
      <c r="I54" s="127" t="str">
        <f t="shared" si="7"/>
        <v>g</v>
      </c>
      <c r="K54" s="95">
        <f t="shared" si="12"/>
        <v>0</v>
      </c>
      <c r="L54" s="54">
        <f t="shared" si="13"/>
        <v>0</v>
      </c>
      <c r="M54" s="31" t="str">
        <f t="shared" si="8"/>
        <v>g</v>
      </c>
      <c r="N54" s="43" t="str">
        <f t="shared" si="14"/>
        <v/>
      </c>
      <c r="O54" s="33" t="str">
        <f t="shared" si="3"/>
        <v>g</v>
      </c>
      <c r="P54" s="137">
        <f t="shared" si="1"/>
        <v>0</v>
      </c>
      <c r="Q54" s="120" t="str">
        <f t="shared" si="9"/>
        <v>g</v>
      </c>
    </row>
    <row r="55" spans="2:17" ht="36" hidden="1" customHeight="1">
      <c r="B55" s="81"/>
      <c r="C55" s="82"/>
      <c r="D55" s="80"/>
      <c r="E55" s="79" t="str">
        <f t="shared" si="10"/>
        <v/>
      </c>
      <c r="F55" s="120" t="str">
        <f t="shared" si="0"/>
        <v>g</v>
      </c>
      <c r="G55" s="18"/>
      <c r="H55" s="90" t="str">
        <f t="shared" si="11"/>
        <v/>
      </c>
      <c r="I55" s="127" t="str">
        <f t="shared" si="7"/>
        <v>g</v>
      </c>
      <c r="K55" s="95">
        <f t="shared" si="12"/>
        <v>0</v>
      </c>
      <c r="L55" s="54">
        <f t="shared" si="13"/>
        <v>0</v>
      </c>
      <c r="M55" s="31" t="str">
        <f t="shared" si="8"/>
        <v>g</v>
      </c>
      <c r="N55" s="43" t="str">
        <f t="shared" si="14"/>
        <v/>
      </c>
      <c r="O55" s="33" t="str">
        <f t="shared" si="3"/>
        <v>g</v>
      </c>
      <c r="P55" s="137">
        <f t="shared" si="1"/>
        <v>0</v>
      </c>
      <c r="Q55" s="120" t="str">
        <f t="shared" si="9"/>
        <v>g</v>
      </c>
    </row>
    <row r="56" spans="2:17" ht="36" hidden="1" customHeight="1">
      <c r="B56" s="81"/>
      <c r="C56" s="82"/>
      <c r="D56" s="80"/>
      <c r="E56" s="79" t="str">
        <f t="shared" si="10"/>
        <v/>
      </c>
      <c r="F56" s="120" t="str">
        <f t="shared" si="0"/>
        <v>g</v>
      </c>
      <c r="G56" s="18"/>
      <c r="H56" s="90" t="str">
        <f t="shared" si="11"/>
        <v/>
      </c>
      <c r="I56" s="127" t="str">
        <f t="shared" si="7"/>
        <v>g</v>
      </c>
      <c r="K56" s="95">
        <f t="shared" si="12"/>
        <v>0</v>
      </c>
      <c r="L56" s="54">
        <f t="shared" si="13"/>
        <v>0</v>
      </c>
      <c r="M56" s="31" t="str">
        <f t="shared" si="8"/>
        <v>g</v>
      </c>
      <c r="N56" s="43" t="str">
        <f t="shared" si="14"/>
        <v/>
      </c>
      <c r="O56" s="33" t="str">
        <f t="shared" si="3"/>
        <v>g</v>
      </c>
      <c r="P56" s="137">
        <f t="shared" si="1"/>
        <v>0</v>
      </c>
      <c r="Q56" s="120" t="str">
        <f t="shared" si="9"/>
        <v>g</v>
      </c>
    </row>
    <row r="57" spans="2:17" ht="36" hidden="1" customHeight="1">
      <c r="B57" s="81"/>
      <c r="C57" s="82"/>
      <c r="D57" s="80"/>
      <c r="E57" s="79" t="str">
        <f t="shared" si="10"/>
        <v/>
      </c>
      <c r="F57" s="120" t="str">
        <f t="shared" si="0"/>
        <v>g</v>
      </c>
      <c r="G57" s="18"/>
      <c r="H57" s="90" t="str">
        <f t="shared" si="11"/>
        <v/>
      </c>
      <c r="I57" s="127" t="str">
        <f t="shared" si="7"/>
        <v>g</v>
      </c>
      <c r="K57" s="95">
        <f t="shared" si="12"/>
        <v>0</v>
      </c>
      <c r="L57" s="54">
        <f t="shared" si="13"/>
        <v>0</v>
      </c>
      <c r="M57" s="31" t="str">
        <f t="shared" si="8"/>
        <v>g</v>
      </c>
      <c r="N57" s="43" t="str">
        <f t="shared" si="14"/>
        <v/>
      </c>
      <c r="O57" s="33" t="str">
        <f t="shared" si="3"/>
        <v>g</v>
      </c>
      <c r="P57" s="137">
        <f t="shared" si="1"/>
        <v>0</v>
      </c>
      <c r="Q57" s="120" t="str">
        <f t="shared" si="9"/>
        <v>g</v>
      </c>
    </row>
    <row r="58" spans="2:17" ht="36" hidden="1" customHeight="1">
      <c r="B58" s="81"/>
      <c r="C58" s="82"/>
      <c r="D58" s="80"/>
      <c r="E58" s="79" t="str">
        <f t="shared" si="10"/>
        <v/>
      </c>
      <c r="F58" s="120" t="str">
        <f t="shared" si="0"/>
        <v>g</v>
      </c>
      <c r="G58" s="18"/>
      <c r="H58" s="90" t="str">
        <f t="shared" si="11"/>
        <v/>
      </c>
      <c r="I58" s="127" t="str">
        <f t="shared" si="7"/>
        <v>g</v>
      </c>
      <c r="K58" s="95">
        <f t="shared" si="12"/>
        <v>0</v>
      </c>
      <c r="L58" s="54">
        <f t="shared" si="13"/>
        <v>0</v>
      </c>
      <c r="M58" s="31" t="str">
        <f t="shared" si="8"/>
        <v>g</v>
      </c>
      <c r="N58" s="43" t="str">
        <f t="shared" si="14"/>
        <v/>
      </c>
      <c r="O58" s="33" t="str">
        <f t="shared" si="3"/>
        <v>g</v>
      </c>
      <c r="P58" s="137">
        <f t="shared" si="1"/>
        <v>0</v>
      </c>
      <c r="Q58" s="120" t="str">
        <f t="shared" si="9"/>
        <v>g</v>
      </c>
    </row>
    <row r="59" spans="2:17" ht="36" hidden="1" customHeight="1">
      <c r="B59" s="81"/>
      <c r="C59" s="82"/>
      <c r="D59" s="80"/>
      <c r="E59" s="79" t="str">
        <f t="shared" si="10"/>
        <v/>
      </c>
      <c r="F59" s="120" t="str">
        <f t="shared" si="0"/>
        <v>g</v>
      </c>
      <c r="G59" s="18"/>
      <c r="H59" s="90" t="str">
        <f t="shared" si="11"/>
        <v/>
      </c>
      <c r="I59" s="127" t="str">
        <f t="shared" si="7"/>
        <v>g</v>
      </c>
      <c r="K59" s="95">
        <f t="shared" si="12"/>
        <v>0</v>
      </c>
      <c r="L59" s="54">
        <f t="shared" si="13"/>
        <v>0</v>
      </c>
      <c r="M59" s="31" t="str">
        <f t="shared" si="8"/>
        <v>g</v>
      </c>
      <c r="N59" s="43" t="str">
        <f t="shared" si="14"/>
        <v/>
      </c>
      <c r="O59" s="33" t="str">
        <f t="shared" si="3"/>
        <v>g</v>
      </c>
      <c r="P59" s="137">
        <f t="shared" si="1"/>
        <v>0</v>
      </c>
      <c r="Q59" s="120" t="str">
        <f t="shared" si="9"/>
        <v>g</v>
      </c>
    </row>
    <row r="60" spans="2:17" ht="36" hidden="1" customHeight="1">
      <c r="B60" s="81"/>
      <c r="C60" s="82"/>
      <c r="D60" s="80"/>
      <c r="E60" s="79" t="str">
        <f t="shared" si="10"/>
        <v/>
      </c>
      <c r="F60" s="120" t="str">
        <f t="shared" si="0"/>
        <v>g</v>
      </c>
      <c r="G60" s="18"/>
      <c r="H60" s="90" t="str">
        <f t="shared" si="11"/>
        <v/>
      </c>
      <c r="I60" s="127" t="str">
        <f t="shared" si="7"/>
        <v>g</v>
      </c>
      <c r="K60" s="95">
        <f t="shared" si="12"/>
        <v>0</v>
      </c>
      <c r="L60" s="54">
        <f t="shared" si="13"/>
        <v>0</v>
      </c>
      <c r="M60" s="31" t="str">
        <f t="shared" si="8"/>
        <v>g</v>
      </c>
      <c r="N60" s="43" t="str">
        <f t="shared" si="14"/>
        <v/>
      </c>
      <c r="O60" s="33" t="str">
        <f t="shared" si="3"/>
        <v>g</v>
      </c>
      <c r="P60" s="137">
        <f t="shared" si="1"/>
        <v>0</v>
      </c>
      <c r="Q60" s="120" t="str">
        <f t="shared" si="9"/>
        <v>g</v>
      </c>
    </row>
    <row r="61" spans="2:17" ht="36" hidden="1" customHeight="1">
      <c r="B61" s="81"/>
      <c r="C61" s="82"/>
      <c r="D61" s="80"/>
      <c r="E61" s="79" t="str">
        <f t="shared" si="10"/>
        <v/>
      </c>
      <c r="F61" s="120" t="str">
        <f t="shared" si="0"/>
        <v>g</v>
      </c>
      <c r="G61" s="18"/>
      <c r="H61" s="90" t="str">
        <f t="shared" si="11"/>
        <v/>
      </c>
      <c r="I61" s="127" t="str">
        <f t="shared" si="7"/>
        <v>g</v>
      </c>
      <c r="K61" s="95">
        <f t="shared" si="12"/>
        <v>0</v>
      </c>
      <c r="L61" s="54">
        <f t="shared" si="13"/>
        <v>0</v>
      </c>
      <c r="M61" s="31" t="str">
        <f t="shared" si="8"/>
        <v>g</v>
      </c>
      <c r="N61" s="43" t="str">
        <f t="shared" si="14"/>
        <v/>
      </c>
      <c r="O61" s="33" t="str">
        <f t="shared" si="3"/>
        <v>g</v>
      </c>
      <c r="P61" s="137">
        <f t="shared" si="1"/>
        <v>0</v>
      </c>
      <c r="Q61" s="120" t="str">
        <f t="shared" si="9"/>
        <v>g</v>
      </c>
    </row>
    <row r="62" spans="2:17" ht="36" hidden="1" customHeight="1">
      <c r="B62" s="81"/>
      <c r="C62" s="82"/>
      <c r="D62" s="80"/>
      <c r="E62" s="79" t="str">
        <f t="shared" ref="E62:E116" si="15">IFERROR(L62/K62,  IF(D62="", "", 0))</f>
        <v/>
      </c>
      <c r="F62" s="120" t="str">
        <f t="shared" si="0"/>
        <v>g</v>
      </c>
      <c r="G62" s="18"/>
      <c r="H62" s="90" t="str">
        <f t="shared" ref="H62:H116" si="16">IF($G$3="", "", IF(E62="", "", E62*$G$3%))</f>
        <v/>
      </c>
      <c r="I62" s="127" t="str">
        <f t="shared" si="7"/>
        <v>g</v>
      </c>
      <c r="K62" s="95">
        <f t="shared" ref="K62:K116" si="17">IF(AND(D62="", B62&lt;&gt;""), 1, ROUNDUP(D62/30,0))</f>
        <v>0</v>
      </c>
      <c r="L62" s="54">
        <f t="shared" ref="L62:L116" si="18">IF(AND(D62="", B62&lt;&gt;""), $E$2, D62*$E$2)</f>
        <v>0</v>
      </c>
      <c r="M62" s="31" t="str">
        <f t="shared" si="8"/>
        <v>g</v>
      </c>
      <c r="N62" s="43" t="str">
        <f t="shared" ref="N62:N116" si="19">IF($G$3="", "", L62*$G$3%)</f>
        <v/>
      </c>
      <c r="O62" s="33" t="str">
        <f t="shared" si="3"/>
        <v>g</v>
      </c>
      <c r="P62" s="137">
        <f t="shared" ref="P62:P116" si="20">IF(F62="g", IF(I62="g", IFERROR(E62+H62, 0), 0), 0)</f>
        <v>0</v>
      </c>
      <c r="Q62" s="120" t="str">
        <f t="shared" si="9"/>
        <v>g</v>
      </c>
    </row>
    <row r="63" spans="2:17" ht="36" hidden="1" customHeight="1">
      <c r="B63" s="81"/>
      <c r="C63" s="82"/>
      <c r="D63" s="80"/>
      <c r="E63" s="79" t="str">
        <f t="shared" si="15"/>
        <v/>
      </c>
      <c r="F63" s="120" t="str">
        <f t="shared" si="0"/>
        <v>g</v>
      </c>
      <c r="G63" s="18"/>
      <c r="H63" s="90" t="str">
        <f t="shared" si="16"/>
        <v/>
      </c>
      <c r="I63" s="127" t="str">
        <f t="shared" si="7"/>
        <v>g</v>
      </c>
      <c r="K63" s="95">
        <f t="shared" si="17"/>
        <v>0</v>
      </c>
      <c r="L63" s="54">
        <f t="shared" si="18"/>
        <v>0</v>
      </c>
      <c r="M63" s="31" t="str">
        <f t="shared" si="8"/>
        <v>g</v>
      </c>
      <c r="N63" s="43" t="str">
        <f t="shared" si="19"/>
        <v/>
      </c>
      <c r="O63" s="33" t="str">
        <f t="shared" si="3"/>
        <v>g</v>
      </c>
      <c r="P63" s="137">
        <f t="shared" si="20"/>
        <v>0</v>
      </c>
      <c r="Q63" s="120" t="str">
        <f t="shared" si="9"/>
        <v>g</v>
      </c>
    </row>
    <row r="64" spans="2:17" ht="36" hidden="1" customHeight="1">
      <c r="B64" s="81"/>
      <c r="C64" s="82"/>
      <c r="D64" s="80"/>
      <c r="E64" s="79" t="str">
        <f t="shared" si="15"/>
        <v/>
      </c>
      <c r="F64" s="120" t="str">
        <f t="shared" si="0"/>
        <v>g</v>
      </c>
      <c r="G64" s="18"/>
      <c r="H64" s="90" t="str">
        <f t="shared" si="16"/>
        <v/>
      </c>
      <c r="I64" s="127" t="str">
        <f t="shared" si="7"/>
        <v>g</v>
      </c>
      <c r="K64" s="95">
        <f t="shared" si="17"/>
        <v>0</v>
      </c>
      <c r="L64" s="54">
        <f t="shared" si="18"/>
        <v>0</v>
      </c>
      <c r="M64" s="31" t="str">
        <f t="shared" si="8"/>
        <v>g</v>
      </c>
      <c r="N64" s="43" t="str">
        <f t="shared" si="19"/>
        <v/>
      </c>
      <c r="O64" s="33" t="str">
        <f t="shared" si="3"/>
        <v>g</v>
      </c>
      <c r="P64" s="137">
        <f t="shared" si="20"/>
        <v>0</v>
      </c>
      <c r="Q64" s="120" t="str">
        <f t="shared" si="9"/>
        <v>g</v>
      </c>
    </row>
    <row r="65" spans="2:17" ht="36" hidden="1" customHeight="1">
      <c r="B65" s="81"/>
      <c r="C65" s="82"/>
      <c r="D65" s="80"/>
      <c r="E65" s="79" t="str">
        <f t="shared" si="15"/>
        <v/>
      </c>
      <c r="F65" s="120" t="str">
        <f t="shared" si="0"/>
        <v>g</v>
      </c>
      <c r="G65" s="18"/>
      <c r="H65" s="90" t="str">
        <f t="shared" si="16"/>
        <v/>
      </c>
      <c r="I65" s="127" t="str">
        <f t="shared" si="7"/>
        <v>g</v>
      </c>
      <c r="K65" s="95">
        <f t="shared" si="17"/>
        <v>0</v>
      </c>
      <c r="L65" s="54">
        <f t="shared" si="18"/>
        <v>0</v>
      </c>
      <c r="M65" s="31" t="str">
        <f t="shared" si="8"/>
        <v>g</v>
      </c>
      <c r="N65" s="43" t="str">
        <f t="shared" si="19"/>
        <v/>
      </c>
      <c r="O65" s="33" t="str">
        <f t="shared" si="3"/>
        <v>g</v>
      </c>
      <c r="P65" s="137">
        <f t="shared" si="20"/>
        <v>0</v>
      </c>
      <c r="Q65" s="120" t="str">
        <f t="shared" si="9"/>
        <v>g</v>
      </c>
    </row>
    <row r="66" spans="2:17" ht="36" hidden="1" customHeight="1">
      <c r="B66" s="81"/>
      <c r="C66" s="82"/>
      <c r="D66" s="80"/>
      <c r="E66" s="79" t="str">
        <f t="shared" si="15"/>
        <v/>
      </c>
      <c r="F66" s="120" t="str">
        <f t="shared" si="0"/>
        <v>g</v>
      </c>
      <c r="G66" s="18"/>
      <c r="H66" s="90" t="str">
        <f t="shared" si="16"/>
        <v/>
      </c>
      <c r="I66" s="127" t="str">
        <f t="shared" si="7"/>
        <v>g</v>
      </c>
      <c r="K66" s="95">
        <f t="shared" si="17"/>
        <v>0</v>
      </c>
      <c r="L66" s="54">
        <f t="shared" si="18"/>
        <v>0</v>
      </c>
      <c r="M66" s="31" t="str">
        <f t="shared" si="8"/>
        <v>g</v>
      </c>
      <c r="N66" s="43" t="str">
        <f t="shared" si="19"/>
        <v/>
      </c>
      <c r="O66" s="33" t="str">
        <f t="shared" si="3"/>
        <v>g</v>
      </c>
      <c r="P66" s="137">
        <f t="shared" si="20"/>
        <v>0</v>
      </c>
      <c r="Q66" s="120" t="str">
        <f t="shared" si="9"/>
        <v>g</v>
      </c>
    </row>
    <row r="67" spans="2:17" ht="36" hidden="1" customHeight="1">
      <c r="B67" s="81"/>
      <c r="C67" s="82"/>
      <c r="D67" s="80"/>
      <c r="E67" s="79" t="str">
        <f t="shared" si="15"/>
        <v/>
      </c>
      <c r="F67" s="120" t="str">
        <f t="shared" si="0"/>
        <v>g</v>
      </c>
      <c r="G67" s="18"/>
      <c r="H67" s="90" t="str">
        <f t="shared" si="16"/>
        <v/>
      </c>
      <c r="I67" s="127" t="str">
        <f t="shared" si="7"/>
        <v>g</v>
      </c>
      <c r="K67" s="95">
        <f t="shared" si="17"/>
        <v>0</v>
      </c>
      <c r="L67" s="54">
        <f t="shared" si="18"/>
        <v>0</v>
      </c>
      <c r="M67" s="31" t="str">
        <f t="shared" si="8"/>
        <v>g</v>
      </c>
      <c r="N67" s="43" t="str">
        <f t="shared" si="19"/>
        <v/>
      </c>
      <c r="O67" s="33" t="str">
        <f t="shared" si="3"/>
        <v>g</v>
      </c>
      <c r="P67" s="137">
        <f t="shared" si="20"/>
        <v>0</v>
      </c>
      <c r="Q67" s="120" t="str">
        <f t="shared" si="9"/>
        <v>g</v>
      </c>
    </row>
    <row r="68" spans="2:17" ht="36" hidden="1" customHeight="1">
      <c r="B68" s="81"/>
      <c r="C68" s="82"/>
      <c r="D68" s="80"/>
      <c r="E68" s="79" t="str">
        <f t="shared" si="15"/>
        <v/>
      </c>
      <c r="F68" s="120" t="str">
        <f t="shared" si="0"/>
        <v>g</v>
      </c>
      <c r="G68" s="18"/>
      <c r="H68" s="90" t="str">
        <f t="shared" si="16"/>
        <v/>
      </c>
      <c r="I68" s="127" t="str">
        <f t="shared" si="7"/>
        <v>g</v>
      </c>
      <c r="K68" s="95">
        <f t="shared" si="17"/>
        <v>0</v>
      </c>
      <c r="L68" s="54">
        <f t="shared" si="18"/>
        <v>0</v>
      </c>
      <c r="M68" s="31" t="str">
        <f t="shared" si="8"/>
        <v>g</v>
      </c>
      <c r="N68" s="43" t="str">
        <f t="shared" si="19"/>
        <v/>
      </c>
      <c r="O68" s="33" t="str">
        <f t="shared" si="3"/>
        <v>g</v>
      </c>
      <c r="P68" s="137">
        <f t="shared" si="20"/>
        <v>0</v>
      </c>
      <c r="Q68" s="120" t="str">
        <f t="shared" si="9"/>
        <v>g</v>
      </c>
    </row>
    <row r="69" spans="2:17" ht="36" hidden="1" customHeight="1">
      <c r="B69" s="81"/>
      <c r="C69" s="82"/>
      <c r="D69" s="80"/>
      <c r="E69" s="79" t="str">
        <f t="shared" si="15"/>
        <v/>
      </c>
      <c r="F69" s="120" t="str">
        <f t="shared" si="0"/>
        <v>g</v>
      </c>
      <c r="G69" s="18"/>
      <c r="H69" s="90" t="str">
        <f t="shared" si="16"/>
        <v/>
      </c>
      <c r="I69" s="127" t="str">
        <f t="shared" si="7"/>
        <v>g</v>
      </c>
      <c r="K69" s="95">
        <f t="shared" si="17"/>
        <v>0</v>
      </c>
      <c r="L69" s="54">
        <f t="shared" si="18"/>
        <v>0</v>
      </c>
      <c r="M69" s="31" t="str">
        <f t="shared" si="8"/>
        <v>g</v>
      </c>
      <c r="N69" s="43" t="str">
        <f t="shared" si="19"/>
        <v/>
      </c>
      <c r="O69" s="33" t="str">
        <f t="shared" si="3"/>
        <v>g</v>
      </c>
      <c r="P69" s="137">
        <f t="shared" si="20"/>
        <v>0</v>
      </c>
      <c r="Q69" s="120" t="str">
        <f t="shared" si="9"/>
        <v>g</v>
      </c>
    </row>
    <row r="70" spans="2:17" ht="36" hidden="1" customHeight="1">
      <c r="B70" s="81"/>
      <c r="C70" s="82"/>
      <c r="D70" s="80"/>
      <c r="E70" s="79" t="str">
        <f t="shared" si="15"/>
        <v/>
      </c>
      <c r="F70" s="120" t="str">
        <f t="shared" si="0"/>
        <v>g</v>
      </c>
      <c r="G70" s="18"/>
      <c r="H70" s="90" t="str">
        <f t="shared" si="16"/>
        <v/>
      </c>
      <c r="I70" s="127" t="str">
        <f t="shared" si="7"/>
        <v>g</v>
      </c>
      <c r="K70" s="95">
        <f t="shared" si="17"/>
        <v>0</v>
      </c>
      <c r="L70" s="54">
        <f t="shared" si="18"/>
        <v>0</v>
      </c>
      <c r="M70" s="31" t="str">
        <f t="shared" si="8"/>
        <v>g</v>
      </c>
      <c r="N70" s="43" t="str">
        <f t="shared" si="19"/>
        <v/>
      </c>
      <c r="O70" s="33" t="str">
        <f t="shared" si="3"/>
        <v>g</v>
      </c>
      <c r="P70" s="137">
        <f t="shared" si="20"/>
        <v>0</v>
      </c>
      <c r="Q70" s="120" t="str">
        <f t="shared" si="9"/>
        <v>g</v>
      </c>
    </row>
    <row r="71" spans="2:17" ht="36" hidden="1" customHeight="1">
      <c r="B71" s="81"/>
      <c r="C71" s="82"/>
      <c r="D71" s="80"/>
      <c r="E71" s="79" t="str">
        <f t="shared" si="15"/>
        <v/>
      </c>
      <c r="F71" s="120" t="str">
        <f t="shared" si="0"/>
        <v>g</v>
      </c>
      <c r="G71" s="18"/>
      <c r="H71" s="90" t="str">
        <f t="shared" si="16"/>
        <v/>
      </c>
      <c r="I71" s="127" t="str">
        <f t="shared" si="7"/>
        <v>g</v>
      </c>
      <c r="K71" s="95">
        <f t="shared" si="17"/>
        <v>0</v>
      </c>
      <c r="L71" s="54">
        <f t="shared" si="18"/>
        <v>0</v>
      </c>
      <c r="M71" s="31" t="str">
        <f t="shared" si="8"/>
        <v>g</v>
      </c>
      <c r="N71" s="43" t="str">
        <f t="shared" si="19"/>
        <v/>
      </c>
      <c r="O71" s="33" t="str">
        <f t="shared" si="3"/>
        <v>g</v>
      </c>
      <c r="P71" s="137">
        <f t="shared" si="20"/>
        <v>0</v>
      </c>
      <c r="Q71" s="120" t="str">
        <f t="shared" si="9"/>
        <v>g</v>
      </c>
    </row>
    <row r="72" spans="2:17" ht="36" hidden="1" customHeight="1">
      <c r="B72" s="81"/>
      <c r="C72" s="82"/>
      <c r="D72" s="80"/>
      <c r="E72" s="79" t="str">
        <f t="shared" si="15"/>
        <v/>
      </c>
      <c r="F72" s="120" t="str">
        <f t="shared" si="0"/>
        <v>g</v>
      </c>
      <c r="G72" s="18"/>
      <c r="H72" s="90" t="str">
        <f t="shared" si="16"/>
        <v/>
      </c>
      <c r="I72" s="127" t="str">
        <f t="shared" si="7"/>
        <v>g</v>
      </c>
      <c r="K72" s="95">
        <f t="shared" si="17"/>
        <v>0</v>
      </c>
      <c r="L72" s="54">
        <f t="shared" si="18"/>
        <v>0</v>
      </c>
      <c r="M72" s="31" t="str">
        <f t="shared" si="8"/>
        <v>g</v>
      </c>
      <c r="N72" s="43" t="str">
        <f t="shared" si="19"/>
        <v/>
      </c>
      <c r="O72" s="33" t="str">
        <f t="shared" si="3"/>
        <v>g</v>
      </c>
      <c r="P72" s="137">
        <f t="shared" si="20"/>
        <v>0</v>
      </c>
      <c r="Q72" s="120" t="str">
        <f t="shared" si="9"/>
        <v>g</v>
      </c>
    </row>
    <row r="73" spans="2:17" ht="36" hidden="1" customHeight="1">
      <c r="B73" s="81"/>
      <c r="C73" s="82"/>
      <c r="D73" s="80"/>
      <c r="E73" s="79" t="str">
        <f t="shared" si="15"/>
        <v/>
      </c>
      <c r="F73" s="120" t="str">
        <f t="shared" si="0"/>
        <v>g</v>
      </c>
      <c r="G73" s="18"/>
      <c r="H73" s="90" t="str">
        <f t="shared" si="16"/>
        <v/>
      </c>
      <c r="I73" s="127" t="str">
        <f t="shared" si="7"/>
        <v>g</v>
      </c>
      <c r="K73" s="95">
        <f t="shared" si="17"/>
        <v>0</v>
      </c>
      <c r="L73" s="54">
        <f t="shared" si="18"/>
        <v>0</v>
      </c>
      <c r="M73" s="31" t="str">
        <f t="shared" si="8"/>
        <v>g</v>
      </c>
      <c r="N73" s="43" t="str">
        <f t="shared" si="19"/>
        <v/>
      </c>
      <c r="O73" s="33" t="str">
        <f t="shared" si="3"/>
        <v>g</v>
      </c>
      <c r="P73" s="137">
        <f t="shared" si="20"/>
        <v>0</v>
      </c>
      <c r="Q73" s="120" t="str">
        <f t="shared" si="9"/>
        <v>g</v>
      </c>
    </row>
    <row r="74" spans="2:17" ht="36" hidden="1" customHeight="1">
      <c r="B74" s="81"/>
      <c r="C74" s="82"/>
      <c r="D74" s="80"/>
      <c r="E74" s="79" t="str">
        <f t="shared" si="15"/>
        <v/>
      </c>
      <c r="F74" s="120" t="str">
        <f t="shared" si="0"/>
        <v>g</v>
      </c>
      <c r="G74" s="18"/>
      <c r="H74" s="90" t="str">
        <f t="shared" si="16"/>
        <v/>
      </c>
      <c r="I74" s="127" t="str">
        <f t="shared" si="7"/>
        <v>g</v>
      </c>
      <c r="K74" s="95">
        <f t="shared" si="17"/>
        <v>0</v>
      </c>
      <c r="L74" s="54">
        <f t="shared" si="18"/>
        <v>0</v>
      </c>
      <c r="M74" s="31" t="str">
        <f t="shared" si="8"/>
        <v>g</v>
      </c>
      <c r="N74" s="43" t="str">
        <f t="shared" si="19"/>
        <v/>
      </c>
      <c r="O74" s="33" t="str">
        <f t="shared" si="3"/>
        <v>g</v>
      </c>
      <c r="P74" s="137">
        <f t="shared" si="20"/>
        <v>0</v>
      </c>
      <c r="Q74" s="120" t="str">
        <f t="shared" si="9"/>
        <v>g</v>
      </c>
    </row>
    <row r="75" spans="2:17" ht="36" hidden="1" customHeight="1">
      <c r="B75" s="81"/>
      <c r="C75" s="82"/>
      <c r="D75" s="80"/>
      <c r="E75" s="79" t="str">
        <f t="shared" si="15"/>
        <v/>
      </c>
      <c r="F75" s="120" t="str">
        <f t="shared" si="0"/>
        <v>g</v>
      </c>
      <c r="G75" s="18"/>
      <c r="H75" s="90" t="str">
        <f t="shared" si="16"/>
        <v/>
      </c>
      <c r="I75" s="127" t="str">
        <f t="shared" si="7"/>
        <v>g</v>
      </c>
      <c r="K75" s="95">
        <f t="shared" si="17"/>
        <v>0</v>
      </c>
      <c r="L75" s="54">
        <f t="shared" si="18"/>
        <v>0</v>
      </c>
      <c r="M75" s="31" t="str">
        <f t="shared" si="8"/>
        <v>g</v>
      </c>
      <c r="N75" s="43" t="str">
        <f t="shared" si="19"/>
        <v/>
      </c>
      <c r="O75" s="33" t="str">
        <f t="shared" si="3"/>
        <v>g</v>
      </c>
      <c r="P75" s="137">
        <f t="shared" si="20"/>
        <v>0</v>
      </c>
      <c r="Q75" s="120" t="str">
        <f t="shared" si="9"/>
        <v>g</v>
      </c>
    </row>
    <row r="76" spans="2:17" ht="36" hidden="1" customHeight="1">
      <c r="B76" s="81"/>
      <c r="C76" s="82"/>
      <c r="D76" s="80"/>
      <c r="E76" s="79" t="str">
        <f t="shared" si="15"/>
        <v/>
      </c>
      <c r="F76" s="120" t="str">
        <f t="shared" si="0"/>
        <v>g</v>
      </c>
      <c r="G76" s="18"/>
      <c r="H76" s="90" t="str">
        <f t="shared" si="16"/>
        <v/>
      </c>
      <c r="I76" s="127" t="str">
        <f t="shared" si="7"/>
        <v>g</v>
      </c>
      <c r="K76" s="95">
        <f t="shared" si="17"/>
        <v>0</v>
      </c>
      <c r="L76" s="54">
        <f t="shared" si="18"/>
        <v>0</v>
      </c>
      <c r="M76" s="31" t="str">
        <f t="shared" si="8"/>
        <v>g</v>
      </c>
      <c r="N76" s="43" t="str">
        <f t="shared" si="19"/>
        <v/>
      </c>
      <c r="O76" s="33" t="str">
        <f t="shared" si="3"/>
        <v>g</v>
      </c>
      <c r="P76" s="137">
        <f t="shared" si="20"/>
        <v>0</v>
      </c>
      <c r="Q76" s="120" t="str">
        <f t="shared" si="9"/>
        <v>g</v>
      </c>
    </row>
    <row r="77" spans="2:17" ht="36" hidden="1" customHeight="1">
      <c r="B77" s="81"/>
      <c r="C77" s="82"/>
      <c r="D77" s="80"/>
      <c r="E77" s="79" t="str">
        <f t="shared" si="15"/>
        <v/>
      </c>
      <c r="F77" s="120" t="str">
        <f t="shared" si="0"/>
        <v>g</v>
      </c>
      <c r="G77" s="18"/>
      <c r="H77" s="90" t="str">
        <f t="shared" si="16"/>
        <v/>
      </c>
      <c r="I77" s="127" t="str">
        <f t="shared" si="7"/>
        <v>g</v>
      </c>
      <c r="K77" s="95">
        <f t="shared" si="17"/>
        <v>0</v>
      </c>
      <c r="L77" s="54">
        <f t="shared" si="18"/>
        <v>0</v>
      </c>
      <c r="M77" s="31" t="str">
        <f t="shared" si="8"/>
        <v>g</v>
      </c>
      <c r="N77" s="43" t="str">
        <f t="shared" si="19"/>
        <v/>
      </c>
      <c r="O77" s="33" t="str">
        <f t="shared" si="3"/>
        <v>g</v>
      </c>
      <c r="P77" s="137">
        <f t="shared" si="20"/>
        <v>0</v>
      </c>
      <c r="Q77" s="120" t="str">
        <f t="shared" si="9"/>
        <v>g</v>
      </c>
    </row>
    <row r="78" spans="2:17" ht="36" hidden="1" customHeight="1">
      <c r="B78" s="81"/>
      <c r="C78" s="82"/>
      <c r="D78" s="80"/>
      <c r="E78" s="79" t="str">
        <f t="shared" si="15"/>
        <v/>
      </c>
      <c r="F78" s="120" t="str">
        <f t="shared" si="0"/>
        <v>g</v>
      </c>
      <c r="G78" s="18"/>
      <c r="H78" s="90" t="str">
        <f t="shared" si="16"/>
        <v/>
      </c>
      <c r="I78" s="127" t="str">
        <f t="shared" si="7"/>
        <v>g</v>
      </c>
      <c r="K78" s="95">
        <f t="shared" si="17"/>
        <v>0</v>
      </c>
      <c r="L78" s="54">
        <f t="shared" si="18"/>
        <v>0</v>
      </c>
      <c r="M78" s="31" t="str">
        <f t="shared" si="8"/>
        <v>g</v>
      </c>
      <c r="N78" s="43" t="str">
        <f t="shared" si="19"/>
        <v/>
      </c>
      <c r="O78" s="33" t="str">
        <f t="shared" si="3"/>
        <v>g</v>
      </c>
      <c r="P78" s="137">
        <f t="shared" si="20"/>
        <v>0</v>
      </c>
      <c r="Q78" s="120" t="str">
        <f t="shared" si="9"/>
        <v>g</v>
      </c>
    </row>
    <row r="79" spans="2:17" ht="36" hidden="1" customHeight="1">
      <c r="B79" s="81"/>
      <c r="C79" s="82"/>
      <c r="D79" s="80"/>
      <c r="E79" s="79" t="str">
        <f t="shared" si="15"/>
        <v/>
      </c>
      <c r="F79" s="120" t="str">
        <f t="shared" si="0"/>
        <v>g</v>
      </c>
      <c r="G79" s="18"/>
      <c r="H79" s="90" t="str">
        <f t="shared" si="16"/>
        <v/>
      </c>
      <c r="I79" s="127" t="str">
        <f t="shared" si="7"/>
        <v>g</v>
      </c>
      <c r="K79" s="95">
        <f t="shared" si="17"/>
        <v>0</v>
      </c>
      <c r="L79" s="54">
        <f t="shared" si="18"/>
        <v>0</v>
      </c>
      <c r="M79" s="31" t="str">
        <f t="shared" si="8"/>
        <v>g</v>
      </c>
      <c r="N79" s="43" t="str">
        <f t="shared" si="19"/>
        <v/>
      </c>
      <c r="O79" s="33" t="str">
        <f t="shared" si="3"/>
        <v>g</v>
      </c>
      <c r="P79" s="137">
        <f t="shared" si="20"/>
        <v>0</v>
      </c>
      <c r="Q79" s="120" t="str">
        <f t="shared" si="9"/>
        <v>g</v>
      </c>
    </row>
    <row r="80" spans="2:17" ht="36" hidden="1" customHeight="1">
      <c r="B80" s="81"/>
      <c r="C80" s="82"/>
      <c r="D80" s="80"/>
      <c r="E80" s="79" t="str">
        <f t="shared" si="15"/>
        <v/>
      </c>
      <c r="F80" s="120" t="str">
        <f t="shared" si="0"/>
        <v>g</v>
      </c>
      <c r="G80" s="18"/>
      <c r="H80" s="90" t="str">
        <f t="shared" si="16"/>
        <v/>
      </c>
      <c r="I80" s="127" t="str">
        <f t="shared" si="7"/>
        <v>g</v>
      </c>
      <c r="K80" s="95">
        <f t="shared" si="17"/>
        <v>0</v>
      </c>
      <c r="L80" s="54">
        <f t="shared" si="18"/>
        <v>0</v>
      </c>
      <c r="M80" s="31" t="str">
        <f t="shared" si="8"/>
        <v>g</v>
      </c>
      <c r="N80" s="43" t="str">
        <f t="shared" si="19"/>
        <v/>
      </c>
      <c r="O80" s="33" t="str">
        <f t="shared" si="3"/>
        <v>g</v>
      </c>
      <c r="P80" s="137">
        <f t="shared" si="20"/>
        <v>0</v>
      </c>
      <c r="Q80" s="120" t="str">
        <f t="shared" si="9"/>
        <v>g</v>
      </c>
    </row>
    <row r="81" spans="2:17" ht="36" hidden="1" customHeight="1">
      <c r="B81" s="81"/>
      <c r="C81" s="82"/>
      <c r="D81" s="80"/>
      <c r="E81" s="79" t="str">
        <f t="shared" si="15"/>
        <v/>
      </c>
      <c r="F81" s="120" t="str">
        <f t="shared" si="0"/>
        <v>g</v>
      </c>
      <c r="G81" s="18"/>
      <c r="H81" s="90" t="str">
        <f t="shared" si="16"/>
        <v/>
      </c>
      <c r="I81" s="127" t="str">
        <f t="shared" si="7"/>
        <v>g</v>
      </c>
      <c r="K81" s="95">
        <f t="shared" si="17"/>
        <v>0</v>
      </c>
      <c r="L81" s="54">
        <f t="shared" si="18"/>
        <v>0</v>
      </c>
      <c r="M81" s="31" t="str">
        <f t="shared" si="8"/>
        <v>g</v>
      </c>
      <c r="N81" s="43" t="str">
        <f t="shared" si="19"/>
        <v/>
      </c>
      <c r="O81" s="33" t="str">
        <f t="shared" si="3"/>
        <v>g</v>
      </c>
      <c r="P81" s="137">
        <f t="shared" si="20"/>
        <v>0</v>
      </c>
      <c r="Q81" s="120" t="str">
        <f t="shared" si="9"/>
        <v>g</v>
      </c>
    </row>
    <row r="82" spans="2:17" ht="36" hidden="1" customHeight="1">
      <c r="B82" s="81"/>
      <c r="C82" s="82"/>
      <c r="D82" s="80"/>
      <c r="E82" s="79" t="str">
        <f t="shared" si="15"/>
        <v/>
      </c>
      <c r="F82" s="120" t="str">
        <f t="shared" si="0"/>
        <v>g</v>
      </c>
      <c r="G82" s="18"/>
      <c r="H82" s="90" t="str">
        <f t="shared" si="16"/>
        <v/>
      </c>
      <c r="I82" s="127" t="str">
        <f t="shared" si="7"/>
        <v>g</v>
      </c>
      <c r="K82" s="95">
        <f t="shared" si="17"/>
        <v>0</v>
      </c>
      <c r="L82" s="54">
        <f t="shared" si="18"/>
        <v>0</v>
      </c>
      <c r="M82" s="31" t="str">
        <f t="shared" si="8"/>
        <v>g</v>
      </c>
      <c r="N82" s="43" t="str">
        <f t="shared" si="19"/>
        <v/>
      </c>
      <c r="O82" s="33" t="str">
        <f t="shared" si="3"/>
        <v>g</v>
      </c>
      <c r="P82" s="137">
        <f t="shared" si="20"/>
        <v>0</v>
      </c>
      <c r="Q82" s="120" t="str">
        <f t="shared" si="9"/>
        <v>g</v>
      </c>
    </row>
    <row r="83" spans="2:17" ht="36" hidden="1" customHeight="1">
      <c r="B83" s="81"/>
      <c r="C83" s="82"/>
      <c r="D83" s="80"/>
      <c r="E83" s="79" t="str">
        <f t="shared" si="15"/>
        <v/>
      </c>
      <c r="F83" s="120" t="str">
        <f t="shared" si="0"/>
        <v>g</v>
      </c>
      <c r="G83" s="18"/>
      <c r="H83" s="90" t="str">
        <f t="shared" si="16"/>
        <v/>
      </c>
      <c r="I83" s="127" t="str">
        <f t="shared" si="7"/>
        <v>g</v>
      </c>
      <c r="K83" s="95">
        <f t="shared" si="17"/>
        <v>0</v>
      </c>
      <c r="L83" s="54">
        <f t="shared" si="18"/>
        <v>0</v>
      </c>
      <c r="M83" s="31" t="str">
        <f t="shared" si="8"/>
        <v>g</v>
      </c>
      <c r="N83" s="43" t="str">
        <f t="shared" si="19"/>
        <v/>
      </c>
      <c r="O83" s="33" t="str">
        <f t="shared" si="3"/>
        <v>g</v>
      </c>
      <c r="P83" s="137">
        <f t="shared" si="20"/>
        <v>0</v>
      </c>
      <c r="Q83" s="120" t="str">
        <f t="shared" si="9"/>
        <v>g</v>
      </c>
    </row>
    <row r="84" spans="2:17" ht="36" hidden="1" customHeight="1">
      <c r="B84" s="81"/>
      <c r="C84" s="82"/>
      <c r="D84" s="80"/>
      <c r="E84" s="79" t="str">
        <f t="shared" si="15"/>
        <v/>
      </c>
      <c r="F84" s="120" t="str">
        <f t="shared" si="0"/>
        <v>g</v>
      </c>
      <c r="G84" s="18"/>
      <c r="H84" s="90" t="str">
        <f t="shared" si="16"/>
        <v/>
      </c>
      <c r="I84" s="127" t="str">
        <f t="shared" si="7"/>
        <v>g</v>
      </c>
      <c r="K84" s="95">
        <f t="shared" si="17"/>
        <v>0</v>
      </c>
      <c r="L84" s="54">
        <f t="shared" si="18"/>
        <v>0</v>
      </c>
      <c r="M84" s="31" t="str">
        <f t="shared" si="8"/>
        <v>g</v>
      </c>
      <c r="N84" s="43" t="str">
        <f t="shared" si="19"/>
        <v/>
      </c>
      <c r="O84" s="33" t="str">
        <f t="shared" si="3"/>
        <v>g</v>
      </c>
      <c r="P84" s="137">
        <f t="shared" si="20"/>
        <v>0</v>
      </c>
      <c r="Q84" s="120" t="str">
        <f t="shared" si="9"/>
        <v>g</v>
      </c>
    </row>
    <row r="85" spans="2:17" ht="36" hidden="1" customHeight="1">
      <c r="B85" s="81"/>
      <c r="C85" s="82"/>
      <c r="D85" s="80"/>
      <c r="E85" s="79" t="str">
        <f t="shared" si="15"/>
        <v/>
      </c>
      <c r="F85" s="120" t="str">
        <f t="shared" si="0"/>
        <v>g</v>
      </c>
      <c r="G85" s="18"/>
      <c r="H85" s="90" t="str">
        <f t="shared" si="16"/>
        <v/>
      </c>
      <c r="I85" s="127" t="str">
        <f t="shared" si="7"/>
        <v>g</v>
      </c>
      <c r="K85" s="95">
        <f t="shared" si="17"/>
        <v>0</v>
      </c>
      <c r="L85" s="54">
        <f t="shared" si="18"/>
        <v>0</v>
      </c>
      <c r="M85" s="31" t="str">
        <f t="shared" si="8"/>
        <v>g</v>
      </c>
      <c r="N85" s="43" t="str">
        <f t="shared" si="19"/>
        <v/>
      </c>
      <c r="O85" s="33" t="str">
        <f t="shared" si="3"/>
        <v>g</v>
      </c>
      <c r="P85" s="137">
        <f t="shared" si="20"/>
        <v>0</v>
      </c>
      <c r="Q85" s="120" t="str">
        <f t="shared" si="9"/>
        <v>g</v>
      </c>
    </row>
    <row r="86" spans="2:17" ht="36" hidden="1" customHeight="1">
      <c r="B86" s="81"/>
      <c r="C86" s="82"/>
      <c r="D86" s="80"/>
      <c r="E86" s="79" t="str">
        <f t="shared" si="15"/>
        <v/>
      </c>
      <c r="F86" s="120" t="str">
        <f t="shared" si="0"/>
        <v>g</v>
      </c>
      <c r="G86" s="18"/>
      <c r="H86" s="90" t="str">
        <f t="shared" si="16"/>
        <v/>
      </c>
      <c r="I86" s="127" t="str">
        <f t="shared" si="7"/>
        <v>g</v>
      </c>
      <c r="K86" s="95">
        <f t="shared" si="17"/>
        <v>0</v>
      </c>
      <c r="L86" s="54">
        <f t="shared" si="18"/>
        <v>0</v>
      </c>
      <c r="M86" s="31" t="str">
        <f t="shared" si="8"/>
        <v>g</v>
      </c>
      <c r="N86" s="43" t="str">
        <f t="shared" si="19"/>
        <v/>
      </c>
      <c r="O86" s="33" t="str">
        <f t="shared" si="3"/>
        <v>g</v>
      </c>
      <c r="P86" s="137">
        <f t="shared" si="20"/>
        <v>0</v>
      </c>
      <c r="Q86" s="120" t="str">
        <f t="shared" si="9"/>
        <v>g</v>
      </c>
    </row>
    <row r="87" spans="2:17" ht="36" hidden="1" customHeight="1">
      <c r="B87" s="81"/>
      <c r="C87" s="82"/>
      <c r="D87" s="80"/>
      <c r="E87" s="79" t="str">
        <f t="shared" si="15"/>
        <v/>
      </c>
      <c r="F87" s="120" t="str">
        <f t="shared" si="0"/>
        <v>g</v>
      </c>
      <c r="G87" s="18"/>
      <c r="H87" s="90" t="str">
        <f t="shared" si="16"/>
        <v/>
      </c>
      <c r="I87" s="127" t="str">
        <f t="shared" si="7"/>
        <v>g</v>
      </c>
      <c r="K87" s="95">
        <f t="shared" si="17"/>
        <v>0</v>
      </c>
      <c r="L87" s="54">
        <f t="shared" si="18"/>
        <v>0</v>
      </c>
      <c r="M87" s="31" t="str">
        <f t="shared" si="8"/>
        <v>g</v>
      </c>
      <c r="N87" s="43" t="str">
        <f t="shared" si="19"/>
        <v/>
      </c>
      <c r="O87" s="33" t="str">
        <f t="shared" si="3"/>
        <v>g</v>
      </c>
      <c r="P87" s="137">
        <f t="shared" si="20"/>
        <v>0</v>
      </c>
      <c r="Q87" s="120" t="str">
        <f t="shared" si="9"/>
        <v>g</v>
      </c>
    </row>
    <row r="88" spans="2:17" ht="36" hidden="1" customHeight="1">
      <c r="B88" s="81"/>
      <c r="C88" s="82"/>
      <c r="D88" s="80"/>
      <c r="E88" s="79" t="str">
        <f t="shared" si="15"/>
        <v/>
      </c>
      <c r="F88" s="120" t="str">
        <f t="shared" si="0"/>
        <v>g</v>
      </c>
      <c r="G88" s="18"/>
      <c r="H88" s="90" t="str">
        <f t="shared" si="16"/>
        <v/>
      </c>
      <c r="I88" s="127" t="str">
        <f t="shared" si="7"/>
        <v>g</v>
      </c>
      <c r="K88" s="95">
        <f t="shared" si="17"/>
        <v>0</v>
      </c>
      <c r="L88" s="54">
        <f t="shared" si="18"/>
        <v>0</v>
      </c>
      <c r="M88" s="31" t="str">
        <f t="shared" si="8"/>
        <v>g</v>
      </c>
      <c r="N88" s="43" t="str">
        <f t="shared" si="19"/>
        <v/>
      </c>
      <c r="O88" s="33" t="str">
        <f t="shared" si="3"/>
        <v>g</v>
      </c>
      <c r="P88" s="137">
        <f t="shared" si="20"/>
        <v>0</v>
      </c>
      <c r="Q88" s="120" t="str">
        <f t="shared" si="9"/>
        <v>g</v>
      </c>
    </row>
    <row r="89" spans="2:17" ht="36" hidden="1" customHeight="1">
      <c r="B89" s="81"/>
      <c r="C89" s="82"/>
      <c r="D89" s="80"/>
      <c r="E89" s="79" t="str">
        <f t="shared" si="15"/>
        <v/>
      </c>
      <c r="F89" s="120" t="str">
        <f t="shared" si="0"/>
        <v>g</v>
      </c>
      <c r="G89" s="18"/>
      <c r="H89" s="90" t="str">
        <f t="shared" si="16"/>
        <v/>
      </c>
      <c r="I89" s="127" t="str">
        <f t="shared" si="7"/>
        <v>g</v>
      </c>
      <c r="K89" s="95">
        <f t="shared" si="17"/>
        <v>0</v>
      </c>
      <c r="L89" s="54">
        <f t="shared" si="18"/>
        <v>0</v>
      </c>
      <c r="M89" s="31" t="str">
        <f t="shared" si="8"/>
        <v>g</v>
      </c>
      <c r="N89" s="43" t="str">
        <f t="shared" si="19"/>
        <v/>
      </c>
      <c r="O89" s="33" t="str">
        <f t="shared" si="3"/>
        <v>g</v>
      </c>
      <c r="P89" s="137">
        <f t="shared" si="20"/>
        <v>0</v>
      </c>
      <c r="Q89" s="120" t="str">
        <f t="shared" si="9"/>
        <v>g</v>
      </c>
    </row>
    <row r="90" spans="2:17" ht="36" hidden="1" customHeight="1">
      <c r="B90" s="81"/>
      <c r="C90" s="82"/>
      <c r="D90" s="80"/>
      <c r="E90" s="79" t="str">
        <f t="shared" si="15"/>
        <v/>
      </c>
      <c r="F90" s="120" t="str">
        <f t="shared" si="0"/>
        <v>g</v>
      </c>
      <c r="G90" s="18"/>
      <c r="H90" s="90" t="str">
        <f t="shared" si="16"/>
        <v/>
      </c>
      <c r="I90" s="127" t="str">
        <f t="shared" si="7"/>
        <v>g</v>
      </c>
      <c r="K90" s="95">
        <f t="shared" si="17"/>
        <v>0</v>
      </c>
      <c r="L90" s="54">
        <f t="shared" si="18"/>
        <v>0</v>
      </c>
      <c r="M90" s="31" t="str">
        <f t="shared" si="8"/>
        <v>g</v>
      </c>
      <c r="N90" s="43" t="str">
        <f t="shared" si="19"/>
        <v/>
      </c>
      <c r="O90" s="33" t="str">
        <f t="shared" si="3"/>
        <v>g</v>
      </c>
      <c r="P90" s="137">
        <f t="shared" si="20"/>
        <v>0</v>
      </c>
      <c r="Q90" s="120" t="str">
        <f t="shared" si="9"/>
        <v>g</v>
      </c>
    </row>
    <row r="91" spans="2:17" ht="36" hidden="1" customHeight="1">
      <c r="B91" s="81"/>
      <c r="C91" s="82"/>
      <c r="D91" s="80"/>
      <c r="E91" s="79" t="str">
        <f t="shared" si="15"/>
        <v/>
      </c>
      <c r="F91" s="120" t="str">
        <f t="shared" si="0"/>
        <v>g</v>
      </c>
      <c r="G91" s="18"/>
      <c r="H91" s="90" t="str">
        <f t="shared" si="16"/>
        <v/>
      </c>
      <c r="I91" s="127" t="str">
        <f t="shared" si="7"/>
        <v>g</v>
      </c>
      <c r="K91" s="95">
        <f t="shared" si="17"/>
        <v>0</v>
      </c>
      <c r="L91" s="54">
        <f t="shared" si="18"/>
        <v>0</v>
      </c>
      <c r="M91" s="31" t="str">
        <f t="shared" si="8"/>
        <v>g</v>
      </c>
      <c r="N91" s="43" t="str">
        <f t="shared" si="19"/>
        <v/>
      </c>
      <c r="O91" s="33" t="str">
        <f t="shared" si="3"/>
        <v>g</v>
      </c>
      <c r="P91" s="137">
        <f t="shared" si="20"/>
        <v>0</v>
      </c>
      <c r="Q91" s="120" t="str">
        <f t="shared" si="9"/>
        <v>g</v>
      </c>
    </row>
    <row r="92" spans="2:17" ht="36" hidden="1" customHeight="1">
      <c r="B92" s="81"/>
      <c r="C92" s="82"/>
      <c r="D92" s="80"/>
      <c r="E92" s="79" t="str">
        <f t="shared" si="15"/>
        <v/>
      </c>
      <c r="F92" s="120" t="str">
        <f t="shared" si="0"/>
        <v>g</v>
      </c>
      <c r="G92" s="18"/>
      <c r="H92" s="90" t="str">
        <f t="shared" si="16"/>
        <v/>
      </c>
      <c r="I92" s="127" t="str">
        <f t="shared" si="7"/>
        <v>g</v>
      </c>
      <c r="K92" s="95">
        <f t="shared" si="17"/>
        <v>0</v>
      </c>
      <c r="L92" s="54">
        <f t="shared" si="18"/>
        <v>0</v>
      </c>
      <c r="M92" s="31" t="str">
        <f t="shared" si="8"/>
        <v>g</v>
      </c>
      <c r="N92" s="43" t="str">
        <f t="shared" si="19"/>
        <v/>
      </c>
      <c r="O92" s="33" t="str">
        <f t="shared" si="3"/>
        <v>g</v>
      </c>
      <c r="P92" s="137">
        <f t="shared" si="20"/>
        <v>0</v>
      </c>
      <c r="Q92" s="120" t="str">
        <f t="shared" si="9"/>
        <v>g</v>
      </c>
    </row>
    <row r="93" spans="2:17" ht="36" hidden="1" customHeight="1">
      <c r="B93" s="81"/>
      <c r="C93" s="82"/>
      <c r="D93" s="80"/>
      <c r="E93" s="79" t="str">
        <f t="shared" si="15"/>
        <v/>
      </c>
      <c r="F93" s="120" t="str">
        <f t="shared" si="0"/>
        <v>g</v>
      </c>
      <c r="G93" s="18"/>
      <c r="H93" s="90" t="str">
        <f t="shared" si="16"/>
        <v/>
      </c>
      <c r="I93" s="127" t="str">
        <f t="shared" si="7"/>
        <v>g</v>
      </c>
      <c r="K93" s="95">
        <f t="shared" si="17"/>
        <v>0</v>
      </c>
      <c r="L93" s="54">
        <f t="shared" si="18"/>
        <v>0</v>
      </c>
      <c r="M93" s="31" t="str">
        <f t="shared" si="8"/>
        <v>g</v>
      </c>
      <c r="N93" s="43" t="str">
        <f t="shared" si="19"/>
        <v/>
      </c>
      <c r="O93" s="33" t="str">
        <f t="shared" si="3"/>
        <v>g</v>
      </c>
      <c r="P93" s="137">
        <f t="shared" si="20"/>
        <v>0</v>
      </c>
      <c r="Q93" s="120" t="str">
        <f t="shared" si="9"/>
        <v>g</v>
      </c>
    </row>
    <row r="94" spans="2:17" ht="36" hidden="1" customHeight="1">
      <c r="B94" s="81"/>
      <c r="C94" s="82"/>
      <c r="D94" s="80"/>
      <c r="E94" s="79" t="str">
        <f t="shared" si="15"/>
        <v/>
      </c>
      <c r="F94" s="120" t="str">
        <f t="shared" si="0"/>
        <v>g</v>
      </c>
      <c r="G94" s="18"/>
      <c r="H94" s="90" t="str">
        <f t="shared" si="16"/>
        <v/>
      </c>
      <c r="I94" s="127" t="str">
        <f t="shared" si="7"/>
        <v>g</v>
      </c>
      <c r="K94" s="95">
        <f t="shared" si="17"/>
        <v>0</v>
      </c>
      <c r="L94" s="54">
        <f t="shared" si="18"/>
        <v>0</v>
      </c>
      <c r="M94" s="31" t="str">
        <f t="shared" si="8"/>
        <v>g</v>
      </c>
      <c r="N94" s="43" t="str">
        <f t="shared" si="19"/>
        <v/>
      </c>
      <c r="O94" s="33" t="str">
        <f t="shared" si="3"/>
        <v>g</v>
      </c>
      <c r="P94" s="137">
        <f t="shared" si="20"/>
        <v>0</v>
      </c>
      <c r="Q94" s="120" t="str">
        <f t="shared" si="9"/>
        <v>g</v>
      </c>
    </row>
    <row r="95" spans="2:17" ht="36" hidden="1" customHeight="1">
      <c r="B95" s="81"/>
      <c r="C95" s="82"/>
      <c r="D95" s="80"/>
      <c r="E95" s="79" t="str">
        <f t="shared" si="15"/>
        <v/>
      </c>
      <c r="F95" s="120" t="str">
        <f t="shared" si="0"/>
        <v>g</v>
      </c>
      <c r="G95" s="18"/>
      <c r="H95" s="90" t="str">
        <f t="shared" si="16"/>
        <v/>
      </c>
      <c r="I95" s="127" t="str">
        <f t="shared" si="7"/>
        <v>g</v>
      </c>
      <c r="K95" s="95">
        <f t="shared" si="17"/>
        <v>0</v>
      </c>
      <c r="L95" s="54">
        <f t="shared" si="18"/>
        <v>0</v>
      </c>
      <c r="M95" s="31" t="str">
        <f t="shared" si="8"/>
        <v>g</v>
      </c>
      <c r="N95" s="43" t="str">
        <f t="shared" si="19"/>
        <v/>
      </c>
      <c r="O95" s="33" t="str">
        <f t="shared" si="3"/>
        <v>g</v>
      </c>
      <c r="P95" s="137">
        <f t="shared" si="20"/>
        <v>0</v>
      </c>
      <c r="Q95" s="120" t="str">
        <f t="shared" si="9"/>
        <v>g</v>
      </c>
    </row>
    <row r="96" spans="2:17" ht="36" hidden="1" customHeight="1">
      <c r="B96" s="81"/>
      <c r="C96" s="82"/>
      <c r="D96" s="80"/>
      <c r="E96" s="79" t="str">
        <f t="shared" si="15"/>
        <v/>
      </c>
      <c r="F96" s="120" t="str">
        <f t="shared" si="0"/>
        <v>g</v>
      </c>
      <c r="G96" s="18"/>
      <c r="H96" s="90" t="str">
        <f t="shared" si="16"/>
        <v/>
      </c>
      <c r="I96" s="127" t="str">
        <f t="shared" si="7"/>
        <v>g</v>
      </c>
      <c r="K96" s="95">
        <f t="shared" si="17"/>
        <v>0</v>
      </c>
      <c r="L96" s="54">
        <f t="shared" si="18"/>
        <v>0</v>
      </c>
      <c r="M96" s="31" t="str">
        <f t="shared" si="8"/>
        <v>g</v>
      </c>
      <c r="N96" s="43" t="str">
        <f t="shared" si="19"/>
        <v/>
      </c>
      <c r="O96" s="33" t="str">
        <f t="shared" si="3"/>
        <v>g</v>
      </c>
      <c r="P96" s="137">
        <f t="shared" si="20"/>
        <v>0</v>
      </c>
      <c r="Q96" s="120" t="str">
        <f t="shared" si="9"/>
        <v>g</v>
      </c>
    </row>
    <row r="97" spans="2:17" ht="36" hidden="1" customHeight="1">
      <c r="B97" s="81"/>
      <c r="C97" s="82"/>
      <c r="D97" s="80"/>
      <c r="E97" s="79" t="str">
        <f t="shared" si="15"/>
        <v/>
      </c>
      <c r="F97" s="120" t="str">
        <f t="shared" si="0"/>
        <v>g</v>
      </c>
      <c r="G97" s="18"/>
      <c r="H97" s="90" t="str">
        <f t="shared" si="16"/>
        <v/>
      </c>
      <c r="I97" s="127" t="str">
        <f t="shared" si="7"/>
        <v>g</v>
      </c>
      <c r="K97" s="95">
        <f t="shared" si="17"/>
        <v>0</v>
      </c>
      <c r="L97" s="54">
        <f t="shared" si="18"/>
        <v>0</v>
      </c>
      <c r="M97" s="31" t="str">
        <f t="shared" si="8"/>
        <v>g</v>
      </c>
      <c r="N97" s="43" t="str">
        <f t="shared" si="19"/>
        <v/>
      </c>
      <c r="O97" s="33" t="str">
        <f t="shared" si="3"/>
        <v>g</v>
      </c>
      <c r="P97" s="137">
        <f t="shared" si="20"/>
        <v>0</v>
      </c>
      <c r="Q97" s="120" t="str">
        <f t="shared" si="9"/>
        <v>g</v>
      </c>
    </row>
    <row r="98" spans="2:17" ht="36" hidden="1" customHeight="1">
      <c r="B98" s="81"/>
      <c r="C98" s="82"/>
      <c r="D98" s="80"/>
      <c r="E98" s="79" t="str">
        <f t="shared" si="15"/>
        <v/>
      </c>
      <c r="F98" s="120" t="str">
        <f t="shared" si="0"/>
        <v>g</v>
      </c>
      <c r="G98" s="18"/>
      <c r="H98" s="90" t="str">
        <f t="shared" si="16"/>
        <v/>
      </c>
      <c r="I98" s="127" t="str">
        <f t="shared" si="7"/>
        <v>g</v>
      </c>
      <c r="K98" s="95">
        <f t="shared" si="17"/>
        <v>0</v>
      </c>
      <c r="L98" s="54">
        <f t="shared" si="18"/>
        <v>0</v>
      </c>
      <c r="M98" s="31" t="str">
        <f t="shared" si="8"/>
        <v>g</v>
      </c>
      <c r="N98" s="43" t="str">
        <f t="shared" si="19"/>
        <v/>
      </c>
      <c r="O98" s="33" t="str">
        <f t="shared" si="3"/>
        <v>g</v>
      </c>
      <c r="P98" s="137">
        <f t="shared" si="20"/>
        <v>0</v>
      </c>
      <c r="Q98" s="120" t="str">
        <f t="shared" si="9"/>
        <v>g</v>
      </c>
    </row>
    <row r="99" spans="2:17" ht="36" hidden="1" customHeight="1">
      <c r="B99" s="81"/>
      <c r="C99" s="82"/>
      <c r="D99" s="80"/>
      <c r="E99" s="79" t="str">
        <f t="shared" si="15"/>
        <v/>
      </c>
      <c r="F99" s="120" t="str">
        <f t="shared" si="0"/>
        <v>g</v>
      </c>
      <c r="G99" s="18"/>
      <c r="H99" s="90" t="str">
        <f t="shared" si="16"/>
        <v/>
      </c>
      <c r="I99" s="127" t="str">
        <f t="shared" si="7"/>
        <v>g</v>
      </c>
      <c r="K99" s="95">
        <f t="shared" si="17"/>
        <v>0</v>
      </c>
      <c r="L99" s="54">
        <f t="shared" si="18"/>
        <v>0</v>
      </c>
      <c r="M99" s="31" t="str">
        <f t="shared" si="8"/>
        <v>g</v>
      </c>
      <c r="N99" s="43" t="str">
        <f t="shared" si="19"/>
        <v/>
      </c>
      <c r="O99" s="33" t="str">
        <f t="shared" si="3"/>
        <v>g</v>
      </c>
      <c r="P99" s="137">
        <f t="shared" si="20"/>
        <v>0</v>
      </c>
      <c r="Q99" s="120" t="str">
        <f t="shared" si="9"/>
        <v>g</v>
      </c>
    </row>
    <row r="100" spans="2:17" ht="36" hidden="1" customHeight="1">
      <c r="B100" s="81"/>
      <c r="C100" s="82"/>
      <c r="D100" s="80"/>
      <c r="E100" s="79" t="str">
        <f t="shared" si="15"/>
        <v/>
      </c>
      <c r="F100" s="120" t="str">
        <f t="shared" si="0"/>
        <v>g</v>
      </c>
      <c r="G100" s="18"/>
      <c r="H100" s="90" t="str">
        <f t="shared" si="16"/>
        <v/>
      </c>
      <c r="I100" s="127" t="str">
        <f t="shared" si="7"/>
        <v>g</v>
      </c>
      <c r="K100" s="95">
        <f t="shared" si="17"/>
        <v>0</v>
      </c>
      <c r="L100" s="54">
        <f t="shared" si="18"/>
        <v>0</v>
      </c>
      <c r="M100" s="31" t="str">
        <f t="shared" si="8"/>
        <v>g</v>
      </c>
      <c r="N100" s="43" t="str">
        <f t="shared" si="19"/>
        <v/>
      </c>
      <c r="O100" s="33" t="str">
        <f t="shared" si="3"/>
        <v>g</v>
      </c>
      <c r="P100" s="137">
        <f t="shared" si="20"/>
        <v>0</v>
      </c>
      <c r="Q100" s="120" t="str">
        <f t="shared" si="9"/>
        <v>g</v>
      </c>
    </row>
    <row r="101" spans="2:17" ht="36" hidden="1" customHeight="1">
      <c r="B101" s="81"/>
      <c r="C101" s="82"/>
      <c r="D101" s="80"/>
      <c r="E101" s="79" t="str">
        <f t="shared" si="15"/>
        <v/>
      </c>
      <c r="F101" s="120" t="str">
        <f t="shared" si="0"/>
        <v>g</v>
      </c>
      <c r="G101" s="18"/>
      <c r="H101" s="90" t="str">
        <f t="shared" si="16"/>
        <v/>
      </c>
      <c r="I101" s="127" t="str">
        <f t="shared" si="7"/>
        <v>g</v>
      </c>
      <c r="K101" s="95">
        <f t="shared" si="17"/>
        <v>0</v>
      </c>
      <c r="L101" s="54">
        <f t="shared" si="18"/>
        <v>0</v>
      </c>
      <c r="M101" s="31" t="str">
        <f t="shared" si="8"/>
        <v>g</v>
      </c>
      <c r="N101" s="43" t="str">
        <f t="shared" si="19"/>
        <v/>
      </c>
      <c r="O101" s="33" t="str">
        <f t="shared" si="3"/>
        <v>g</v>
      </c>
      <c r="P101" s="137">
        <f t="shared" si="20"/>
        <v>0</v>
      </c>
      <c r="Q101" s="120" t="str">
        <f t="shared" si="9"/>
        <v>g</v>
      </c>
    </row>
    <row r="102" spans="2:17" ht="36" hidden="1" customHeight="1">
      <c r="B102" s="81"/>
      <c r="C102" s="82"/>
      <c r="D102" s="80"/>
      <c r="E102" s="79" t="str">
        <f t="shared" si="15"/>
        <v/>
      </c>
      <c r="F102" s="120" t="str">
        <f t="shared" si="0"/>
        <v>g</v>
      </c>
      <c r="G102" s="18"/>
      <c r="H102" s="90" t="str">
        <f t="shared" si="16"/>
        <v/>
      </c>
      <c r="I102" s="127" t="str">
        <f t="shared" si="7"/>
        <v>g</v>
      </c>
      <c r="K102" s="95">
        <f t="shared" si="17"/>
        <v>0</v>
      </c>
      <c r="L102" s="54">
        <f t="shared" si="18"/>
        <v>0</v>
      </c>
      <c r="M102" s="31" t="str">
        <f t="shared" si="8"/>
        <v>g</v>
      </c>
      <c r="N102" s="43" t="str">
        <f t="shared" si="19"/>
        <v/>
      </c>
      <c r="O102" s="33" t="str">
        <f t="shared" si="3"/>
        <v>g</v>
      </c>
      <c r="P102" s="137">
        <f t="shared" si="20"/>
        <v>0</v>
      </c>
      <c r="Q102" s="120" t="str">
        <f t="shared" si="9"/>
        <v>g</v>
      </c>
    </row>
    <row r="103" spans="2:17" ht="36" hidden="1" customHeight="1">
      <c r="B103" s="81"/>
      <c r="C103" s="82"/>
      <c r="D103" s="80"/>
      <c r="E103" s="79" t="str">
        <f t="shared" si="15"/>
        <v/>
      </c>
      <c r="F103" s="120" t="str">
        <f t="shared" si="0"/>
        <v>g</v>
      </c>
      <c r="G103" s="18"/>
      <c r="H103" s="90" t="str">
        <f t="shared" si="16"/>
        <v/>
      </c>
      <c r="I103" s="127" t="str">
        <f t="shared" si="7"/>
        <v>g</v>
      </c>
      <c r="K103" s="95">
        <f t="shared" si="17"/>
        <v>0</v>
      </c>
      <c r="L103" s="54">
        <f t="shared" si="18"/>
        <v>0</v>
      </c>
      <c r="M103" s="31" t="str">
        <f t="shared" si="8"/>
        <v>g</v>
      </c>
      <c r="N103" s="43" t="str">
        <f t="shared" si="19"/>
        <v/>
      </c>
      <c r="O103" s="33" t="str">
        <f t="shared" si="3"/>
        <v>g</v>
      </c>
      <c r="P103" s="137">
        <f t="shared" si="20"/>
        <v>0</v>
      </c>
      <c r="Q103" s="120" t="str">
        <f t="shared" si="9"/>
        <v>g</v>
      </c>
    </row>
    <row r="104" spans="2:17" ht="36" hidden="1" customHeight="1">
      <c r="B104" s="81"/>
      <c r="C104" s="82"/>
      <c r="D104" s="80"/>
      <c r="E104" s="79" t="str">
        <f t="shared" si="15"/>
        <v/>
      </c>
      <c r="F104" s="120" t="str">
        <f t="shared" si="0"/>
        <v>g</v>
      </c>
      <c r="G104" s="18"/>
      <c r="H104" s="90" t="str">
        <f t="shared" si="16"/>
        <v/>
      </c>
      <c r="I104" s="127" t="str">
        <f t="shared" si="7"/>
        <v>g</v>
      </c>
      <c r="K104" s="95">
        <f t="shared" si="17"/>
        <v>0</v>
      </c>
      <c r="L104" s="54">
        <f t="shared" si="18"/>
        <v>0</v>
      </c>
      <c r="M104" s="31" t="str">
        <f t="shared" si="8"/>
        <v>g</v>
      </c>
      <c r="N104" s="43" t="str">
        <f t="shared" si="19"/>
        <v/>
      </c>
      <c r="O104" s="33" t="str">
        <f t="shared" si="3"/>
        <v>g</v>
      </c>
      <c r="P104" s="137">
        <f t="shared" si="20"/>
        <v>0</v>
      </c>
      <c r="Q104" s="120" t="str">
        <f t="shared" si="9"/>
        <v>g</v>
      </c>
    </row>
    <row r="105" spans="2:17" ht="36" hidden="1" customHeight="1">
      <c r="B105" s="81"/>
      <c r="C105" s="82"/>
      <c r="D105" s="80"/>
      <c r="E105" s="79" t="str">
        <f t="shared" si="15"/>
        <v/>
      </c>
      <c r="F105" s="120" t="str">
        <f t="shared" si="0"/>
        <v>g</v>
      </c>
      <c r="G105" s="18"/>
      <c r="H105" s="90" t="str">
        <f t="shared" si="16"/>
        <v/>
      </c>
      <c r="I105" s="127" t="str">
        <f t="shared" si="7"/>
        <v>g</v>
      </c>
      <c r="K105" s="95">
        <f t="shared" si="17"/>
        <v>0</v>
      </c>
      <c r="L105" s="54">
        <f t="shared" si="18"/>
        <v>0</v>
      </c>
      <c r="M105" s="31" t="str">
        <f t="shared" si="8"/>
        <v>g</v>
      </c>
      <c r="N105" s="43" t="str">
        <f t="shared" si="19"/>
        <v/>
      </c>
      <c r="O105" s="33" t="str">
        <f t="shared" si="3"/>
        <v>g</v>
      </c>
      <c r="P105" s="137">
        <f t="shared" si="20"/>
        <v>0</v>
      </c>
      <c r="Q105" s="120" t="str">
        <f t="shared" si="9"/>
        <v>g</v>
      </c>
    </row>
    <row r="106" spans="2:17" ht="36" hidden="1" customHeight="1">
      <c r="B106" s="81"/>
      <c r="C106" s="82"/>
      <c r="D106" s="80"/>
      <c r="E106" s="79" t="str">
        <f t="shared" si="15"/>
        <v/>
      </c>
      <c r="F106" s="120" t="str">
        <f t="shared" si="0"/>
        <v>g</v>
      </c>
      <c r="G106" s="18"/>
      <c r="H106" s="90" t="str">
        <f t="shared" si="16"/>
        <v/>
      </c>
      <c r="I106" s="127" t="str">
        <f t="shared" si="7"/>
        <v>g</v>
      </c>
      <c r="K106" s="95">
        <f t="shared" si="17"/>
        <v>0</v>
      </c>
      <c r="L106" s="54">
        <f t="shared" si="18"/>
        <v>0</v>
      </c>
      <c r="M106" s="31" t="str">
        <f t="shared" si="8"/>
        <v>g</v>
      </c>
      <c r="N106" s="43" t="str">
        <f t="shared" si="19"/>
        <v/>
      </c>
      <c r="O106" s="33" t="str">
        <f t="shared" si="3"/>
        <v>g</v>
      </c>
      <c r="P106" s="137">
        <f t="shared" si="20"/>
        <v>0</v>
      </c>
      <c r="Q106" s="120" t="str">
        <f t="shared" si="9"/>
        <v>g</v>
      </c>
    </row>
    <row r="107" spans="2:17" ht="36" hidden="1" customHeight="1">
      <c r="B107" s="81"/>
      <c r="C107" s="82"/>
      <c r="D107" s="80"/>
      <c r="E107" s="79" t="str">
        <f t="shared" si="15"/>
        <v/>
      </c>
      <c r="F107" s="120" t="str">
        <f t="shared" si="0"/>
        <v>g</v>
      </c>
      <c r="G107" s="18"/>
      <c r="H107" s="90" t="str">
        <f t="shared" si="16"/>
        <v/>
      </c>
      <c r="I107" s="127" t="str">
        <f t="shared" si="7"/>
        <v>g</v>
      </c>
      <c r="K107" s="95">
        <f t="shared" si="17"/>
        <v>0</v>
      </c>
      <c r="L107" s="54">
        <f t="shared" si="18"/>
        <v>0</v>
      </c>
      <c r="M107" s="31" t="str">
        <f t="shared" si="8"/>
        <v>g</v>
      </c>
      <c r="N107" s="43" t="str">
        <f t="shared" si="19"/>
        <v/>
      </c>
      <c r="O107" s="33" t="str">
        <f t="shared" si="3"/>
        <v>g</v>
      </c>
      <c r="P107" s="137">
        <f t="shared" si="20"/>
        <v>0</v>
      </c>
      <c r="Q107" s="120" t="str">
        <f t="shared" si="9"/>
        <v>g</v>
      </c>
    </row>
    <row r="108" spans="2:17" ht="36" hidden="1" customHeight="1">
      <c r="B108" s="81"/>
      <c r="C108" s="82"/>
      <c r="D108" s="80"/>
      <c r="E108" s="79" t="str">
        <f t="shared" si="15"/>
        <v/>
      </c>
      <c r="F108" s="120" t="str">
        <f t="shared" si="0"/>
        <v>g</v>
      </c>
      <c r="G108" s="18"/>
      <c r="H108" s="90" t="str">
        <f t="shared" si="16"/>
        <v/>
      </c>
      <c r="I108" s="127" t="str">
        <f t="shared" si="7"/>
        <v>g</v>
      </c>
      <c r="K108" s="95">
        <f t="shared" si="17"/>
        <v>0</v>
      </c>
      <c r="L108" s="54">
        <f t="shared" si="18"/>
        <v>0</v>
      </c>
      <c r="M108" s="31" t="str">
        <f t="shared" si="8"/>
        <v>g</v>
      </c>
      <c r="N108" s="43" t="str">
        <f t="shared" si="19"/>
        <v/>
      </c>
      <c r="O108" s="33" t="str">
        <f t="shared" si="3"/>
        <v>g</v>
      </c>
      <c r="P108" s="137">
        <f t="shared" si="20"/>
        <v>0</v>
      </c>
      <c r="Q108" s="120" t="str">
        <f t="shared" si="9"/>
        <v>g</v>
      </c>
    </row>
    <row r="109" spans="2:17" ht="36" hidden="1" customHeight="1">
      <c r="B109" s="81"/>
      <c r="C109" s="82"/>
      <c r="D109" s="80"/>
      <c r="E109" s="79" t="str">
        <f t="shared" si="15"/>
        <v/>
      </c>
      <c r="F109" s="120" t="str">
        <f t="shared" si="0"/>
        <v>g</v>
      </c>
      <c r="G109" s="18"/>
      <c r="H109" s="90" t="str">
        <f t="shared" si="16"/>
        <v/>
      </c>
      <c r="I109" s="127" t="str">
        <f t="shared" si="7"/>
        <v>g</v>
      </c>
      <c r="K109" s="95">
        <f t="shared" si="17"/>
        <v>0</v>
      </c>
      <c r="L109" s="54">
        <f t="shared" si="18"/>
        <v>0</v>
      </c>
      <c r="M109" s="31" t="str">
        <f t="shared" si="8"/>
        <v>g</v>
      </c>
      <c r="N109" s="43" t="str">
        <f t="shared" si="19"/>
        <v/>
      </c>
      <c r="O109" s="33" t="str">
        <f t="shared" si="3"/>
        <v>g</v>
      </c>
      <c r="P109" s="137">
        <f t="shared" si="20"/>
        <v>0</v>
      </c>
      <c r="Q109" s="120" t="str">
        <f t="shared" si="9"/>
        <v>g</v>
      </c>
    </row>
    <row r="110" spans="2:17" ht="36" hidden="1" customHeight="1">
      <c r="B110" s="81"/>
      <c r="C110" s="82"/>
      <c r="D110" s="80"/>
      <c r="E110" s="79" t="str">
        <f t="shared" si="15"/>
        <v/>
      </c>
      <c r="F110" s="120" t="str">
        <f t="shared" si="0"/>
        <v>g</v>
      </c>
      <c r="G110" s="18"/>
      <c r="H110" s="90" t="str">
        <f t="shared" si="16"/>
        <v/>
      </c>
      <c r="I110" s="127" t="str">
        <f t="shared" si="7"/>
        <v>g</v>
      </c>
      <c r="K110" s="95">
        <f t="shared" si="17"/>
        <v>0</v>
      </c>
      <c r="L110" s="54">
        <f t="shared" si="18"/>
        <v>0</v>
      </c>
      <c r="M110" s="31" t="str">
        <f t="shared" si="8"/>
        <v>g</v>
      </c>
      <c r="N110" s="43" t="str">
        <f t="shared" si="19"/>
        <v/>
      </c>
      <c r="O110" s="33" t="str">
        <f t="shared" si="3"/>
        <v>g</v>
      </c>
      <c r="P110" s="137">
        <f t="shared" si="20"/>
        <v>0</v>
      </c>
      <c r="Q110" s="120" t="str">
        <f t="shared" si="9"/>
        <v>g</v>
      </c>
    </row>
    <row r="111" spans="2:17" ht="36" hidden="1" customHeight="1">
      <c r="B111" s="81"/>
      <c r="C111" s="82"/>
      <c r="D111" s="80"/>
      <c r="E111" s="79" t="str">
        <f t="shared" si="15"/>
        <v/>
      </c>
      <c r="F111" s="120" t="str">
        <f t="shared" si="0"/>
        <v>g</v>
      </c>
      <c r="G111" s="18"/>
      <c r="H111" s="90" t="str">
        <f t="shared" si="16"/>
        <v/>
      </c>
      <c r="I111" s="127" t="str">
        <f t="shared" si="7"/>
        <v>g</v>
      </c>
      <c r="K111" s="95">
        <f t="shared" si="17"/>
        <v>0</v>
      </c>
      <c r="L111" s="54">
        <f t="shared" si="18"/>
        <v>0</v>
      </c>
      <c r="M111" s="31" t="str">
        <f t="shared" si="8"/>
        <v>g</v>
      </c>
      <c r="N111" s="43" t="str">
        <f t="shared" si="19"/>
        <v/>
      </c>
      <c r="O111" s="33" t="str">
        <f t="shared" si="3"/>
        <v>g</v>
      </c>
      <c r="P111" s="137">
        <f t="shared" si="20"/>
        <v>0</v>
      </c>
      <c r="Q111" s="120" t="str">
        <f t="shared" si="9"/>
        <v>g</v>
      </c>
    </row>
    <row r="112" spans="2:17" ht="36" hidden="1" customHeight="1">
      <c r="B112" s="81"/>
      <c r="C112" s="82"/>
      <c r="D112" s="80"/>
      <c r="E112" s="79" t="str">
        <f t="shared" si="15"/>
        <v/>
      </c>
      <c r="F112" s="120" t="str">
        <f t="shared" si="0"/>
        <v>g</v>
      </c>
      <c r="G112" s="18"/>
      <c r="H112" s="90" t="str">
        <f t="shared" si="16"/>
        <v/>
      </c>
      <c r="I112" s="127" t="str">
        <f t="shared" si="7"/>
        <v>g</v>
      </c>
      <c r="K112" s="95">
        <f t="shared" si="17"/>
        <v>0</v>
      </c>
      <c r="L112" s="54">
        <f t="shared" si="18"/>
        <v>0</v>
      </c>
      <c r="M112" s="31" t="str">
        <f t="shared" si="8"/>
        <v>g</v>
      </c>
      <c r="N112" s="43" t="str">
        <f t="shared" si="19"/>
        <v/>
      </c>
      <c r="O112" s="33" t="str">
        <f t="shared" si="3"/>
        <v>g</v>
      </c>
      <c r="P112" s="137">
        <f t="shared" si="20"/>
        <v>0</v>
      </c>
      <c r="Q112" s="120" t="str">
        <f t="shared" si="9"/>
        <v>g</v>
      </c>
    </row>
    <row r="113" spans="2:17" ht="36" hidden="1" customHeight="1">
      <c r="B113" s="81"/>
      <c r="C113" s="82"/>
      <c r="D113" s="80"/>
      <c r="E113" s="79" t="str">
        <f t="shared" si="15"/>
        <v/>
      </c>
      <c r="F113" s="120" t="str">
        <f t="shared" si="0"/>
        <v>g</v>
      </c>
      <c r="G113" s="18"/>
      <c r="H113" s="90" t="str">
        <f t="shared" si="16"/>
        <v/>
      </c>
      <c r="I113" s="127" t="str">
        <f t="shared" si="7"/>
        <v>g</v>
      </c>
      <c r="K113" s="95">
        <f t="shared" si="17"/>
        <v>0</v>
      </c>
      <c r="L113" s="54">
        <f t="shared" si="18"/>
        <v>0</v>
      </c>
      <c r="M113" s="31" t="str">
        <f t="shared" si="8"/>
        <v>g</v>
      </c>
      <c r="N113" s="43" t="str">
        <f t="shared" si="19"/>
        <v/>
      </c>
      <c r="O113" s="33" t="str">
        <f t="shared" si="3"/>
        <v>g</v>
      </c>
      <c r="P113" s="137">
        <f t="shared" si="20"/>
        <v>0</v>
      </c>
      <c r="Q113" s="120" t="str">
        <f t="shared" si="9"/>
        <v>g</v>
      </c>
    </row>
    <row r="114" spans="2:17" ht="36" hidden="1" customHeight="1">
      <c r="B114" s="81"/>
      <c r="C114" s="82"/>
      <c r="D114" s="80"/>
      <c r="E114" s="79" t="str">
        <f t="shared" si="15"/>
        <v/>
      </c>
      <c r="F114" s="120" t="str">
        <f t="shared" si="0"/>
        <v>g</v>
      </c>
      <c r="G114" s="18"/>
      <c r="H114" s="90" t="str">
        <f t="shared" si="16"/>
        <v/>
      </c>
      <c r="I114" s="127" t="str">
        <f t="shared" si="7"/>
        <v>g</v>
      </c>
      <c r="K114" s="95">
        <f t="shared" si="17"/>
        <v>0</v>
      </c>
      <c r="L114" s="54">
        <f t="shared" si="18"/>
        <v>0</v>
      </c>
      <c r="M114" s="31" t="str">
        <f t="shared" si="8"/>
        <v>g</v>
      </c>
      <c r="N114" s="43" t="str">
        <f t="shared" si="19"/>
        <v/>
      </c>
      <c r="O114" s="33" t="str">
        <f t="shared" si="3"/>
        <v>g</v>
      </c>
      <c r="P114" s="137">
        <f t="shared" si="20"/>
        <v>0</v>
      </c>
      <c r="Q114" s="120" t="str">
        <f t="shared" si="9"/>
        <v>g</v>
      </c>
    </row>
    <row r="115" spans="2:17" ht="36" hidden="1" customHeight="1">
      <c r="B115" s="81"/>
      <c r="C115" s="82"/>
      <c r="D115" s="80"/>
      <c r="E115" s="79" t="str">
        <f t="shared" si="15"/>
        <v/>
      </c>
      <c r="F115" s="120" t="str">
        <f t="shared" si="0"/>
        <v>g</v>
      </c>
      <c r="G115" s="18"/>
      <c r="H115" s="90" t="str">
        <f t="shared" si="16"/>
        <v/>
      </c>
      <c r="I115" s="127" t="str">
        <f t="shared" si="7"/>
        <v>g</v>
      </c>
      <c r="K115" s="95">
        <f t="shared" si="17"/>
        <v>0</v>
      </c>
      <c r="L115" s="54">
        <f t="shared" si="18"/>
        <v>0</v>
      </c>
      <c r="M115" s="31" t="str">
        <f t="shared" si="8"/>
        <v>g</v>
      </c>
      <c r="N115" s="43" t="str">
        <f t="shared" si="19"/>
        <v/>
      </c>
      <c r="O115" s="33" t="str">
        <f t="shared" si="3"/>
        <v>g</v>
      </c>
      <c r="P115" s="137">
        <f t="shared" si="20"/>
        <v>0</v>
      </c>
      <c r="Q115" s="120" t="str">
        <f t="shared" si="9"/>
        <v>g</v>
      </c>
    </row>
    <row r="116" spans="2:17" ht="36" hidden="1" customHeight="1">
      <c r="B116" s="81"/>
      <c r="C116" s="82"/>
      <c r="D116" s="80"/>
      <c r="E116" s="79" t="str">
        <f t="shared" si="15"/>
        <v/>
      </c>
      <c r="F116" s="120" t="str">
        <f t="shared" si="0"/>
        <v>g</v>
      </c>
      <c r="G116" s="18"/>
      <c r="H116" s="90" t="str">
        <f t="shared" si="16"/>
        <v/>
      </c>
      <c r="I116" s="127" t="str">
        <f t="shared" si="7"/>
        <v>g</v>
      </c>
      <c r="K116" s="95">
        <f t="shared" si="17"/>
        <v>0</v>
      </c>
      <c r="L116" s="54">
        <f t="shared" si="18"/>
        <v>0</v>
      </c>
      <c r="M116" s="31" t="str">
        <f t="shared" si="8"/>
        <v>g</v>
      </c>
      <c r="N116" s="43" t="str">
        <f t="shared" si="19"/>
        <v/>
      </c>
      <c r="O116" s="33" t="str">
        <f t="shared" si="3"/>
        <v>g</v>
      </c>
      <c r="P116" s="137">
        <f t="shared" si="20"/>
        <v>0</v>
      </c>
      <c r="Q116" s="120" t="str">
        <f t="shared" si="9"/>
        <v>g</v>
      </c>
    </row>
    <row r="117" spans="2:17" ht="36" hidden="1" customHeight="1">
      <c r="B117" s="81"/>
      <c r="C117" s="82"/>
      <c r="D117" s="80"/>
      <c r="E117" s="79" t="str">
        <f t="shared" ref="E117:E143" si="21">IFERROR(L117/K117,  IF(D117="", "", 0))</f>
        <v/>
      </c>
      <c r="F117" s="120" t="str">
        <f t="shared" si="0"/>
        <v>g</v>
      </c>
      <c r="G117" s="18"/>
      <c r="H117" s="90" t="str">
        <f t="shared" ref="H117:H143" si="22">IF($G$3="", "", IF(E117="", "", E117*$G$3%))</f>
        <v/>
      </c>
      <c r="I117" s="127" t="str">
        <f t="shared" si="7"/>
        <v>g</v>
      </c>
      <c r="K117" s="95">
        <f t="shared" ref="K117:K143" si="23">IF(AND(D117="", B117&lt;&gt;""), 1, ROUNDUP(D117/30,0))</f>
        <v>0</v>
      </c>
      <c r="L117" s="54">
        <f t="shared" ref="L117:L143" si="24">IF(AND(D117="", B117&lt;&gt;""), $E$2, D117*$E$2)</f>
        <v>0</v>
      </c>
      <c r="M117" s="31" t="str">
        <f t="shared" si="8"/>
        <v>g</v>
      </c>
      <c r="N117" s="43" t="str">
        <f t="shared" ref="N117:N143" si="25">IF($G$3="", "", L117*$G$3%)</f>
        <v/>
      </c>
      <c r="O117" s="33" t="str">
        <f t="shared" si="3"/>
        <v>g</v>
      </c>
      <c r="P117" s="137">
        <f t="shared" ref="P117:P143" si="26">IF(F117="g", IF(I117="g", IFERROR(E117+H117, 0), 0), 0)</f>
        <v>0</v>
      </c>
      <c r="Q117" s="120" t="str">
        <f t="shared" si="9"/>
        <v>g</v>
      </c>
    </row>
    <row r="118" spans="2:17" ht="36" hidden="1" customHeight="1">
      <c r="B118" s="81"/>
      <c r="C118" s="82"/>
      <c r="D118" s="80"/>
      <c r="E118" s="79" t="str">
        <f t="shared" si="21"/>
        <v/>
      </c>
      <c r="F118" s="120" t="str">
        <f t="shared" si="0"/>
        <v>g</v>
      </c>
      <c r="G118" s="18"/>
      <c r="H118" s="90" t="str">
        <f t="shared" si="22"/>
        <v/>
      </c>
      <c r="I118" s="127" t="str">
        <f t="shared" si="7"/>
        <v>g</v>
      </c>
      <c r="K118" s="95">
        <f t="shared" si="23"/>
        <v>0</v>
      </c>
      <c r="L118" s="54">
        <f t="shared" si="24"/>
        <v>0</v>
      </c>
      <c r="M118" s="31" t="str">
        <f t="shared" si="8"/>
        <v>g</v>
      </c>
      <c r="N118" s="43" t="str">
        <f t="shared" si="25"/>
        <v/>
      </c>
      <c r="O118" s="33" t="str">
        <f t="shared" si="3"/>
        <v>g</v>
      </c>
      <c r="P118" s="137">
        <f t="shared" si="26"/>
        <v>0</v>
      </c>
      <c r="Q118" s="120" t="str">
        <f t="shared" si="9"/>
        <v>g</v>
      </c>
    </row>
    <row r="119" spans="2:17" ht="36" hidden="1" customHeight="1">
      <c r="B119" s="81"/>
      <c r="C119" s="82"/>
      <c r="D119" s="80"/>
      <c r="E119" s="79" t="str">
        <f t="shared" si="21"/>
        <v/>
      </c>
      <c r="F119" s="120" t="str">
        <f t="shared" si="0"/>
        <v>g</v>
      </c>
      <c r="G119" s="18"/>
      <c r="H119" s="90" t="str">
        <f t="shared" si="22"/>
        <v/>
      </c>
      <c r="I119" s="127" t="str">
        <f t="shared" si="7"/>
        <v>g</v>
      </c>
      <c r="K119" s="95">
        <f t="shared" si="23"/>
        <v>0</v>
      </c>
      <c r="L119" s="54">
        <f t="shared" si="24"/>
        <v>0</v>
      </c>
      <c r="M119" s="31" t="str">
        <f t="shared" si="8"/>
        <v>g</v>
      </c>
      <c r="N119" s="43" t="str">
        <f t="shared" si="25"/>
        <v/>
      </c>
      <c r="O119" s="33" t="str">
        <f t="shared" si="3"/>
        <v>g</v>
      </c>
      <c r="P119" s="137">
        <f t="shared" si="26"/>
        <v>0</v>
      </c>
      <c r="Q119" s="120" t="str">
        <f t="shared" si="9"/>
        <v>g</v>
      </c>
    </row>
    <row r="120" spans="2:17" ht="36" hidden="1" customHeight="1">
      <c r="B120" s="81"/>
      <c r="C120" s="82"/>
      <c r="D120" s="80"/>
      <c r="E120" s="79" t="str">
        <f t="shared" si="21"/>
        <v/>
      </c>
      <c r="F120" s="120" t="str">
        <f t="shared" si="0"/>
        <v>g</v>
      </c>
      <c r="G120" s="18"/>
      <c r="H120" s="90" t="str">
        <f t="shared" si="22"/>
        <v/>
      </c>
      <c r="I120" s="127" t="str">
        <f t="shared" si="7"/>
        <v>g</v>
      </c>
      <c r="K120" s="95">
        <f t="shared" si="23"/>
        <v>0</v>
      </c>
      <c r="L120" s="54">
        <f t="shared" si="24"/>
        <v>0</v>
      </c>
      <c r="M120" s="31" t="str">
        <f t="shared" si="8"/>
        <v>g</v>
      </c>
      <c r="N120" s="43" t="str">
        <f t="shared" si="25"/>
        <v/>
      </c>
      <c r="O120" s="33" t="str">
        <f t="shared" si="3"/>
        <v>g</v>
      </c>
      <c r="P120" s="137">
        <f t="shared" si="26"/>
        <v>0</v>
      </c>
      <c r="Q120" s="120" t="str">
        <f t="shared" si="9"/>
        <v>g</v>
      </c>
    </row>
    <row r="121" spans="2:17" ht="36" hidden="1" customHeight="1">
      <c r="B121" s="81"/>
      <c r="C121" s="82"/>
      <c r="D121" s="80"/>
      <c r="E121" s="79" t="str">
        <f t="shared" si="21"/>
        <v/>
      </c>
      <c r="F121" s="120" t="str">
        <f t="shared" si="0"/>
        <v>g</v>
      </c>
      <c r="G121" s="18"/>
      <c r="H121" s="90" t="str">
        <f t="shared" si="22"/>
        <v/>
      </c>
      <c r="I121" s="127" t="str">
        <f t="shared" si="7"/>
        <v>g</v>
      </c>
      <c r="K121" s="95">
        <f t="shared" si="23"/>
        <v>0</v>
      </c>
      <c r="L121" s="54">
        <f t="shared" si="24"/>
        <v>0</v>
      </c>
      <c r="M121" s="31" t="str">
        <f t="shared" si="8"/>
        <v>g</v>
      </c>
      <c r="N121" s="43" t="str">
        <f t="shared" si="25"/>
        <v/>
      </c>
      <c r="O121" s="33" t="str">
        <f t="shared" si="3"/>
        <v>g</v>
      </c>
      <c r="P121" s="137">
        <f t="shared" si="26"/>
        <v>0</v>
      </c>
      <c r="Q121" s="120" t="str">
        <f t="shared" si="9"/>
        <v>g</v>
      </c>
    </row>
    <row r="122" spans="2:17" ht="36" hidden="1" customHeight="1">
      <c r="B122" s="81"/>
      <c r="C122" s="82"/>
      <c r="D122" s="80"/>
      <c r="E122" s="79" t="str">
        <f t="shared" si="21"/>
        <v/>
      </c>
      <c r="F122" s="120" t="str">
        <f t="shared" si="0"/>
        <v>g</v>
      </c>
      <c r="G122" s="18"/>
      <c r="H122" s="90" t="str">
        <f t="shared" si="22"/>
        <v/>
      </c>
      <c r="I122" s="127" t="str">
        <f t="shared" si="7"/>
        <v>g</v>
      </c>
      <c r="K122" s="95">
        <f t="shared" si="23"/>
        <v>0</v>
      </c>
      <c r="L122" s="54">
        <f t="shared" si="24"/>
        <v>0</v>
      </c>
      <c r="M122" s="31" t="str">
        <f t="shared" si="8"/>
        <v>g</v>
      </c>
      <c r="N122" s="43" t="str">
        <f t="shared" si="25"/>
        <v/>
      </c>
      <c r="O122" s="33" t="str">
        <f t="shared" si="3"/>
        <v>g</v>
      </c>
      <c r="P122" s="137">
        <f t="shared" si="26"/>
        <v>0</v>
      </c>
      <c r="Q122" s="120" t="str">
        <f t="shared" si="9"/>
        <v>g</v>
      </c>
    </row>
    <row r="123" spans="2:17" ht="36" hidden="1" customHeight="1">
      <c r="B123" s="81"/>
      <c r="C123" s="82"/>
      <c r="D123" s="80"/>
      <c r="E123" s="79" t="str">
        <f t="shared" si="21"/>
        <v/>
      </c>
      <c r="F123" s="120" t="str">
        <f t="shared" si="0"/>
        <v>g</v>
      </c>
      <c r="G123" s="18"/>
      <c r="H123" s="90" t="str">
        <f t="shared" si="22"/>
        <v/>
      </c>
      <c r="I123" s="127" t="str">
        <f t="shared" si="7"/>
        <v>g</v>
      </c>
      <c r="K123" s="95">
        <f t="shared" si="23"/>
        <v>0</v>
      </c>
      <c r="L123" s="54">
        <f t="shared" si="24"/>
        <v>0</v>
      </c>
      <c r="M123" s="31" t="str">
        <f t="shared" si="8"/>
        <v>g</v>
      </c>
      <c r="N123" s="43" t="str">
        <f t="shared" si="25"/>
        <v/>
      </c>
      <c r="O123" s="33" t="str">
        <f t="shared" si="3"/>
        <v>g</v>
      </c>
      <c r="P123" s="137">
        <f t="shared" si="26"/>
        <v>0</v>
      </c>
      <c r="Q123" s="120" t="str">
        <f t="shared" si="9"/>
        <v>g</v>
      </c>
    </row>
    <row r="124" spans="2:17" ht="36" hidden="1" customHeight="1">
      <c r="B124" s="81"/>
      <c r="C124" s="82"/>
      <c r="D124" s="80"/>
      <c r="E124" s="79" t="str">
        <f t="shared" si="21"/>
        <v/>
      </c>
      <c r="F124" s="120" t="str">
        <f t="shared" si="0"/>
        <v>g</v>
      </c>
      <c r="G124" s="18"/>
      <c r="H124" s="90" t="str">
        <f t="shared" si="22"/>
        <v/>
      </c>
      <c r="I124" s="127" t="str">
        <f t="shared" si="7"/>
        <v>g</v>
      </c>
      <c r="K124" s="95">
        <f t="shared" si="23"/>
        <v>0</v>
      </c>
      <c r="L124" s="54">
        <f t="shared" si="24"/>
        <v>0</v>
      </c>
      <c r="M124" s="31" t="str">
        <f t="shared" si="8"/>
        <v>g</v>
      </c>
      <c r="N124" s="43" t="str">
        <f t="shared" si="25"/>
        <v/>
      </c>
      <c r="O124" s="33" t="str">
        <f t="shared" si="3"/>
        <v>g</v>
      </c>
      <c r="P124" s="137">
        <f t="shared" si="26"/>
        <v>0</v>
      </c>
      <c r="Q124" s="120" t="str">
        <f t="shared" si="9"/>
        <v>g</v>
      </c>
    </row>
    <row r="125" spans="2:17" ht="36" hidden="1" customHeight="1">
      <c r="B125" s="81"/>
      <c r="C125" s="82"/>
      <c r="D125" s="80"/>
      <c r="E125" s="79" t="str">
        <f t="shared" si="21"/>
        <v/>
      </c>
      <c r="F125" s="120" t="str">
        <f t="shared" si="0"/>
        <v>g</v>
      </c>
      <c r="G125" s="18"/>
      <c r="H125" s="90" t="str">
        <f t="shared" si="22"/>
        <v/>
      </c>
      <c r="I125" s="127" t="str">
        <f t="shared" si="7"/>
        <v>g</v>
      </c>
      <c r="K125" s="95">
        <f t="shared" si="23"/>
        <v>0</v>
      </c>
      <c r="L125" s="54">
        <f t="shared" si="24"/>
        <v>0</v>
      </c>
      <c r="M125" s="31" t="str">
        <f t="shared" si="8"/>
        <v>g</v>
      </c>
      <c r="N125" s="43" t="str">
        <f t="shared" si="25"/>
        <v/>
      </c>
      <c r="O125" s="33" t="str">
        <f t="shared" si="3"/>
        <v>g</v>
      </c>
      <c r="P125" s="137">
        <f t="shared" si="26"/>
        <v>0</v>
      </c>
      <c r="Q125" s="120" t="str">
        <f t="shared" si="9"/>
        <v>g</v>
      </c>
    </row>
    <row r="126" spans="2:17" ht="36" hidden="1" customHeight="1">
      <c r="B126" s="81"/>
      <c r="C126" s="82"/>
      <c r="D126" s="80"/>
      <c r="E126" s="79" t="str">
        <f t="shared" si="21"/>
        <v/>
      </c>
      <c r="F126" s="120" t="str">
        <f t="shared" si="0"/>
        <v>g</v>
      </c>
      <c r="G126" s="18"/>
      <c r="H126" s="90" t="str">
        <f t="shared" si="22"/>
        <v/>
      </c>
      <c r="I126" s="127" t="str">
        <f t="shared" si="7"/>
        <v>g</v>
      </c>
      <c r="K126" s="95">
        <f t="shared" si="23"/>
        <v>0</v>
      </c>
      <c r="L126" s="54">
        <f t="shared" si="24"/>
        <v>0</v>
      </c>
      <c r="M126" s="31" t="str">
        <f t="shared" si="8"/>
        <v>g</v>
      </c>
      <c r="N126" s="43" t="str">
        <f t="shared" si="25"/>
        <v/>
      </c>
      <c r="O126" s="33" t="str">
        <f t="shared" si="3"/>
        <v>g</v>
      </c>
      <c r="P126" s="137">
        <f t="shared" si="26"/>
        <v>0</v>
      </c>
      <c r="Q126" s="120" t="str">
        <f t="shared" si="9"/>
        <v>g</v>
      </c>
    </row>
    <row r="127" spans="2:17" ht="36" hidden="1" customHeight="1">
      <c r="B127" s="81"/>
      <c r="C127" s="82"/>
      <c r="D127" s="80"/>
      <c r="E127" s="79" t="str">
        <f t="shared" si="21"/>
        <v/>
      </c>
      <c r="F127" s="120" t="str">
        <f t="shared" si="0"/>
        <v>g</v>
      </c>
      <c r="G127" s="18"/>
      <c r="H127" s="90" t="str">
        <f t="shared" si="22"/>
        <v/>
      </c>
      <c r="I127" s="127" t="str">
        <f t="shared" si="7"/>
        <v>g</v>
      </c>
      <c r="K127" s="95">
        <f t="shared" si="23"/>
        <v>0</v>
      </c>
      <c r="L127" s="54">
        <f t="shared" si="24"/>
        <v>0</v>
      </c>
      <c r="M127" s="31" t="str">
        <f t="shared" si="8"/>
        <v>g</v>
      </c>
      <c r="N127" s="43" t="str">
        <f t="shared" si="25"/>
        <v/>
      </c>
      <c r="O127" s="33" t="str">
        <f t="shared" si="3"/>
        <v>g</v>
      </c>
      <c r="P127" s="137">
        <f t="shared" si="26"/>
        <v>0</v>
      </c>
      <c r="Q127" s="120" t="str">
        <f t="shared" si="9"/>
        <v>g</v>
      </c>
    </row>
    <row r="128" spans="2:17" ht="36" hidden="1" customHeight="1">
      <c r="B128" s="81"/>
      <c r="C128" s="82"/>
      <c r="D128" s="80"/>
      <c r="E128" s="79" t="str">
        <f t="shared" si="21"/>
        <v/>
      </c>
      <c r="F128" s="120" t="str">
        <f t="shared" si="0"/>
        <v>g</v>
      </c>
      <c r="G128" s="18"/>
      <c r="H128" s="90" t="str">
        <f t="shared" si="22"/>
        <v/>
      </c>
      <c r="I128" s="127" t="str">
        <f t="shared" si="7"/>
        <v>g</v>
      </c>
      <c r="K128" s="95">
        <f t="shared" si="23"/>
        <v>0</v>
      </c>
      <c r="L128" s="54">
        <f t="shared" si="24"/>
        <v>0</v>
      </c>
      <c r="M128" s="31" t="str">
        <f t="shared" si="8"/>
        <v>g</v>
      </c>
      <c r="N128" s="43" t="str">
        <f t="shared" si="25"/>
        <v/>
      </c>
      <c r="O128" s="33" t="str">
        <f t="shared" si="3"/>
        <v>g</v>
      </c>
      <c r="P128" s="137">
        <f t="shared" si="26"/>
        <v>0</v>
      </c>
      <c r="Q128" s="120" t="str">
        <f t="shared" si="9"/>
        <v>g</v>
      </c>
    </row>
    <row r="129" spans="2:17" ht="36" hidden="1" customHeight="1">
      <c r="B129" s="81"/>
      <c r="C129" s="82"/>
      <c r="D129" s="80"/>
      <c r="E129" s="79" t="str">
        <f t="shared" si="21"/>
        <v/>
      </c>
      <c r="F129" s="120" t="str">
        <f t="shared" si="0"/>
        <v>g</v>
      </c>
      <c r="G129" s="18"/>
      <c r="H129" s="90" t="str">
        <f t="shared" si="22"/>
        <v/>
      </c>
      <c r="I129" s="127" t="str">
        <f t="shared" si="7"/>
        <v>g</v>
      </c>
      <c r="K129" s="95">
        <f t="shared" si="23"/>
        <v>0</v>
      </c>
      <c r="L129" s="54">
        <f t="shared" si="24"/>
        <v>0</v>
      </c>
      <c r="M129" s="31" t="str">
        <f t="shared" si="8"/>
        <v>g</v>
      </c>
      <c r="N129" s="43" t="str">
        <f t="shared" si="25"/>
        <v/>
      </c>
      <c r="O129" s="33" t="str">
        <f t="shared" si="3"/>
        <v>g</v>
      </c>
      <c r="P129" s="137">
        <f t="shared" si="26"/>
        <v>0</v>
      </c>
      <c r="Q129" s="120" t="str">
        <f t="shared" si="9"/>
        <v>g</v>
      </c>
    </row>
    <row r="130" spans="2:17" ht="36" hidden="1" customHeight="1">
      <c r="B130" s="81"/>
      <c r="C130" s="82"/>
      <c r="D130" s="80"/>
      <c r="E130" s="79" t="str">
        <f t="shared" si="21"/>
        <v/>
      </c>
      <c r="F130" s="120" t="str">
        <f t="shared" si="0"/>
        <v>g</v>
      </c>
      <c r="G130" s="18"/>
      <c r="H130" s="90" t="str">
        <f t="shared" si="22"/>
        <v/>
      </c>
      <c r="I130" s="127" t="str">
        <f t="shared" si="7"/>
        <v>g</v>
      </c>
      <c r="K130" s="95">
        <f t="shared" si="23"/>
        <v>0</v>
      </c>
      <c r="L130" s="54">
        <f t="shared" si="24"/>
        <v>0</v>
      </c>
      <c r="M130" s="31" t="str">
        <f t="shared" si="8"/>
        <v>g</v>
      </c>
      <c r="N130" s="43" t="str">
        <f t="shared" si="25"/>
        <v/>
      </c>
      <c r="O130" s="33" t="str">
        <f t="shared" si="3"/>
        <v>g</v>
      </c>
      <c r="P130" s="137">
        <f t="shared" si="26"/>
        <v>0</v>
      </c>
      <c r="Q130" s="120" t="str">
        <f t="shared" si="9"/>
        <v>g</v>
      </c>
    </row>
    <row r="131" spans="2:17" ht="36" hidden="1" customHeight="1">
      <c r="B131" s="81"/>
      <c r="C131" s="82"/>
      <c r="D131" s="80"/>
      <c r="E131" s="79" t="str">
        <f t="shared" si="21"/>
        <v/>
      </c>
      <c r="F131" s="120" t="str">
        <f t="shared" si="0"/>
        <v>g</v>
      </c>
      <c r="G131" s="18"/>
      <c r="H131" s="90" t="str">
        <f t="shared" si="22"/>
        <v/>
      </c>
      <c r="I131" s="127" t="str">
        <f t="shared" si="7"/>
        <v>g</v>
      </c>
      <c r="K131" s="95">
        <f t="shared" si="23"/>
        <v>0</v>
      </c>
      <c r="L131" s="54">
        <f t="shared" si="24"/>
        <v>0</v>
      </c>
      <c r="M131" s="31" t="str">
        <f t="shared" si="8"/>
        <v>g</v>
      </c>
      <c r="N131" s="43" t="str">
        <f t="shared" si="25"/>
        <v/>
      </c>
      <c r="O131" s="33" t="str">
        <f t="shared" si="3"/>
        <v>g</v>
      </c>
      <c r="P131" s="137">
        <f t="shared" si="26"/>
        <v>0</v>
      </c>
      <c r="Q131" s="120" t="str">
        <f t="shared" si="9"/>
        <v>g</v>
      </c>
    </row>
    <row r="132" spans="2:17" ht="36" hidden="1" customHeight="1">
      <c r="B132" s="81"/>
      <c r="C132" s="82"/>
      <c r="D132" s="80"/>
      <c r="E132" s="79" t="str">
        <f t="shared" si="21"/>
        <v/>
      </c>
      <c r="F132" s="120" t="str">
        <f t="shared" si="0"/>
        <v>g</v>
      </c>
      <c r="G132" s="18"/>
      <c r="H132" s="90" t="str">
        <f t="shared" si="22"/>
        <v/>
      </c>
      <c r="I132" s="127" t="str">
        <f t="shared" si="7"/>
        <v>g</v>
      </c>
      <c r="K132" s="95">
        <f t="shared" si="23"/>
        <v>0</v>
      </c>
      <c r="L132" s="54">
        <f t="shared" si="24"/>
        <v>0</v>
      </c>
      <c r="M132" s="31" t="str">
        <f t="shared" si="8"/>
        <v>g</v>
      </c>
      <c r="N132" s="43" t="str">
        <f t="shared" si="25"/>
        <v/>
      </c>
      <c r="O132" s="33" t="str">
        <f t="shared" si="3"/>
        <v>g</v>
      </c>
      <c r="P132" s="137">
        <f t="shared" si="26"/>
        <v>0</v>
      </c>
      <c r="Q132" s="120" t="str">
        <f t="shared" si="9"/>
        <v>g</v>
      </c>
    </row>
    <row r="133" spans="2:17" ht="36" hidden="1" customHeight="1">
      <c r="B133" s="81"/>
      <c r="C133" s="82"/>
      <c r="D133" s="80"/>
      <c r="E133" s="79" t="str">
        <f t="shared" si="21"/>
        <v/>
      </c>
      <c r="F133" s="120" t="str">
        <f t="shared" si="0"/>
        <v>g</v>
      </c>
      <c r="G133" s="18"/>
      <c r="H133" s="90" t="str">
        <f t="shared" si="22"/>
        <v/>
      </c>
      <c r="I133" s="127" t="str">
        <f t="shared" si="7"/>
        <v>g</v>
      </c>
      <c r="K133" s="95">
        <f t="shared" si="23"/>
        <v>0</v>
      </c>
      <c r="L133" s="54">
        <f t="shared" si="24"/>
        <v>0</v>
      </c>
      <c r="M133" s="31" t="str">
        <f t="shared" si="8"/>
        <v>g</v>
      </c>
      <c r="N133" s="43" t="str">
        <f t="shared" si="25"/>
        <v/>
      </c>
      <c r="O133" s="33" t="str">
        <f t="shared" si="3"/>
        <v>g</v>
      </c>
      <c r="P133" s="137">
        <f t="shared" si="26"/>
        <v>0</v>
      </c>
      <c r="Q133" s="120" t="str">
        <f t="shared" si="9"/>
        <v>g</v>
      </c>
    </row>
    <row r="134" spans="2:17" ht="36" hidden="1" customHeight="1">
      <c r="B134" s="81"/>
      <c r="C134" s="82"/>
      <c r="D134" s="80"/>
      <c r="E134" s="79" t="str">
        <f t="shared" si="21"/>
        <v/>
      </c>
      <c r="F134" s="120" t="str">
        <f t="shared" si="0"/>
        <v>g</v>
      </c>
      <c r="G134" s="18"/>
      <c r="H134" s="90" t="str">
        <f t="shared" si="22"/>
        <v/>
      </c>
      <c r="I134" s="127" t="str">
        <f t="shared" si="7"/>
        <v>g</v>
      </c>
      <c r="K134" s="95">
        <f t="shared" si="23"/>
        <v>0</v>
      </c>
      <c r="L134" s="54">
        <f t="shared" si="24"/>
        <v>0</v>
      </c>
      <c r="M134" s="31" t="str">
        <f t="shared" si="8"/>
        <v>g</v>
      </c>
      <c r="N134" s="43" t="str">
        <f t="shared" si="25"/>
        <v/>
      </c>
      <c r="O134" s="33" t="str">
        <f t="shared" si="3"/>
        <v>g</v>
      </c>
      <c r="P134" s="137">
        <f t="shared" si="26"/>
        <v>0</v>
      </c>
      <c r="Q134" s="120" t="str">
        <f t="shared" si="9"/>
        <v>g</v>
      </c>
    </row>
    <row r="135" spans="2:17" ht="36" hidden="1" customHeight="1">
      <c r="B135" s="81"/>
      <c r="C135" s="82"/>
      <c r="D135" s="80"/>
      <c r="E135" s="79" t="str">
        <f t="shared" si="21"/>
        <v/>
      </c>
      <c r="F135" s="120" t="str">
        <f t="shared" si="0"/>
        <v>g</v>
      </c>
      <c r="G135" s="18"/>
      <c r="H135" s="90" t="str">
        <f t="shared" si="22"/>
        <v/>
      </c>
      <c r="I135" s="127" t="str">
        <f t="shared" si="7"/>
        <v>g</v>
      </c>
      <c r="K135" s="95">
        <f t="shared" si="23"/>
        <v>0</v>
      </c>
      <c r="L135" s="54">
        <f t="shared" si="24"/>
        <v>0</v>
      </c>
      <c r="M135" s="31" t="str">
        <f t="shared" si="8"/>
        <v>g</v>
      </c>
      <c r="N135" s="43" t="str">
        <f t="shared" si="25"/>
        <v/>
      </c>
      <c r="O135" s="33" t="str">
        <f t="shared" si="3"/>
        <v>g</v>
      </c>
      <c r="P135" s="137">
        <f t="shared" si="26"/>
        <v>0</v>
      </c>
      <c r="Q135" s="120" t="str">
        <f t="shared" si="9"/>
        <v>g</v>
      </c>
    </row>
    <row r="136" spans="2:17" ht="36" hidden="1" customHeight="1">
      <c r="B136" s="81"/>
      <c r="C136" s="82"/>
      <c r="D136" s="80"/>
      <c r="E136" s="79" t="str">
        <f t="shared" si="21"/>
        <v/>
      </c>
      <c r="F136" s="120" t="str">
        <f t="shared" si="0"/>
        <v>g</v>
      </c>
      <c r="G136" s="18"/>
      <c r="H136" s="90" t="str">
        <f t="shared" si="22"/>
        <v/>
      </c>
      <c r="I136" s="127" t="str">
        <f t="shared" si="7"/>
        <v>g</v>
      </c>
      <c r="K136" s="95">
        <f t="shared" si="23"/>
        <v>0</v>
      </c>
      <c r="L136" s="54">
        <f t="shared" si="24"/>
        <v>0</v>
      </c>
      <c r="M136" s="31" t="str">
        <f t="shared" si="8"/>
        <v>g</v>
      </c>
      <c r="N136" s="43" t="str">
        <f t="shared" si="25"/>
        <v/>
      </c>
      <c r="O136" s="33" t="str">
        <f t="shared" si="3"/>
        <v>g</v>
      </c>
      <c r="P136" s="137">
        <f t="shared" si="26"/>
        <v>0</v>
      </c>
      <c r="Q136" s="120" t="str">
        <f t="shared" si="9"/>
        <v>g</v>
      </c>
    </row>
    <row r="137" spans="2:17" ht="36" hidden="1" customHeight="1">
      <c r="B137" s="81"/>
      <c r="C137" s="82"/>
      <c r="D137" s="80"/>
      <c r="E137" s="79" t="str">
        <f t="shared" si="21"/>
        <v/>
      </c>
      <c r="F137" s="120" t="str">
        <f t="shared" si="0"/>
        <v>g</v>
      </c>
      <c r="G137" s="18"/>
      <c r="H137" s="90" t="str">
        <f t="shared" si="22"/>
        <v/>
      </c>
      <c r="I137" s="127" t="str">
        <f t="shared" si="7"/>
        <v>g</v>
      </c>
      <c r="K137" s="95">
        <f t="shared" si="23"/>
        <v>0</v>
      </c>
      <c r="L137" s="54">
        <f t="shared" si="24"/>
        <v>0</v>
      </c>
      <c r="M137" s="31" t="str">
        <f t="shared" si="8"/>
        <v>g</v>
      </c>
      <c r="N137" s="43" t="str">
        <f t="shared" si="25"/>
        <v/>
      </c>
      <c r="O137" s="33" t="str">
        <f t="shared" si="3"/>
        <v>g</v>
      </c>
      <c r="P137" s="137">
        <f t="shared" si="26"/>
        <v>0</v>
      </c>
      <c r="Q137" s="120" t="str">
        <f t="shared" si="9"/>
        <v>g</v>
      </c>
    </row>
    <row r="138" spans="2:17" ht="36" hidden="1" customHeight="1">
      <c r="B138" s="81"/>
      <c r="C138" s="82"/>
      <c r="D138" s="80"/>
      <c r="E138" s="79" t="str">
        <f t="shared" si="21"/>
        <v/>
      </c>
      <c r="F138" s="120" t="str">
        <f t="shared" si="0"/>
        <v>g</v>
      </c>
      <c r="G138" s="18"/>
      <c r="H138" s="90" t="str">
        <f t="shared" si="22"/>
        <v/>
      </c>
      <c r="I138" s="127" t="str">
        <f t="shared" si="7"/>
        <v>g</v>
      </c>
      <c r="K138" s="95">
        <f t="shared" si="23"/>
        <v>0</v>
      </c>
      <c r="L138" s="54">
        <f t="shared" si="24"/>
        <v>0</v>
      </c>
      <c r="M138" s="31" t="str">
        <f t="shared" si="8"/>
        <v>g</v>
      </c>
      <c r="N138" s="43" t="str">
        <f t="shared" si="25"/>
        <v/>
      </c>
      <c r="O138" s="33" t="str">
        <f t="shared" si="3"/>
        <v>g</v>
      </c>
      <c r="P138" s="137">
        <f t="shared" si="26"/>
        <v>0</v>
      </c>
      <c r="Q138" s="120" t="str">
        <f t="shared" si="9"/>
        <v>g</v>
      </c>
    </row>
    <row r="139" spans="2:17" ht="36" hidden="1" customHeight="1">
      <c r="B139" s="81"/>
      <c r="C139" s="82"/>
      <c r="D139" s="80"/>
      <c r="E139" s="79" t="str">
        <f t="shared" si="21"/>
        <v/>
      </c>
      <c r="F139" s="120" t="str">
        <f t="shared" si="0"/>
        <v>g</v>
      </c>
      <c r="G139" s="18"/>
      <c r="H139" s="90" t="str">
        <f t="shared" si="22"/>
        <v/>
      </c>
      <c r="I139" s="127" t="str">
        <f t="shared" si="7"/>
        <v>g</v>
      </c>
      <c r="K139" s="95">
        <f t="shared" si="23"/>
        <v>0</v>
      </c>
      <c r="L139" s="54">
        <f t="shared" si="24"/>
        <v>0</v>
      </c>
      <c r="M139" s="31" t="str">
        <f t="shared" si="8"/>
        <v>g</v>
      </c>
      <c r="N139" s="43" t="str">
        <f t="shared" si="25"/>
        <v/>
      </c>
      <c r="O139" s="33" t="str">
        <f t="shared" si="3"/>
        <v>g</v>
      </c>
      <c r="P139" s="137">
        <f t="shared" si="26"/>
        <v>0</v>
      </c>
      <c r="Q139" s="120" t="str">
        <f t="shared" si="9"/>
        <v>g</v>
      </c>
    </row>
    <row r="140" spans="2:17" ht="36" hidden="1" customHeight="1">
      <c r="B140" s="81"/>
      <c r="C140" s="82"/>
      <c r="D140" s="80"/>
      <c r="E140" s="79" t="str">
        <f t="shared" si="21"/>
        <v/>
      </c>
      <c r="F140" s="120" t="str">
        <f t="shared" si="0"/>
        <v>g</v>
      </c>
      <c r="G140" s="18"/>
      <c r="H140" s="90" t="str">
        <f t="shared" si="22"/>
        <v/>
      </c>
      <c r="I140" s="127" t="str">
        <f t="shared" si="7"/>
        <v>g</v>
      </c>
      <c r="K140" s="95">
        <f t="shared" si="23"/>
        <v>0</v>
      </c>
      <c r="L140" s="54">
        <f t="shared" si="24"/>
        <v>0</v>
      </c>
      <c r="M140" s="31" t="str">
        <f t="shared" si="8"/>
        <v>g</v>
      </c>
      <c r="N140" s="43" t="str">
        <f t="shared" si="25"/>
        <v/>
      </c>
      <c r="O140" s="33" t="str">
        <f t="shared" si="3"/>
        <v>g</v>
      </c>
      <c r="P140" s="137">
        <f t="shared" si="26"/>
        <v>0</v>
      </c>
      <c r="Q140" s="120" t="str">
        <f t="shared" si="9"/>
        <v>g</v>
      </c>
    </row>
    <row r="141" spans="2:17" ht="36" hidden="1" customHeight="1">
      <c r="B141" s="81"/>
      <c r="C141" s="82"/>
      <c r="D141" s="80"/>
      <c r="E141" s="79" t="str">
        <f t="shared" si="21"/>
        <v/>
      </c>
      <c r="F141" s="120" t="str">
        <f t="shared" si="0"/>
        <v>g</v>
      </c>
      <c r="G141" s="18"/>
      <c r="H141" s="90" t="str">
        <f t="shared" si="22"/>
        <v/>
      </c>
      <c r="I141" s="127" t="str">
        <f t="shared" si="7"/>
        <v>g</v>
      </c>
      <c r="K141" s="95">
        <f t="shared" si="23"/>
        <v>0</v>
      </c>
      <c r="L141" s="54">
        <f t="shared" si="24"/>
        <v>0</v>
      </c>
      <c r="M141" s="31" t="str">
        <f t="shared" si="8"/>
        <v>g</v>
      </c>
      <c r="N141" s="43" t="str">
        <f t="shared" si="25"/>
        <v/>
      </c>
      <c r="O141" s="33" t="str">
        <f t="shared" si="3"/>
        <v>g</v>
      </c>
      <c r="P141" s="137">
        <f t="shared" si="26"/>
        <v>0</v>
      </c>
      <c r="Q141" s="120" t="str">
        <f t="shared" si="9"/>
        <v>g</v>
      </c>
    </row>
    <row r="142" spans="2:17" ht="36" hidden="1" customHeight="1">
      <c r="B142" s="81"/>
      <c r="C142" s="82"/>
      <c r="D142" s="80"/>
      <c r="E142" s="79" t="str">
        <f t="shared" si="21"/>
        <v/>
      </c>
      <c r="F142" s="120" t="str">
        <f t="shared" si="0"/>
        <v>g</v>
      </c>
      <c r="G142" s="18"/>
      <c r="H142" s="90" t="str">
        <f t="shared" si="22"/>
        <v/>
      </c>
      <c r="I142" s="127" t="str">
        <f t="shared" si="7"/>
        <v>g</v>
      </c>
      <c r="K142" s="95">
        <f t="shared" si="23"/>
        <v>0</v>
      </c>
      <c r="L142" s="54">
        <f t="shared" si="24"/>
        <v>0</v>
      </c>
      <c r="M142" s="31" t="str">
        <f t="shared" si="8"/>
        <v>g</v>
      </c>
      <c r="N142" s="43" t="str">
        <f t="shared" si="25"/>
        <v/>
      </c>
      <c r="O142" s="33" t="str">
        <f t="shared" si="3"/>
        <v>g</v>
      </c>
      <c r="P142" s="137">
        <f t="shared" si="26"/>
        <v>0</v>
      </c>
      <c r="Q142" s="120" t="str">
        <f t="shared" si="9"/>
        <v>g</v>
      </c>
    </row>
    <row r="143" spans="2:17" ht="36" hidden="1" customHeight="1">
      <c r="B143" s="81"/>
      <c r="C143" s="82"/>
      <c r="D143" s="80"/>
      <c r="E143" s="79" t="str">
        <f t="shared" si="21"/>
        <v/>
      </c>
      <c r="F143" s="120" t="str">
        <f t="shared" si="0"/>
        <v>g</v>
      </c>
      <c r="G143" s="18"/>
      <c r="H143" s="90" t="str">
        <f t="shared" si="22"/>
        <v/>
      </c>
      <c r="I143" s="127" t="str">
        <f t="shared" si="7"/>
        <v>g</v>
      </c>
      <c r="K143" s="95">
        <f t="shared" si="23"/>
        <v>0</v>
      </c>
      <c r="L143" s="54">
        <f t="shared" si="24"/>
        <v>0</v>
      </c>
      <c r="M143" s="31" t="str">
        <f t="shared" si="8"/>
        <v>g</v>
      </c>
      <c r="N143" s="43" t="str">
        <f t="shared" si="25"/>
        <v/>
      </c>
      <c r="O143" s="33" t="str">
        <f t="shared" si="3"/>
        <v>g</v>
      </c>
      <c r="P143" s="137">
        <f t="shared" si="26"/>
        <v>0</v>
      </c>
      <c r="Q143" s="120" t="str">
        <f t="shared" si="9"/>
        <v>g</v>
      </c>
    </row>
    <row r="144" spans="2:17" ht="36" hidden="1" customHeight="1">
      <c r="B144" s="81"/>
      <c r="C144" s="82"/>
      <c r="D144" s="80"/>
      <c r="E144" s="79" t="str">
        <f t="shared" ref="E144:E149" si="27">IFERROR(L144/K144,  IF(D144="", "", 0))</f>
        <v/>
      </c>
      <c r="F144" s="120" t="str">
        <f t="shared" si="0"/>
        <v>g</v>
      </c>
      <c r="G144" s="18"/>
      <c r="H144" s="90" t="str">
        <f t="shared" ref="H144:H149" si="28">IF($G$3="", "", IF(E144="", "", E144*$G$3%))</f>
        <v/>
      </c>
      <c r="I144" s="127" t="str">
        <f t="shared" si="7"/>
        <v>g</v>
      </c>
      <c r="K144" s="95">
        <f t="shared" ref="K144:K149" si="29">IF(AND(D144="", B144&lt;&gt;""), 1, ROUNDUP(D144/30,0))</f>
        <v>0</v>
      </c>
      <c r="L144" s="54">
        <f t="shared" ref="L144:L149" si="30">IF(AND(D144="", B144&lt;&gt;""), $E$2, D144*$E$2)</f>
        <v>0</v>
      </c>
      <c r="M144" s="31" t="str">
        <f t="shared" si="8"/>
        <v>g</v>
      </c>
      <c r="N144" s="43" t="str">
        <f t="shared" ref="N144:N149" si="31">IF($G$3="", "", L144*$G$3%)</f>
        <v/>
      </c>
      <c r="O144" s="33" t="str">
        <f t="shared" si="3"/>
        <v>g</v>
      </c>
      <c r="P144" s="137">
        <f t="shared" ref="P144:P149" si="32">IF(F144="g", IF(I144="g", IFERROR(E144+H144, 0), 0), 0)</f>
        <v>0</v>
      </c>
      <c r="Q144" s="120" t="str">
        <f t="shared" si="9"/>
        <v>g</v>
      </c>
    </row>
    <row r="145" spans="2:17" ht="36" hidden="1" customHeight="1">
      <c r="B145" s="81"/>
      <c r="C145" s="82"/>
      <c r="D145" s="80"/>
      <c r="E145" s="79" t="str">
        <f t="shared" si="27"/>
        <v/>
      </c>
      <c r="F145" s="120" t="str">
        <f t="shared" si="0"/>
        <v>g</v>
      </c>
      <c r="G145" s="18"/>
      <c r="H145" s="90" t="str">
        <f t="shared" si="28"/>
        <v/>
      </c>
      <c r="I145" s="127" t="str">
        <f t="shared" si="7"/>
        <v>g</v>
      </c>
      <c r="K145" s="95">
        <f t="shared" si="29"/>
        <v>0</v>
      </c>
      <c r="L145" s="54">
        <f t="shared" si="30"/>
        <v>0</v>
      </c>
      <c r="M145" s="31" t="str">
        <f t="shared" si="8"/>
        <v>g</v>
      </c>
      <c r="N145" s="43" t="str">
        <f t="shared" si="31"/>
        <v/>
      </c>
      <c r="O145" s="33" t="str">
        <f t="shared" si="3"/>
        <v>g</v>
      </c>
      <c r="P145" s="137">
        <f t="shared" si="32"/>
        <v>0</v>
      </c>
      <c r="Q145" s="120" t="str">
        <f t="shared" si="9"/>
        <v>g</v>
      </c>
    </row>
    <row r="146" spans="2:17" ht="36" hidden="1" customHeight="1">
      <c r="B146" s="81"/>
      <c r="C146" s="82"/>
      <c r="D146" s="80"/>
      <c r="E146" s="79" t="str">
        <f t="shared" si="27"/>
        <v/>
      </c>
      <c r="F146" s="120" t="str">
        <f t="shared" si="0"/>
        <v>g</v>
      </c>
      <c r="G146" s="18"/>
      <c r="H146" s="90" t="str">
        <f t="shared" si="28"/>
        <v/>
      </c>
      <c r="I146" s="127" t="str">
        <f t="shared" si="7"/>
        <v>g</v>
      </c>
      <c r="K146" s="95">
        <f t="shared" si="29"/>
        <v>0</v>
      </c>
      <c r="L146" s="54">
        <f t="shared" si="30"/>
        <v>0</v>
      </c>
      <c r="M146" s="31" t="str">
        <f t="shared" si="8"/>
        <v>g</v>
      </c>
      <c r="N146" s="43" t="str">
        <f t="shared" si="31"/>
        <v/>
      </c>
      <c r="O146" s="33" t="str">
        <f t="shared" si="3"/>
        <v>g</v>
      </c>
      <c r="P146" s="137">
        <f t="shared" si="32"/>
        <v>0</v>
      </c>
      <c r="Q146" s="120" t="str">
        <f t="shared" si="9"/>
        <v>g</v>
      </c>
    </row>
    <row r="147" spans="2:17" ht="36" hidden="1" customHeight="1">
      <c r="B147" s="81"/>
      <c r="C147" s="82"/>
      <c r="D147" s="80"/>
      <c r="E147" s="79" t="str">
        <f t="shared" si="27"/>
        <v/>
      </c>
      <c r="F147" s="120" t="str">
        <f t="shared" si="0"/>
        <v>g</v>
      </c>
      <c r="G147" s="18"/>
      <c r="H147" s="90" t="str">
        <f t="shared" si="28"/>
        <v/>
      </c>
      <c r="I147" s="127" t="str">
        <f t="shared" si="7"/>
        <v>g</v>
      </c>
      <c r="K147" s="95">
        <f t="shared" si="29"/>
        <v>0</v>
      </c>
      <c r="L147" s="54">
        <f t="shared" si="30"/>
        <v>0</v>
      </c>
      <c r="M147" s="31" t="str">
        <f t="shared" si="8"/>
        <v>g</v>
      </c>
      <c r="N147" s="43" t="str">
        <f t="shared" si="31"/>
        <v/>
      </c>
      <c r="O147" s="33" t="str">
        <f t="shared" si="3"/>
        <v>g</v>
      </c>
      <c r="P147" s="137">
        <f t="shared" si="32"/>
        <v>0</v>
      </c>
      <c r="Q147" s="120" t="str">
        <f t="shared" si="9"/>
        <v>g</v>
      </c>
    </row>
    <row r="148" spans="2:17" ht="36" hidden="1" customHeight="1">
      <c r="B148" s="81"/>
      <c r="C148" s="82"/>
      <c r="D148" s="80"/>
      <c r="E148" s="79" t="str">
        <f t="shared" si="27"/>
        <v/>
      </c>
      <c r="F148" s="120" t="str">
        <f t="shared" si="0"/>
        <v>g</v>
      </c>
      <c r="G148" s="18"/>
      <c r="H148" s="90" t="str">
        <f t="shared" si="28"/>
        <v/>
      </c>
      <c r="I148" s="127" t="str">
        <f t="shared" si="7"/>
        <v>g</v>
      </c>
      <c r="K148" s="95">
        <f t="shared" si="29"/>
        <v>0</v>
      </c>
      <c r="L148" s="54">
        <f t="shared" si="30"/>
        <v>0</v>
      </c>
      <c r="M148" s="31" t="str">
        <f t="shared" si="8"/>
        <v>g</v>
      </c>
      <c r="N148" s="43" t="str">
        <f t="shared" si="31"/>
        <v/>
      </c>
      <c r="O148" s="33" t="str">
        <f t="shared" si="3"/>
        <v>g</v>
      </c>
      <c r="P148" s="137">
        <f t="shared" si="32"/>
        <v>0</v>
      </c>
      <c r="Q148" s="120" t="str">
        <f t="shared" si="9"/>
        <v>g</v>
      </c>
    </row>
    <row r="149" spans="2:17" ht="36" hidden="1" customHeight="1">
      <c r="B149" s="81"/>
      <c r="C149" s="82"/>
      <c r="D149" s="80"/>
      <c r="E149" s="79" t="str">
        <f t="shared" si="27"/>
        <v/>
      </c>
      <c r="F149" s="120" t="str">
        <f t="shared" si="0"/>
        <v>g</v>
      </c>
      <c r="G149" s="18"/>
      <c r="H149" s="90" t="str">
        <f t="shared" si="28"/>
        <v/>
      </c>
      <c r="I149" s="127" t="str">
        <f t="shared" si="7"/>
        <v>g</v>
      </c>
      <c r="K149" s="95">
        <f t="shared" si="29"/>
        <v>0</v>
      </c>
      <c r="L149" s="54">
        <f t="shared" si="30"/>
        <v>0</v>
      </c>
      <c r="M149" s="31" t="str">
        <f t="shared" si="8"/>
        <v>g</v>
      </c>
      <c r="N149" s="43" t="str">
        <f t="shared" si="31"/>
        <v/>
      </c>
      <c r="O149" s="33" t="str">
        <f t="shared" si="3"/>
        <v>g</v>
      </c>
      <c r="P149" s="137">
        <f t="shared" si="32"/>
        <v>0</v>
      </c>
      <c r="Q149" s="120" t="str">
        <f t="shared" si="9"/>
        <v>g</v>
      </c>
    </row>
    <row r="150" spans="2:17" ht="36" hidden="1" customHeight="1">
      <c r="B150" s="81"/>
      <c r="C150" s="82"/>
      <c r="D150" s="80"/>
      <c r="E150" s="79" t="str">
        <f t="shared" ref="E150:E154" si="33">IFERROR(L150/K150,  IF(D150="", "", 0))</f>
        <v/>
      </c>
      <c r="F150" s="120" t="str">
        <f t="shared" si="0"/>
        <v>g</v>
      </c>
      <c r="G150" s="18"/>
      <c r="H150" s="90" t="str">
        <f t="shared" ref="H150:H154" si="34">IF($G$3="", "", IF(E150="", "", E150*$G$3%))</f>
        <v/>
      </c>
      <c r="I150" s="127" t="str">
        <f t="shared" si="7"/>
        <v>g</v>
      </c>
      <c r="K150" s="95">
        <f t="shared" ref="K150:K154" si="35">IF(AND(D150="", B150&lt;&gt;""), 1, ROUNDUP(D150/30,0))</f>
        <v>0</v>
      </c>
      <c r="L150" s="54">
        <f t="shared" ref="L150:L154" si="36">IF(AND(D150="", B150&lt;&gt;""), $E$2, D150*$E$2)</f>
        <v>0</v>
      </c>
      <c r="M150" s="31" t="str">
        <f t="shared" si="8"/>
        <v>g</v>
      </c>
      <c r="N150" s="43" t="str">
        <f t="shared" ref="N150:N154" si="37">IF($G$3="", "", L150*$G$3%)</f>
        <v/>
      </c>
      <c r="O150" s="33" t="str">
        <f t="shared" si="3"/>
        <v>g</v>
      </c>
      <c r="P150" s="137">
        <f t="shared" ref="P150:P154" si="38">IF(F150="g", IF(I150="g", IFERROR(E150+H150, 0), 0), 0)</f>
        <v>0</v>
      </c>
      <c r="Q150" s="120" t="str">
        <f t="shared" si="9"/>
        <v>g</v>
      </c>
    </row>
    <row r="151" spans="2:17" ht="36" hidden="1" customHeight="1">
      <c r="B151" s="81"/>
      <c r="C151" s="82"/>
      <c r="D151" s="80"/>
      <c r="E151" s="79" t="str">
        <f t="shared" si="33"/>
        <v/>
      </c>
      <c r="F151" s="120" t="str">
        <f t="shared" si="0"/>
        <v>g</v>
      </c>
      <c r="G151" s="18"/>
      <c r="H151" s="90" t="str">
        <f t="shared" si="34"/>
        <v/>
      </c>
      <c r="I151" s="127" t="str">
        <f t="shared" si="7"/>
        <v>g</v>
      </c>
      <c r="K151" s="95">
        <f t="shared" si="35"/>
        <v>0</v>
      </c>
      <c r="L151" s="54">
        <f t="shared" si="36"/>
        <v>0</v>
      </c>
      <c r="M151" s="31" t="str">
        <f t="shared" si="8"/>
        <v>g</v>
      </c>
      <c r="N151" s="43" t="str">
        <f t="shared" si="37"/>
        <v/>
      </c>
      <c r="O151" s="33" t="str">
        <f t="shared" si="3"/>
        <v>g</v>
      </c>
      <c r="P151" s="137">
        <f t="shared" si="38"/>
        <v>0</v>
      </c>
      <c r="Q151" s="120" t="str">
        <f t="shared" si="9"/>
        <v>g</v>
      </c>
    </row>
    <row r="152" spans="2:17" ht="36" hidden="1" customHeight="1">
      <c r="B152" s="81"/>
      <c r="C152" s="82"/>
      <c r="D152" s="80"/>
      <c r="E152" s="79" t="str">
        <f t="shared" si="33"/>
        <v/>
      </c>
      <c r="F152" s="120" t="str">
        <f t="shared" si="0"/>
        <v>g</v>
      </c>
      <c r="G152" s="18"/>
      <c r="H152" s="90" t="str">
        <f t="shared" si="34"/>
        <v/>
      </c>
      <c r="I152" s="127" t="str">
        <f t="shared" si="7"/>
        <v>g</v>
      </c>
      <c r="K152" s="95">
        <f t="shared" si="35"/>
        <v>0</v>
      </c>
      <c r="L152" s="54">
        <f t="shared" si="36"/>
        <v>0</v>
      </c>
      <c r="M152" s="31" t="str">
        <f t="shared" si="8"/>
        <v>g</v>
      </c>
      <c r="N152" s="43" t="str">
        <f t="shared" si="37"/>
        <v/>
      </c>
      <c r="O152" s="33" t="str">
        <f t="shared" si="3"/>
        <v>g</v>
      </c>
      <c r="P152" s="137">
        <f t="shared" si="38"/>
        <v>0</v>
      </c>
      <c r="Q152" s="120" t="str">
        <f t="shared" si="9"/>
        <v>g</v>
      </c>
    </row>
    <row r="153" spans="2:17" ht="36" hidden="1" customHeight="1">
      <c r="B153" s="81"/>
      <c r="C153" s="82"/>
      <c r="D153" s="80"/>
      <c r="E153" s="79" t="str">
        <f t="shared" si="33"/>
        <v/>
      </c>
      <c r="F153" s="120" t="str">
        <f t="shared" si="0"/>
        <v>g</v>
      </c>
      <c r="G153" s="18"/>
      <c r="H153" s="90" t="str">
        <f t="shared" si="34"/>
        <v/>
      </c>
      <c r="I153" s="127" t="str">
        <f t="shared" si="7"/>
        <v>g</v>
      </c>
      <c r="K153" s="95">
        <f t="shared" si="35"/>
        <v>0</v>
      </c>
      <c r="L153" s="54">
        <f t="shared" si="36"/>
        <v>0</v>
      </c>
      <c r="M153" s="31" t="str">
        <f t="shared" si="8"/>
        <v>g</v>
      </c>
      <c r="N153" s="43" t="str">
        <f t="shared" si="37"/>
        <v/>
      </c>
      <c r="O153" s="33" t="str">
        <f t="shared" si="3"/>
        <v>g</v>
      </c>
      <c r="P153" s="137">
        <f t="shared" si="38"/>
        <v>0</v>
      </c>
      <c r="Q153" s="120" t="str">
        <f t="shared" si="9"/>
        <v>g</v>
      </c>
    </row>
    <row r="154" spans="2:17" ht="36" hidden="1" customHeight="1">
      <c r="B154" s="81"/>
      <c r="C154" s="82"/>
      <c r="D154" s="80"/>
      <c r="E154" s="79" t="str">
        <f t="shared" si="33"/>
        <v/>
      </c>
      <c r="F154" s="120" t="str">
        <f t="shared" si="0"/>
        <v>g</v>
      </c>
      <c r="G154" s="18"/>
      <c r="H154" s="90" t="str">
        <f t="shared" si="34"/>
        <v/>
      </c>
      <c r="I154" s="127" t="str">
        <f t="shared" si="7"/>
        <v>g</v>
      </c>
      <c r="K154" s="95">
        <f t="shared" si="35"/>
        <v>0</v>
      </c>
      <c r="L154" s="54">
        <f t="shared" si="36"/>
        <v>0</v>
      </c>
      <c r="M154" s="31" t="str">
        <f t="shared" si="8"/>
        <v>g</v>
      </c>
      <c r="N154" s="43" t="str">
        <f t="shared" si="37"/>
        <v/>
      </c>
      <c r="O154" s="33" t="str">
        <f t="shared" si="3"/>
        <v>g</v>
      </c>
      <c r="P154" s="137">
        <f t="shared" si="38"/>
        <v>0</v>
      </c>
      <c r="Q154" s="120" t="str">
        <f t="shared" si="9"/>
        <v>g</v>
      </c>
    </row>
    <row r="155" spans="2:17" ht="36" customHeight="1" thickBot="1">
      <c r="B155" s="83"/>
      <c r="C155" s="84"/>
      <c r="D155" s="85"/>
      <c r="E155" s="86" t="str">
        <f t="shared" si="10"/>
        <v/>
      </c>
      <c r="F155" s="121" t="str">
        <f t="shared" si="0"/>
        <v>g</v>
      </c>
      <c r="G155" s="19"/>
      <c r="H155" s="91" t="str">
        <f t="shared" si="11"/>
        <v/>
      </c>
      <c r="I155" s="128" t="str">
        <f t="shared" si="7"/>
        <v>g</v>
      </c>
      <c r="J155" s="37"/>
      <c r="K155" s="97">
        <f t="shared" si="12"/>
        <v>0</v>
      </c>
      <c r="L155" s="55">
        <f t="shared" si="13"/>
        <v>0</v>
      </c>
      <c r="M155" s="38" t="str">
        <f t="shared" si="8"/>
        <v>g</v>
      </c>
      <c r="N155" s="45" t="str">
        <f t="shared" si="14"/>
        <v/>
      </c>
      <c r="O155" s="34" t="str">
        <f t="shared" si="3"/>
        <v>g</v>
      </c>
      <c r="P155" s="143">
        <f t="shared" si="1"/>
        <v>0</v>
      </c>
      <c r="Q155" s="121" t="str">
        <f t="shared" si="9"/>
        <v>g</v>
      </c>
    </row>
    <row r="156" spans="2:17" ht="32.1" customHeight="1">
      <c r="B156" s="2"/>
      <c r="C156" s="2"/>
      <c r="D156" s="2"/>
    </row>
    <row r="157" spans="2:17" ht="32.1" customHeight="1">
      <c r="B157" s="2"/>
      <c r="C157" s="2"/>
      <c r="D157" s="2"/>
    </row>
    <row r="158" spans="2:17" ht="32.1" customHeight="1">
      <c r="B158" s="2"/>
      <c r="C158" s="2"/>
      <c r="D158" s="2"/>
    </row>
    <row r="159" spans="2:17" ht="32.1" customHeight="1">
      <c r="B159" s="2"/>
      <c r="C159" s="2"/>
      <c r="D159" s="2"/>
    </row>
    <row r="160" spans="2:17" ht="32.1" customHeight="1">
      <c r="B160" s="2"/>
      <c r="C160" s="2"/>
      <c r="D160" s="2"/>
    </row>
    <row r="161" spans="2:4" ht="32.1" customHeight="1">
      <c r="B161" s="2"/>
      <c r="C161" s="2"/>
      <c r="D161" s="2"/>
    </row>
    <row r="162" spans="2:4" ht="32.1" customHeight="1">
      <c r="B162" s="2"/>
      <c r="C162" s="2"/>
      <c r="D162" s="2"/>
    </row>
    <row r="163" spans="2:4" ht="32.1" customHeight="1">
      <c r="B163" s="2"/>
      <c r="C163" s="2"/>
      <c r="D163" s="2"/>
    </row>
    <row r="164" spans="2:4" ht="32.1" customHeight="1">
      <c r="B164" s="2"/>
      <c r="C164" s="2"/>
      <c r="D164" s="2"/>
    </row>
    <row r="165" spans="2:4" ht="32.1" customHeight="1">
      <c r="B165" s="2"/>
      <c r="C165" s="2"/>
      <c r="D165" s="2"/>
    </row>
    <row r="166" spans="2:4" ht="32.1" customHeight="1">
      <c r="B166" s="2"/>
      <c r="C166" s="2"/>
      <c r="D166" s="2"/>
    </row>
    <row r="167" spans="2:4" ht="32.1" customHeight="1">
      <c r="B167" s="2"/>
      <c r="C167" s="2"/>
      <c r="D167" s="2"/>
    </row>
    <row r="168" spans="2:4" ht="32.1" customHeight="1">
      <c r="B168" s="2"/>
      <c r="C168" s="2"/>
      <c r="D168" s="2"/>
    </row>
  </sheetData>
  <mergeCells count="13">
    <mergeCell ref="P3:Q3"/>
    <mergeCell ref="L3:O3"/>
    <mergeCell ref="B12:C12"/>
    <mergeCell ref="B13:C13"/>
    <mergeCell ref="H1:I1"/>
    <mergeCell ref="B2:D2"/>
    <mergeCell ref="E3:F3"/>
    <mergeCell ref="H3:I3"/>
    <mergeCell ref="B11:C11"/>
    <mergeCell ref="B4:C4"/>
    <mergeCell ref="B5:C5"/>
    <mergeCell ref="E1:F1"/>
    <mergeCell ref="B1:D1"/>
  </mergeCells>
  <phoneticPr fontId="3"/>
  <pageMargins left="0.70866141732283472" right="0.70866141732283472" top="0.74803149606299213" bottom="0.74803149606299213" header="0.31496062992125984" footer="0.31496062992125984"/>
  <pageSetup paperSize="9" scale="57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5F0-D499-F740-98F3-AB153AC4CFBA}">
  <sheetPr>
    <pageSetUpPr fitToPage="1"/>
  </sheetPr>
  <dimension ref="B1:Q75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5.6640625" style="8" hidden="1" customWidth="1"/>
    <col min="8" max="8" width="11.6640625" style="5" customWidth="1"/>
    <col min="9" max="9" width="5.6640625" style="8" customWidth="1"/>
    <col min="10" max="10" width="5.6640625" style="8" hidden="1" customWidth="1"/>
    <col min="11" max="11" width="7.6640625" style="4" customWidth="1"/>
    <col min="12" max="12" width="7.33203125" style="4" hidden="1" customWidth="1"/>
    <col min="13" max="13" width="4.44140625" style="4" hidden="1" customWidth="1"/>
    <col min="14" max="14" width="8.21875" style="4" hidden="1" customWidth="1"/>
    <col min="15" max="15" width="4.33203125" style="4" hidden="1" customWidth="1"/>
    <col min="16" max="16" width="11.6640625" style="4" customWidth="1"/>
    <col min="17" max="17" width="5.6640625" style="4" customWidth="1"/>
    <col min="18" max="16384" width="13.109375" style="3"/>
  </cols>
  <sheetData>
    <row r="1" spans="2:17" ht="48" customHeight="1" thickBot="1">
      <c r="B1" s="161" t="s">
        <v>6</v>
      </c>
      <c r="C1" s="151"/>
      <c r="D1" s="151"/>
      <c r="E1" s="151"/>
      <c r="F1" s="151"/>
      <c r="G1" s="59"/>
      <c r="H1" s="151">
        <f>G1</f>
        <v>0</v>
      </c>
      <c r="I1" s="151"/>
      <c r="J1" s="59"/>
      <c r="K1" s="59" t="str">
        <f>IF(H2="",IF(G2&gt;0, G2&amp;"%",""),"")</f>
        <v/>
      </c>
      <c r="L1" s="20"/>
      <c r="M1" s="20"/>
      <c r="N1" s="20"/>
      <c r="O1" s="20"/>
      <c r="P1" s="20"/>
      <c r="Q1" s="20"/>
    </row>
    <row r="2" spans="2:17" ht="50.1" customHeight="1">
      <c r="B2" s="152"/>
      <c r="C2" s="153"/>
      <c r="D2" s="153"/>
      <c r="E2" s="60"/>
      <c r="F2" s="116" t="s">
        <v>4</v>
      </c>
      <c r="G2" s="22"/>
      <c r="H2" s="61" t="str">
        <f>IF($G$2="","",G2*0.8)</f>
        <v/>
      </c>
      <c r="I2" s="122" t="s">
        <v>5</v>
      </c>
      <c r="J2" s="57"/>
      <c r="K2" s="56"/>
      <c r="L2" s="46"/>
      <c r="M2" s="46"/>
      <c r="N2" s="46"/>
      <c r="O2" s="47"/>
      <c r="P2" s="139"/>
      <c r="Q2" s="47"/>
    </row>
    <row r="3" spans="2:17" s="4" customFormat="1" ht="36" customHeight="1" thickBot="1">
      <c r="B3" s="14"/>
      <c r="C3" s="15"/>
      <c r="D3" s="98" t="s">
        <v>11</v>
      </c>
      <c r="E3" s="164" t="s">
        <v>6</v>
      </c>
      <c r="F3" s="165"/>
      <c r="G3" s="99"/>
      <c r="H3" s="164" t="s">
        <v>1</v>
      </c>
      <c r="I3" s="166"/>
      <c r="J3" s="100"/>
      <c r="K3" s="65" t="s">
        <v>27</v>
      </c>
      <c r="L3" s="147" t="s">
        <v>28</v>
      </c>
      <c r="M3" s="147"/>
      <c r="N3" s="147"/>
      <c r="O3" s="148"/>
      <c r="P3" s="162" t="s">
        <v>30</v>
      </c>
      <c r="Q3" s="163"/>
    </row>
    <row r="4" spans="2:17" ht="36" customHeight="1" thickTop="1">
      <c r="B4" s="157" t="s">
        <v>3</v>
      </c>
      <c r="C4" s="158"/>
      <c r="D4" s="66">
        <v>1</v>
      </c>
      <c r="E4" s="67">
        <f>D4*$E$2</f>
        <v>0</v>
      </c>
      <c r="F4" s="117" t="str">
        <f>$F$2</f>
        <v>g</v>
      </c>
      <c r="G4" s="16"/>
      <c r="H4" s="87" t="str">
        <f>IF($G$3="", "", E4*$H$2%)</f>
        <v/>
      </c>
      <c r="I4" s="123" t="s">
        <v>4</v>
      </c>
      <c r="K4" s="92"/>
      <c r="L4" s="48"/>
      <c r="M4" s="25"/>
      <c r="N4" s="26"/>
      <c r="O4" s="27"/>
      <c r="P4" s="135">
        <f>IF(F4="g", IF(I4="g", IFERROR(E4+H4, 0), 0), 0)</f>
        <v>0</v>
      </c>
      <c r="Q4" s="117" t="s">
        <v>29</v>
      </c>
    </row>
    <row r="5" spans="2:17" ht="36" customHeight="1" thickBot="1">
      <c r="B5" s="159" t="s">
        <v>2</v>
      </c>
      <c r="C5" s="160"/>
      <c r="D5" s="69">
        <v>10</v>
      </c>
      <c r="E5" s="70">
        <f t="shared" ref="E5" si="0">D5*$E$2</f>
        <v>0</v>
      </c>
      <c r="F5" s="118" t="str">
        <f t="shared" ref="F5:F62" si="1">$F$2</f>
        <v>g</v>
      </c>
      <c r="G5" s="17"/>
      <c r="H5" s="88" t="str">
        <f>IF($G$3="", "", E5*$H$2%)</f>
        <v/>
      </c>
      <c r="I5" s="124" t="str">
        <f>$I$4</f>
        <v>g</v>
      </c>
      <c r="K5" s="93"/>
      <c r="L5" s="49"/>
      <c r="M5" s="28"/>
      <c r="N5" s="29"/>
      <c r="O5" s="30"/>
      <c r="P5" s="138">
        <f t="shared" ref="P5:P62" si="2">IF(F5="g", IF(I5="g", IFERROR(E5+H5, 0), 0), 0)</f>
        <v>0</v>
      </c>
      <c r="Q5" s="118" t="s">
        <v>4</v>
      </c>
    </row>
    <row r="6" spans="2:17" ht="36" customHeight="1" thickTop="1">
      <c r="B6" s="71">
        <v>30</v>
      </c>
      <c r="C6" s="72" t="s">
        <v>24</v>
      </c>
      <c r="D6" s="73">
        <v>1</v>
      </c>
      <c r="E6" s="74">
        <f>$K6*$E$2</f>
        <v>0</v>
      </c>
      <c r="F6" s="119" t="str">
        <f t="shared" si="1"/>
        <v>g</v>
      </c>
      <c r="G6" s="24"/>
      <c r="H6" s="89">
        <f>IF(K6=0, 0, IFERROR(B6*$H$4, 0))</f>
        <v>0</v>
      </c>
      <c r="I6" s="125" t="s">
        <v>4</v>
      </c>
      <c r="K6" s="94">
        <v>0</v>
      </c>
      <c r="L6" s="50">
        <f>E6*K6</f>
        <v>0</v>
      </c>
      <c r="M6" s="35" t="str">
        <f>$F$2</f>
        <v>g</v>
      </c>
      <c r="N6" s="42">
        <f>IFERROR(K6*B6*$H$4, 0)</f>
        <v>0</v>
      </c>
      <c r="O6" s="27" t="str">
        <f>$I$4</f>
        <v>g</v>
      </c>
      <c r="P6" s="135">
        <f t="shared" si="2"/>
        <v>0</v>
      </c>
      <c r="Q6" s="136" t="s">
        <v>4</v>
      </c>
    </row>
    <row r="7" spans="2:17" ht="36" customHeight="1">
      <c r="B7" s="75">
        <v>10</v>
      </c>
      <c r="C7" s="76" t="s">
        <v>25</v>
      </c>
      <c r="D7" s="66">
        <v>1</v>
      </c>
      <c r="E7" s="67">
        <f>$B7*$E$2</f>
        <v>0</v>
      </c>
      <c r="F7" s="117" t="str">
        <f t="shared" si="1"/>
        <v>g</v>
      </c>
      <c r="G7" s="16"/>
      <c r="H7" s="87">
        <f t="shared" ref="H7:H10" si="3">IF(K7=0, 0, IFERROR(B7*$H$4, 0))</f>
        <v>0</v>
      </c>
      <c r="I7" s="126" t="s">
        <v>4</v>
      </c>
      <c r="K7" s="95">
        <v>2</v>
      </c>
      <c r="L7" s="51">
        <f>E7*K7</f>
        <v>0</v>
      </c>
      <c r="M7" s="31" t="str">
        <f t="shared" ref="M7:M10" si="4">$F$2</f>
        <v>g</v>
      </c>
      <c r="N7" s="43">
        <f t="shared" ref="N7:N10" si="5">IFERROR(K7*B7*$H$4, 0)</f>
        <v>0</v>
      </c>
      <c r="O7" s="33" t="str">
        <f t="shared" ref="O7:O62" si="6">$I$4</f>
        <v>g</v>
      </c>
      <c r="P7" s="137">
        <f t="shared" si="2"/>
        <v>0</v>
      </c>
      <c r="Q7" s="120" t="s">
        <v>4</v>
      </c>
    </row>
    <row r="8" spans="2:17" ht="36" customHeight="1">
      <c r="B8" s="75">
        <v>1</v>
      </c>
      <c r="C8" s="76" t="s">
        <v>31</v>
      </c>
      <c r="D8" s="66">
        <v>1</v>
      </c>
      <c r="E8" s="67">
        <v>50</v>
      </c>
      <c r="F8" s="117" t="str">
        <f t="shared" si="1"/>
        <v>g</v>
      </c>
      <c r="G8" s="16"/>
      <c r="H8" s="87">
        <f>IF(K8=0, 0, IFERROR(B8*$H$4, 0))</f>
        <v>0</v>
      </c>
      <c r="I8" s="126" t="s">
        <v>4</v>
      </c>
      <c r="J8" s="4"/>
      <c r="K8" s="95">
        <v>1</v>
      </c>
      <c r="L8" s="51">
        <f>E8*K8</f>
        <v>50</v>
      </c>
      <c r="M8" s="31" t="str">
        <f t="shared" si="4"/>
        <v>g</v>
      </c>
      <c r="N8" s="43">
        <f>IFERROR(K8*B8*$H$4, 0)</f>
        <v>0</v>
      </c>
      <c r="O8" s="33" t="str">
        <f t="shared" si="6"/>
        <v>g</v>
      </c>
      <c r="P8" s="137">
        <f t="shared" si="2"/>
        <v>50</v>
      </c>
      <c r="Q8" s="120" t="str">
        <f t="shared" ref="Q8" si="7">$F$2</f>
        <v>g</v>
      </c>
    </row>
    <row r="9" spans="2:17" ht="36" customHeight="1">
      <c r="B9" s="75">
        <v>1</v>
      </c>
      <c r="C9" s="76" t="s">
        <v>25</v>
      </c>
      <c r="D9" s="66">
        <v>1</v>
      </c>
      <c r="E9" s="67">
        <f t="shared" ref="E9:E10" si="8">$K9*$E$2</f>
        <v>0</v>
      </c>
      <c r="F9" s="117" t="str">
        <f t="shared" si="1"/>
        <v>g</v>
      </c>
      <c r="G9" s="16"/>
      <c r="H9" s="87">
        <f t="shared" si="3"/>
        <v>0</v>
      </c>
      <c r="I9" s="126" t="s">
        <v>4</v>
      </c>
      <c r="K9" s="95">
        <v>1</v>
      </c>
      <c r="L9" s="51">
        <f>E9*K9</f>
        <v>0</v>
      </c>
      <c r="M9" s="31" t="str">
        <f t="shared" si="4"/>
        <v>g</v>
      </c>
      <c r="N9" s="43">
        <f t="shared" si="5"/>
        <v>0</v>
      </c>
      <c r="O9" s="33" t="str">
        <f t="shared" si="6"/>
        <v>g</v>
      </c>
      <c r="P9" s="137">
        <f t="shared" si="2"/>
        <v>0</v>
      </c>
      <c r="Q9" s="120" t="s">
        <v>4</v>
      </c>
    </row>
    <row r="10" spans="2:17" ht="36" customHeight="1" thickBot="1">
      <c r="B10" s="77">
        <v>1</v>
      </c>
      <c r="C10" s="78" t="s">
        <v>26</v>
      </c>
      <c r="D10" s="69">
        <v>1</v>
      </c>
      <c r="E10" s="70">
        <f t="shared" si="8"/>
        <v>0</v>
      </c>
      <c r="F10" s="118" t="str">
        <f t="shared" si="1"/>
        <v>g</v>
      </c>
      <c r="G10" s="17"/>
      <c r="H10" s="88">
        <f t="shared" si="3"/>
        <v>0</v>
      </c>
      <c r="I10" s="124" t="s">
        <v>4</v>
      </c>
      <c r="K10" s="96">
        <v>0</v>
      </c>
      <c r="L10" s="52">
        <f>E10*K10</f>
        <v>0</v>
      </c>
      <c r="M10" s="28" t="str">
        <f t="shared" si="4"/>
        <v>g</v>
      </c>
      <c r="N10" s="44">
        <f t="shared" si="5"/>
        <v>0</v>
      </c>
      <c r="O10" s="30" t="str">
        <f t="shared" si="6"/>
        <v>g</v>
      </c>
      <c r="P10" s="138">
        <f t="shared" si="2"/>
        <v>0</v>
      </c>
      <c r="Q10" s="118" t="s">
        <v>4</v>
      </c>
    </row>
    <row r="11" spans="2:17" ht="36" customHeight="1" thickTop="1">
      <c r="B11" s="101"/>
      <c r="C11" s="102"/>
      <c r="D11" s="66"/>
      <c r="E11" s="67"/>
      <c r="F11" s="7"/>
      <c r="G11" s="16"/>
      <c r="H11" s="87"/>
      <c r="I11" s="12"/>
      <c r="K11" s="94"/>
      <c r="L11" s="53"/>
      <c r="M11" s="39"/>
      <c r="N11" s="40"/>
      <c r="O11" s="41"/>
      <c r="P11" s="135"/>
      <c r="Q11" s="117"/>
    </row>
    <row r="12" spans="2:17" ht="36" customHeight="1">
      <c r="B12" s="81"/>
      <c r="C12" s="82"/>
      <c r="D12" s="80"/>
      <c r="E12" s="79"/>
      <c r="F12" s="6"/>
      <c r="G12" s="18"/>
      <c r="H12" s="90"/>
      <c r="I12" s="13"/>
      <c r="K12" s="95"/>
      <c r="L12" s="54"/>
      <c r="M12" s="31"/>
      <c r="N12" s="32"/>
      <c r="O12" s="33"/>
      <c r="P12" s="137"/>
      <c r="Q12" s="120"/>
    </row>
    <row r="13" spans="2:17" ht="36" customHeight="1">
      <c r="B13" s="81"/>
      <c r="C13" s="82"/>
      <c r="D13" s="80"/>
      <c r="E13" s="79"/>
      <c r="F13" s="6"/>
      <c r="G13" s="18"/>
      <c r="H13" s="90"/>
      <c r="I13" s="13"/>
      <c r="K13" s="95"/>
      <c r="L13" s="54"/>
      <c r="M13" s="31"/>
      <c r="N13" s="32"/>
      <c r="O13" s="33"/>
      <c r="P13" s="137"/>
      <c r="Q13" s="120"/>
    </row>
    <row r="14" spans="2:17" ht="36" customHeight="1">
      <c r="B14" s="81"/>
      <c r="C14" s="82"/>
      <c r="D14" s="80"/>
      <c r="E14" s="79" t="str">
        <f t="shared" ref="E14:E45" si="9">IFERROR(L14/K14,  IF(D14="", "", 0))</f>
        <v/>
      </c>
      <c r="F14" s="120" t="str">
        <f t="shared" si="1"/>
        <v>g</v>
      </c>
      <c r="G14" s="18"/>
      <c r="H14" s="90" t="str">
        <f>IF($G$3="", "", IF(E14="", "", E14*$G$3%))</f>
        <v/>
      </c>
      <c r="I14" s="127" t="str">
        <f t="shared" ref="I14:I62" si="10">$I$4</f>
        <v>g</v>
      </c>
      <c r="K14" s="95">
        <f t="shared" ref="K14:K45" si="11">IF(AND(D14="", B14&lt;&gt;""), 1, ROUNDUP(D14/30,0))</f>
        <v>0</v>
      </c>
      <c r="L14" s="54">
        <f t="shared" ref="L14:L45" si="12">IF(AND(D14="", B14&lt;&gt;""), $E$2, D14*$E$2)</f>
        <v>0</v>
      </c>
      <c r="M14" s="31" t="str">
        <f t="shared" ref="M14:M62" si="13">$F$2</f>
        <v>g</v>
      </c>
      <c r="N14" s="43" t="str">
        <f>IF($G$3="", "", L14*$G$3%)</f>
        <v/>
      </c>
      <c r="O14" s="33" t="str">
        <f t="shared" si="6"/>
        <v>g</v>
      </c>
      <c r="P14" s="137">
        <f t="shared" si="2"/>
        <v>0</v>
      </c>
      <c r="Q14" s="120" t="s">
        <v>4</v>
      </c>
    </row>
    <row r="15" spans="2:17" ht="36" customHeight="1">
      <c r="B15" s="81"/>
      <c r="C15" s="82"/>
      <c r="D15" s="80"/>
      <c r="E15" s="79" t="str">
        <f t="shared" si="9"/>
        <v/>
      </c>
      <c r="F15" s="120" t="str">
        <f t="shared" si="1"/>
        <v>g</v>
      </c>
      <c r="G15" s="18"/>
      <c r="H15" s="90" t="str">
        <f t="shared" ref="H15:H62" si="14">IF($G$3="", "", IF(E15="", "", E15*$G$3%))</f>
        <v/>
      </c>
      <c r="I15" s="127" t="str">
        <f t="shared" si="10"/>
        <v>g</v>
      </c>
      <c r="K15" s="95">
        <f t="shared" si="11"/>
        <v>0</v>
      </c>
      <c r="L15" s="54">
        <f t="shared" si="12"/>
        <v>0</v>
      </c>
      <c r="M15" s="31" t="str">
        <f t="shared" si="13"/>
        <v>g</v>
      </c>
      <c r="N15" s="43" t="str">
        <f t="shared" ref="N15:N62" si="15">IF($G$3="", "", L15*$G$3%)</f>
        <v/>
      </c>
      <c r="O15" s="33" t="str">
        <f t="shared" si="6"/>
        <v>g</v>
      </c>
      <c r="P15" s="137">
        <f t="shared" si="2"/>
        <v>0</v>
      </c>
      <c r="Q15" s="120" t="s">
        <v>4</v>
      </c>
    </row>
    <row r="16" spans="2:17" ht="36" customHeight="1">
      <c r="B16" s="81"/>
      <c r="C16" s="82"/>
      <c r="D16" s="80"/>
      <c r="E16" s="79" t="str">
        <f t="shared" si="9"/>
        <v/>
      </c>
      <c r="F16" s="120" t="str">
        <f t="shared" si="1"/>
        <v>g</v>
      </c>
      <c r="G16" s="18"/>
      <c r="H16" s="90" t="str">
        <f t="shared" si="14"/>
        <v/>
      </c>
      <c r="I16" s="127" t="str">
        <f t="shared" si="10"/>
        <v>g</v>
      </c>
      <c r="K16" s="95">
        <f t="shared" si="11"/>
        <v>0</v>
      </c>
      <c r="L16" s="54">
        <f t="shared" si="12"/>
        <v>0</v>
      </c>
      <c r="M16" s="31" t="str">
        <f t="shared" si="13"/>
        <v>g</v>
      </c>
      <c r="N16" s="43" t="str">
        <f t="shared" si="15"/>
        <v/>
      </c>
      <c r="O16" s="33" t="str">
        <f t="shared" si="6"/>
        <v>g</v>
      </c>
      <c r="P16" s="137">
        <f t="shared" si="2"/>
        <v>0</v>
      </c>
      <c r="Q16" s="120" t="s">
        <v>4</v>
      </c>
    </row>
    <row r="17" spans="2:17" ht="36" customHeight="1">
      <c r="B17" s="81"/>
      <c r="C17" s="82"/>
      <c r="D17" s="80"/>
      <c r="E17" s="79" t="str">
        <f t="shared" si="9"/>
        <v/>
      </c>
      <c r="F17" s="120" t="str">
        <f t="shared" si="1"/>
        <v>g</v>
      </c>
      <c r="G17" s="18"/>
      <c r="H17" s="90" t="str">
        <f t="shared" si="14"/>
        <v/>
      </c>
      <c r="I17" s="127" t="str">
        <f t="shared" si="10"/>
        <v>g</v>
      </c>
      <c r="K17" s="95">
        <f t="shared" si="11"/>
        <v>0</v>
      </c>
      <c r="L17" s="54">
        <f t="shared" si="12"/>
        <v>0</v>
      </c>
      <c r="M17" s="31" t="str">
        <f t="shared" si="13"/>
        <v>g</v>
      </c>
      <c r="N17" s="43" t="str">
        <f t="shared" si="15"/>
        <v/>
      </c>
      <c r="O17" s="33" t="str">
        <f t="shared" si="6"/>
        <v>g</v>
      </c>
      <c r="P17" s="137">
        <f t="shared" si="2"/>
        <v>0</v>
      </c>
      <c r="Q17" s="120" t="s">
        <v>4</v>
      </c>
    </row>
    <row r="18" spans="2:17" ht="36" customHeight="1">
      <c r="B18" s="81"/>
      <c r="C18" s="82"/>
      <c r="D18" s="80"/>
      <c r="E18" s="79" t="str">
        <f t="shared" si="9"/>
        <v/>
      </c>
      <c r="F18" s="120" t="str">
        <f t="shared" si="1"/>
        <v>g</v>
      </c>
      <c r="G18" s="18"/>
      <c r="H18" s="90" t="str">
        <f t="shared" si="14"/>
        <v/>
      </c>
      <c r="I18" s="127" t="str">
        <f t="shared" si="10"/>
        <v>g</v>
      </c>
      <c r="K18" s="95">
        <f t="shared" si="11"/>
        <v>0</v>
      </c>
      <c r="L18" s="54">
        <f t="shared" si="12"/>
        <v>0</v>
      </c>
      <c r="M18" s="31" t="str">
        <f t="shared" si="13"/>
        <v>g</v>
      </c>
      <c r="N18" s="43" t="str">
        <f t="shared" si="15"/>
        <v/>
      </c>
      <c r="O18" s="33" t="str">
        <f t="shared" si="6"/>
        <v>g</v>
      </c>
      <c r="P18" s="137">
        <f t="shared" si="2"/>
        <v>0</v>
      </c>
      <c r="Q18" s="120" t="s">
        <v>4</v>
      </c>
    </row>
    <row r="19" spans="2:17" ht="36" customHeight="1">
      <c r="B19" s="81"/>
      <c r="C19" s="82"/>
      <c r="D19" s="80"/>
      <c r="E19" s="79" t="str">
        <f t="shared" si="9"/>
        <v/>
      </c>
      <c r="F19" s="120" t="str">
        <f t="shared" si="1"/>
        <v>g</v>
      </c>
      <c r="G19" s="18"/>
      <c r="H19" s="90" t="str">
        <f t="shared" si="14"/>
        <v/>
      </c>
      <c r="I19" s="127" t="str">
        <f t="shared" si="10"/>
        <v>g</v>
      </c>
      <c r="K19" s="95">
        <f t="shared" si="11"/>
        <v>0</v>
      </c>
      <c r="L19" s="54">
        <f t="shared" si="12"/>
        <v>0</v>
      </c>
      <c r="M19" s="31" t="str">
        <f t="shared" si="13"/>
        <v>g</v>
      </c>
      <c r="N19" s="43" t="str">
        <f t="shared" si="15"/>
        <v/>
      </c>
      <c r="O19" s="33" t="str">
        <f t="shared" si="6"/>
        <v>g</v>
      </c>
      <c r="P19" s="137">
        <f t="shared" si="2"/>
        <v>0</v>
      </c>
      <c r="Q19" s="120" t="s">
        <v>4</v>
      </c>
    </row>
    <row r="20" spans="2:17" ht="36" customHeight="1">
      <c r="B20" s="81"/>
      <c r="C20" s="82"/>
      <c r="D20" s="80"/>
      <c r="E20" s="79" t="str">
        <f t="shared" si="9"/>
        <v/>
      </c>
      <c r="F20" s="120" t="str">
        <f t="shared" si="1"/>
        <v>g</v>
      </c>
      <c r="G20" s="18"/>
      <c r="H20" s="90" t="str">
        <f t="shared" si="14"/>
        <v/>
      </c>
      <c r="I20" s="127" t="str">
        <f t="shared" si="10"/>
        <v>g</v>
      </c>
      <c r="K20" s="95">
        <f t="shared" si="11"/>
        <v>0</v>
      </c>
      <c r="L20" s="54">
        <f t="shared" si="12"/>
        <v>0</v>
      </c>
      <c r="M20" s="31" t="str">
        <f t="shared" si="13"/>
        <v>g</v>
      </c>
      <c r="N20" s="43" t="str">
        <f t="shared" si="15"/>
        <v/>
      </c>
      <c r="O20" s="33" t="str">
        <f t="shared" si="6"/>
        <v>g</v>
      </c>
      <c r="P20" s="137">
        <f t="shared" si="2"/>
        <v>0</v>
      </c>
      <c r="Q20" s="120" t="s">
        <v>4</v>
      </c>
    </row>
    <row r="21" spans="2:17" ht="36" customHeight="1">
      <c r="B21" s="81"/>
      <c r="C21" s="82"/>
      <c r="D21" s="80"/>
      <c r="E21" s="79" t="str">
        <f t="shared" si="9"/>
        <v/>
      </c>
      <c r="F21" s="120" t="str">
        <f t="shared" si="1"/>
        <v>g</v>
      </c>
      <c r="G21" s="18"/>
      <c r="H21" s="90" t="str">
        <f t="shared" si="14"/>
        <v/>
      </c>
      <c r="I21" s="127" t="str">
        <f t="shared" si="10"/>
        <v>g</v>
      </c>
      <c r="K21" s="95">
        <f t="shared" si="11"/>
        <v>0</v>
      </c>
      <c r="L21" s="54">
        <f t="shared" si="12"/>
        <v>0</v>
      </c>
      <c r="M21" s="31" t="str">
        <f t="shared" si="13"/>
        <v>g</v>
      </c>
      <c r="N21" s="43" t="str">
        <f t="shared" si="15"/>
        <v/>
      </c>
      <c r="O21" s="33" t="str">
        <f t="shared" si="6"/>
        <v>g</v>
      </c>
      <c r="P21" s="137">
        <f t="shared" si="2"/>
        <v>0</v>
      </c>
      <c r="Q21" s="120" t="s">
        <v>4</v>
      </c>
    </row>
    <row r="22" spans="2:17" ht="36" customHeight="1">
      <c r="B22" s="81"/>
      <c r="C22" s="82"/>
      <c r="D22" s="80"/>
      <c r="E22" s="79" t="str">
        <f t="shared" si="9"/>
        <v/>
      </c>
      <c r="F22" s="120" t="str">
        <f t="shared" si="1"/>
        <v>g</v>
      </c>
      <c r="G22" s="18"/>
      <c r="H22" s="90" t="str">
        <f t="shared" si="14"/>
        <v/>
      </c>
      <c r="I22" s="127" t="str">
        <f t="shared" si="10"/>
        <v>g</v>
      </c>
      <c r="K22" s="95">
        <f t="shared" si="11"/>
        <v>0</v>
      </c>
      <c r="L22" s="54">
        <f t="shared" si="12"/>
        <v>0</v>
      </c>
      <c r="M22" s="31" t="str">
        <f t="shared" si="13"/>
        <v>g</v>
      </c>
      <c r="N22" s="43" t="str">
        <f t="shared" si="15"/>
        <v/>
      </c>
      <c r="O22" s="33" t="str">
        <f t="shared" si="6"/>
        <v>g</v>
      </c>
      <c r="P22" s="137">
        <f t="shared" si="2"/>
        <v>0</v>
      </c>
      <c r="Q22" s="120" t="s">
        <v>4</v>
      </c>
    </row>
    <row r="23" spans="2:17" ht="36" customHeight="1">
      <c r="B23" s="81"/>
      <c r="C23" s="82"/>
      <c r="D23" s="80"/>
      <c r="E23" s="79" t="str">
        <f t="shared" si="9"/>
        <v/>
      </c>
      <c r="F23" s="120" t="str">
        <f t="shared" si="1"/>
        <v>g</v>
      </c>
      <c r="G23" s="18"/>
      <c r="H23" s="90" t="str">
        <f t="shared" si="14"/>
        <v/>
      </c>
      <c r="I23" s="127" t="str">
        <f t="shared" si="10"/>
        <v>g</v>
      </c>
      <c r="K23" s="95">
        <f t="shared" si="11"/>
        <v>0</v>
      </c>
      <c r="L23" s="54">
        <f t="shared" si="12"/>
        <v>0</v>
      </c>
      <c r="M23" s="31" t="str">
        <f t="shared" si="13"/>
        <v>g</v>
      </c>
      <c r="N23" s="43" t="str">
        <f t="shared" si="15"/>
        <v/>
      </c>
      <c r="O23" s="33" t="str">
        <f t="shared" si="6"/>
        <v>g</v>
      </c>
      <c r="P23" s="137">
        <f t="shared" si="2"/>
        <v>0</v>
      </c>
      <c r="Q23" s="120" t="s">
        <v>4</v>
      </c>
    </row>
    <row r="24" spans="2:17" ht="36" customHeight="1">
      <c r="B24" s="81"/>
      <c r="C24" s="82"/>
      <c r="D24" s="80"/>
      <c r="E24" s="79" t="str">
        <f t="shared" si="9"/>
        <v/>
      </c>
      <c r="F24" s="120" t="str">
        <f t="shared" si="1"/>
        <v>g</v>
      </c>
      <c r="G24" s="18"/>
      <c r="H24" s="90" t="str">
        <f t="shared" si="14"/>
        <v/>
      </c>
      <c r="I24" s="127" t="str">
        <f t="shared" si="10"/>
        <v>g</v>
      </c>
      <c r="K24" s="95">
        <f t="shared" si="11"/>
        <v>0</v>
      </c>
      <c r="L24" s="54">
        <f t="shared" si="12"/>
        <v>0</v>
      </c>
      <c r="M24" s="31" t="str">
        <f t="shared" si="13"/>
        <v>g</v>
      </c>
      <c r="N24" s="43" t="str">
        <f t="shared" si="15"/>
        <v/>
      </c>
      <c r="O24" s="33" t="str">
        <f t="shared" si="6"/>
        <v>g</v>
      </c>
      <c r="P24" s="137">
        <f t="shared" si="2"/>
        <v>0</v>
      </c>
      <c r="Q24" s="120" t="s">
        <v>4</v>
      </c>
    </row>
    <row r="25" spans="2:17" ht="36" customHeight="1">
      <c r="B25" s="81"/>
      <c r="C25" s="82"/>
      <c r="D25" s="80"/>
      <c r="E25" s="79" t="str">
        <f t="shared" si="9"/>
        <v/>
      </c>
      <c r="F25" s="120" t="str">
        <f t="shared" si="1"/>
        <v>g</v>
      </c>
      <c r="G25" s="18"/>
      <c r="H25" s="90" t="str">
        <f t="shared" si="14"/>
        <v/>
      </c>
      <c r="I25" s="127" t="str">
        <f t="shared" si="10"/>
        <v>g</v>
      </c>
      <c r="K25" s="95">
        <f t="shared" si="11"/>
        <v>0</v>
      </c>
      <c r="L25" s="54">
        <f t="shared" si="12"/>
        <v>0</v>
      </c>
      <c r="M25" s="31" t="str">
        <f t="shared" si="13"/>
        <v>g</v>
      </c>
      <c r="N25" s="43" t="str">
        <f t="shared" si="15"/>
        <v/>
      </c>
      <c r="O25" s="33" t="str">
        <f t="shared" si="6"/>
        <v>g</v>
      </c>
      <c r="P25" s="137">
        <f t="shared" si="2"/>
        <v>0</v>
      </c>
      <c r="Q25" s="120" t="s">
        <v>4</v>
      </c>
    </row>
    <row r="26" spans="2:17" ht="36" customHeight="1">
      <c r="B26" s="81"/>
      <c r="C26" s="82"/>
      <c r="D26" s="80"/>
      <c r="E26" s="79" t="str">
        <f t="shared" si="9"/>
        <v/>
      </c>
      <c r="F26" s="120" t="str">
        <f t="shared" si="1"/>
        <v>g</v>
      </c>
      <c r="G26" s="18"/>
      <c r="H26" s="90" t="str">
        <f t="shared" si="14"/>
        <v/>
      </c>
      <c r="I26" s="127" t="str">
        <f t="shared" si="10"/>
        <v>g</v>
      </c>
      <c r="K26" s="95">
        <f t="shared" si="11"/>
        <v>0</v>
      </c>
      <c r="L26" s="54">
        <f t="shared" si="12"/>
        <v>0</v>
      </c>
      <c r="M26" s="31" t="str">
        <f t="shared" si="13"/>
        <v>g</v>
      </c>
      <c r="N26" s="43" t="str">
        <f t="shared" si="15"/>
        <v/>
      </c>
      <c r="O26" s="33" t="str">
        <f t="shared" si="6"/>
        <v>g</v>
      </c>
      <c r="P26" s="137">
        <f t="shared" si="2"/>
        <v>0</v>
      </c>
      <c r="Q26" s="120" t="s">
        <v>4</v>
      </c>
    </row>
    <row r="27" spans="2:17" ht="36" customHeight="1">
      <c r="B27" s="81"/>
      <c r="C27" s="82"/>
      <c r="D27" s="80"/>
      <c r="E27" s="79" t="str">
        <f t="shared" si="9"/>
        <v/>
      </c>
      <c r="F27" s="120" t="str">
        <f t="shared" si="1"/>
        <v>g</v>
      </c>
      <c r="G27" s="18"/>
      <c r="H27" s="90" t="str">
        <f t="shared" si="14"/>
        <v/>
      </c>
      <c r="I27" s="127" t="str">
        <f t="shared" si="10"/>
        <v>g</v>
      </c>
      <c r="K27" s="95">
        <f t="shared" si="11"/>
        <v>0</v>
      </c>
      <c r="L27" s="54">
        <f t="shared" si="12"/>
        <v>0</v>
      </c>
      <c r="M27" s="31" t="str">
        <f t="shared" si="13"/>
        <v>g</v>
      </c>
      <c r="N27" s="43" t="str">
        <f t="shared" si="15"/>
        <v/>
      </c>
      <c r="O27" s="33" t="str">
        <f t="shared" si="6"/>
        <v>g</v>
      </c>
      <c r="P27" s="137">
        <f t="shared" si="2"/>
        <v>0</v>
      </c>
      <c r="Q27" s="120" t="s">
        <v>4</v>
      </c>
    </row>
    <row r="28" spans="2:17" ht="36" customHeight="1">
      <c r="B28" s="81"/>
      <c r="C28" s="82"/>
      <c r="D28" s="80"/>
      <c r="E28" s="79" t="str">
        <f t="shared" si="9"/>
        <v/>
      </c>
      <c r="F28" s="120" t="str">
        <f t="shared" si="1"/>
        <v>g</v>
      </c>
      <c r="G28" s="18"/>
      <c r="H28" s="90" t="str">
        <f t="shared" si="14"/>
        <v/>
      </c>
      <c r="I28" s="127" t="str">
        <f t="shared" si="10"/>
        <v>g</v>
      </c>
      <c r="K28" s="95">
        <f t="shared" si="11"/>
        <v>0</v>
      </c>
      <c r="L28" s="54">
        <f t="shared" si="12"/>
        <v>0</v>
      </c>
      <c r="M28" s="31" t="str">
        <f t="shared" si="13"/>
        <v>g</v>
      </c>
      <c r="N28" s="43" t="str">
        <f t="shared" si="15"/>
        <v/>
      </c>
      <c r="O28" s="33" t="str">
        <f t="shared" si="6"/>
        <v>g</v>
      </c>
      <c r="P28" s="137">
        <f t="shared" si="2"/>
        <v>0</v>
      </c>
      <c r="Q28" s="120" t="s">
        <v>4</v>
      </c>
    </row>
    <row r="29" spans="2:17" ht="36" customHeight="1">
      <c r="B29" s="81"/>
      <c r="C29" s="82"/>
      <c r="D29" s="80"/>
      <c r="E29" s="79" t="str">
        <f t="shared" si="9"/>
        <v/>
      </c>
      <c r="F29" s="120" t="str">
        <f t="shared" si="1"/>
        <v>g</v>
      </c>
      <c r="G29" s="18"/>
      <c r="H29" s="90" t="str">
        <f t="shared" si="14"/>
        <v/>
      </c>
      <c r="I29" s="127" t="str">
        <f t="shared" si="10"/>
        <v>g</v>
      </c>
      <c r="K29" s="95">
        <f t="shared" si="11"/>
        <v>0</v>
      </c>
      <c r="L29" s="54">
        <f t="shared" si="12"/>
        <v>0</v>
      </c>
      <c r="M29" s="31" t="str">
        <f t="shared" si="13"/>
        <v>g</v>
      </c>
      <c r="N29" s="43" t="str">
        <f t="shared" si="15"/>
        <v/>
      </c>
      <c r="O29" s="33" t="str">
        <f t="shared" si="6"/>
        <v>g</v>
      </c>
      <c r="P29" s="137">
        <f t="shared" si="2"/>
        <v>0</v>
      </c>
      <c r="Q29" s="120" t="s">
        <v>4</v>
      </c>
    </row>
    <row r="30" spans="2:17" ht="36" hidden="1" customHeight="1">
      <c r="B30" s="81"/>
      <c r="C30" s="82"/>
      <c r="D30" s="80"/>
      <c r="E30" s="79" t="str">
        <f t="shared" si="9"/>
        <v/>
      </c>
      <c r="F30" s="120" t="str">
        <f t="shared" si="1"/>
        <v>g</v>
      </c>
      <c r="G30" s="18"/>
      <c r="H30" s="90" t="str">
        <f t="shared" si="14"/>
        <v/>
      </c>
      <c r="I30" s="127" t="str">
        <f t="shared" si="10"/>
        <v>g</v>
      </c>
      <c r="K30" s="95">
        <f t="shared" si="11"/>
        <v>0</v>
      </c>
      <c r="L30" s="54">
        <f t="shared" si="12"/>
        <v>0</v>
      </c>
      <c r="M30" s="31" t="str">
        <f t="shared" si="13"/>
        <v>g</v>
      </c>
      <c r="N30" s="43" t="str">
        <f t="shared" si="15"/>
        <v/>
      </c>
      <c r="O30" s="33" t="str">
        <f t="shared" si="6"/>
        <v>g</v>
      </c>
      <c r="P30" s="137">
        <f t="shared" si="2"/>
        <v>0</v>
      </c>
      <c r="Q30" s="120" t="s">
        <v>4</v>
      </c>
    </row>
    <row r="31" spans="2:17" ht="36" hidden="1" customHeight="1">
      <c r="B31" s="81"/>
      <c r="C31" s="82"/>
      <c r="D31" s="80"/>
      <c r="E31" s="79" t="str">
        <f t="shared" si="9"/>
        <v/>
      </c>
      <c r="F31" s="120" t="str">
        <f t="shared" si="1"/>
        <v>g</v>
      </c>
      <c r="G31" s="18"/>
      <c r="H31" s="90" t="str">
        <f t="shared" si="14"/>
        <v/>
      </c>
      <c r="I31" s="127" t="str">
        <f t="shared" si="10"/>
        <v>g</v>
      </c>
      <c r="K31" s="95">
        <f t="shared" si="11"/>
        <v>0</v>
      </c>
      <c r="L31" s="54">
        <f t="shared" si="12"/>
        <v>0</v>
      </c>
      <c r="M31" s="31" t="str">
        <f t="shared" si="13"/>
        <v>g</v>
      </c>
      <c r="N31" s="43" t="str">
        <f t="shared" si="15"/>
        <v/>
      </c>
      <c r="O31" s="33" t="str">
        <f t="shared" si="6"/>
        <v>g</v>
      </c>
      <c r="P31" s="137">
        <f t="shared" si="2"/>
        <v>0</v>
      </c>
      <c r="Q31" s="120" t="s">
        <v>4</v>
      </c>
    </row>
    <row r="32" spans="2:17" ht="36" hidden="1" customHeight="1">
      <c r="B32" s="81"/>
      <c r="C32" s="82"/>
      <c r="D32" s="80"/>
      <c r="E32" s="79" t="str">
        <f t="shared" si="9"/>
        <v/>
      </c>
      <c r="F32" s="120" t="str">
        <f t="shared" si="1"/>
        <v>g</v>
      </c>
      <c r="G32" s="18"/>
      <c r="H32" s="90" t="str">
        <f t="shared" si="14"/>
        <v/>
      </c>
      <c r="I32" s="127" t="str">
        <f t="shared" si="10"/>
        <v>g</v>
      </c>
      <c r="K32" s="95">
        <f t="shared" si="11"/>
        <v>0</v>
      </c>
      <c r="L32" s="54">
        <f t="shared" si="12"/>
        <v>0</v>
      </c>
      <c r="M32" s="31" t="str">
        <f t="shared" si="13"/>
        <v>g</v>
      </c>
      <c r="N32" s="43" t="str">
        <f t="shared" si="15"/>
        <v/>
      </c>
      <c r="O32" s="33" t="str">
        <f t="shared" si="6"/>
        <v>g</v>
      </c>
      <c r="P32" s="137">
        <f t="shared" si="2"/>
        <v>0</v>
      </c>
      <c r="Q32" s="120" t="s">
        <v>4</v>
      </c>
    </row>
    <row r="33" spans="2:17" ht="36" hidden="1" customHeight="1">
      <c r="B33" s="81"/>
      <c r="C33" s="82"/>
      <c r="D33" s="80"/>
      <c r="E33" s="79" t="str">
        <f t="shared" si="9"/>
        <v/>
      </c>
      <c r="F33" s="120" t="str">
        <f t="shared" si="1"/>
        <v>g</v>
      </c>
      <c r="G33" s="18"/>
      <c r="H33" s="90" t="str">
        <f t="shared" si="14"/>
        <v/>
      </c>
      <c r="I33" s="127" t="str">
        <f t="shared" si="10"/>
        <v>g</v>
      </c>
      <c r="K33" s="95">
        <f t="shared" si="11"/>
        <v>0</v>
      </c>
      <c r="L33" s="54">
        <f t="shared" si="12"/>
        <v>0</v>
      </c>
      <c r="M33" s="31" t="str">
        <f t="shared" si="13"/>
        <v>g</v>
      </c>
      <c r="N33" s="43" t="str">
        <f t="shared" si="15"/>
        <v/>
      </c>
      <c r="O33" s="33" t="str">
        <f t="shared" si="6"/>
        <v>g</v>
      </c>
      <c r="P33" s="137">
        <f t="shared" si="2"/>
        <v>0</v>
      </c>
      <c r="Q33" s="120" t="s">
        <v>4</v>
      </c>
    </row>
    <row r="34" spans="2:17" ht="36" hidden="1" customHeight="1">
      <c r="B34" s="81"/>
      <c r="C34" s="82"/>
      <c r="D34" s="80"/>
      <c r="E34" s="79" t="str">
        <f t="shared" si="9"/>
        <v/>
      </c>
      <c r="F34" s="120" t="str">
        <f t="shared" si="1"/>
        <v>g</v>
      </c>
      <c r="G34" s="18"/>
      <c r="H34" s="90" t="str">
        <f t="shared" si="14"/>
        <v/>
      </c>
      <c r="I34" s="127" t="str">
        <f t="shared" si="10"/>
        <v>g</v>
      </c>
      <c r="K34" s="95">
        <f t="shared" si="11"/>
        <v>0</v>
      </c>
      <c r="L34" s="54">
        <f t="shared" si="12"/>
        <v>0</v>
      </c>
      <c r="M34" s="31" t="str">
        <f t="shared" si="13"/>
        <v>g</v>
      </c>
      <c r="N34" s="43" t="str">
        <f t="shared" si="15"/>
        <v/>
      </c>
      <c r="O34" s="33" t="str">
        <f t="shared" si="6"/>
        <v>g</v>
      </c>
      <c r="P34" s="137">
        <f t="shared" si="2"/>
        <v>0</v>
      </c>
      <c r="Q34" s="120" t="s">
        <v>4</v>
      </c>
    </row>
    <row r="35" spans="2:17" ht="36" hidden="1" customHeight="1">
      <c r="B35" s="81"/>
      <c r="C35" s="82"/>
      <c r="D35" s="80"/>
      <c r="E35" s="79" t="str">
        <f t="shared" si="9"/>
        <v/>
      </c>
      <c r="F35" s="120" t="str">
        <f t="shared" si="1"/>
        <v>g</v>
      </c>
      <c r="G35" s="18"/>
      <c r="H35" s="90" t="str">
        <f t="shared" si="14"/>
        <v/>
      </c>
      <c r="I35" s="127" t="str">
        <f t="shared" si="10"/>
        <v>g</v>
      </c>
      <c r="K35" s="95">
        <f t="shared" si="11"/>
        <v>0</v>
      </c>
      <c r="L35" s="54">
        <f t="shared" si="12"/>
        <v>0</v>
      </c>
      <c r="M35" s="31" t="str">
        <f t="shared" si="13"/>
        <v>g</v>
      </c>
      <c r="N35" s="43" t="str">
        <f t="shared" si="15"/>
        <v/>
      </c>
      <c r="O35" s="33" t="str">
        <f t="shared" si="6"/>
        <v>g</v>
      </c>
      <c r="P35" s="137">
        <f t="shared" si="2"/>
        <v>0</v>
      </c>
      <c r="Q35" s="120" t="s">
        <v>4</v>
      </c>
    </row>
    <row r="36" spans="2:17" ht="36" hidden="1" customHeight="1">
      <c r="B36" s="81"/>
      <c r="C36" s="82"/>
      <c r="D36" s="80"/>
      <c r="E36" s="79" t="str">
        <f t="shared" si="9"/>
        <v/>
      </c>
      <c r="F36" s="120" t="str">
        <f t="shared" si="1"/>
        <v>g</v>
      </c>
      <c r="G36" s="18"/>
      <c r="H36" s="90" t="str">
        <f t="shared" si="14"/>
        <v/>
      </c>
      <c r="I36" s="127" t="str">
        <f t="shared" si="10"/>
        <v>g</v>
      </c>
      <c r="K36" s="95">
        <f t="shared" si="11"/>
        <v>0</v>
      </c>
      <c r="L36" s="54">
        <f t="shared" si="12"/>
        <v>0</v>
      </c>
      <c r="M36" s="31" t="str">
        <f t="shared" si="13"/>
        <v>g</v>
      </c>
      <c r="N36" s="43" t="str">
        <f t="shared" si="15"/>
        <v/>
      </c>
      <c r="O36" s="33" t="str">
        <f t="shared" si="6"/>
        <v>g</v>
      </c>
      <c r="P36" s="137">
        <f t="shared" si="2"/>
        <v>0</v>
      </c>
      <c r="Q36" s="120" t="s">
        <v>4</v>
      </c>
    </row>
    <row r="37" spans="2:17" ht="36" hidden="1" customHeight="1">
      <c r="B37" s="81"/>
      <c r="C37" s="82"/>
      <c r="D37" s="80"/>
      <c r="E37" s="79" t="str">
        <f t="shared" si="9"/>
        <v/>
      </c>
      <c r="F37" s="120" t="str">
        <f t="shared" si="1"/>
        <v>g</v>
      </c>
      <c r="G37" s="18"/>
      <c r="H37" s="90" t="str">
        <f t="shared" si="14"/>
        <v/>
      </c>
      <c r="I37" s="127" t="str">
        <f t="shared" si="10"/>
        <v>g</v>
      </c>
      <c r="K37" s="95">
        <f t="shared" si="11"/>
        <v>0</v>
      </c>
      <c r="L37" s="54">
        <f t="shared" si="12"/>
        <v>0</v>
      </c>
      <c r="M37" s="31" t="str">
        <f t="shared" si="13"/>
        <v>g</v>
      </c>
      <c r="N37" s="43" t="str">
        <f t="shared" si="15"/>
        <v/>
      </c>
      <c r="O37" s="33" t="str">
        <f t="shared" si="6"/>
        <v>g</v>
      </c>
      <c r="P37" s="137">
        <f t="shared" si="2"/>
        <v>0</v>
      </c>
      <c r="Q37" s="120" t="s">
        <v>4</v>
      </c>
    </row>
    <row r="38" spans="2:17" ht="36" hidden="1" customHeight="1">
      <c r="B38" s="81"/>
      <c r="C38" s="82"/>
      <c r="D38" s="80"/>
      <c r="E38" s="79" t="str">
        <f t="shared" si="9"/>
        <v/>
      </c>
      <c r="F38" s="120" t="str">
        <f t="shared" si="1"/>
        <v>g</v>
      </c>
      <c r="G38" s="18"/>
      <c r="H38" s="90" t="str">
        <f t="shared" si="14"/>
        <v/>
      </c>
      <c r="I38" s="127" t="str">
        <f t="shared" si="10"/>
        <v>g</v>
      </c>
      <c r="K38" s="95">
        <f t="shared" si="11"/>
        <v>0</v>
      </c>
      <c r="L38" s="54">
        <f t="shared" si="12"/>
        <v>0</v>
      </c>
      <c r="M38" s="31" t="str">
        <f t="shared" si="13"/>
        <v>g</v>
      </c>
      <c r="N38" s="43" t="str">
        <f t="shared" si="15"/>
        <v/>
      </c>
      <c r="O38" s="33" t="str">
        <f t="shared" si="6"/>
        <v>g</v>
      </c>
      <c r="P38" s="137">
        <f t="shared" si="2"/>
        <v>0</v>
      </c>
      <c r="Q38" s="120" t="s">
        <v>4</v>
      </c>
    </row>
    <row r="39" spans="2:17" ht="36" hidden="1" customHeight="1">
      <c r="B39" s="81"/>
      <c r="C39" s="82"/>
      <c r="D39" s="80"/>
      <c r="E39" s="79" t="str">
        <f t="shared" si="9"/>
        <v/>
      </c>
      <c r="F39" s="120" t="str">
        <f t="shared" si="1"/>
        <v>g</v>
      </c>
      <c r="G39" s="18"/>
      <c r="H39" s="90" t="str">
        <f t="shared" si="14"/>
        <v/>
      </c>
      <c r="I39" s="127" t="str">
        <f t="shared" si="10"/>
        <v>g</v>
      </c>
      <c r="K39" s="95">
        <f t="shared" si="11"/>
        <v>0</v>
      </c>
      <c r="L39" s="54">
        <f t="shared" si="12"/>
        <v>0</v>
      </c>
      <c r="M39" s="31" t="str">
        <f t="shared" si="13"/>
        <v>g</v>
      </c>
      <c r="N39" s="43" t="str">
        <f t="shared" si="15"/>
        <v/>
      </c>
      <c r="O39" s="33" t="str">
        <f t="shared" si="6"/>
        <v>g</v>
      </c>
      <c r="P39" s="137">
        <f t="shared" si="2"/>
        <v>0</v>
      </c>
      <c r="Q39" s="120" t="s">
        <v>4</v>
      </c>
    </row>
    <row r="40" spans="2:17" ht="36" hidden="1" customHeight="1">
      <c r="B40" s="81"/>
      <c r="C40" s="82"/>
      <c r="D40" s="80"/>
      <c r="E40" s="79" t="str">
        <f t="shared" si="9"/>
        <v/>
      </c>
      <c r="F40" s="120" t="str">
        <f t="shared" si="1"/>
        <v>g</v>
      </c>
      <c r="G40" s="18"/>
      <c r="H40" s="90" t="str">
        <f t="shared" si="14"/>
        <v/>
      </c>
      <c r="I40" s="127" t="str">
        <f t="shared" si="10"/>
        <v>g</v>
      </c>
      <c r="K40" s="95">
        <f t="shared" si="11"/>
        <v>0</v>
      </c>
      <c r="L40" s="54">
        <f t="shared" si="12"/>
        <v>0</v>
      </c>
      <c r="M40" s="31" t="str">
        <f t="shared" si="13"/>
        <v>g</v>
      </c>
      <c r="N40" s="43" t="str">
        <f t="shared" si="15"/>
        <v/>
      </c>
      <c r="O40" s="33" t="str">
        <f t="shared" si="6"/>
        <v>g</v>
      </c>
      <c r="P40" s="137">
        <f t="shared" si="2"/>
        <v>0</v>
      </c>
      <c r="Q40" s="120" t="s">
        <v>4</v>
      </c>
    </row>
    <row r="41" spans="2:17" ht="36" hidden="1" customHeight="1">
      <c r="B41" s="81"/>
      <c r="C41" s="82"/>
      <c r="D41" s="80"/>
      <c r="E41" s="79" t="str">
        <f t="shared" si="9"/>
        <v/>
      </c>
      <c r="F41" s="120" t="str">
        <f t="shared" si="1"/>
        <v>g</v>
      </c>
      <c r="G41" s="18"/>
      <c r="H41" s="90" t="str">
        <f t="shared" si="14"/>
        <v/>
      </c>
      <c r="I41" s="127" t="str">
        <f t="shared" si="10"/>
        <v>g</v>
      </c>
      <c r="K41" s="95">
        <f t="shared" si="11"/>
        <v>0</v>
      </c>
      <c r="L41" s="54">
        <f t="shared" si="12"/>
        <v>0</v>
      </c>
      <c r="M41" s="31" t="str">
        <f t="shared" si="13"/>
        <v>g</v>
      </c>
      <c r="N41" s="43" t="str">
        <f t="shared" si="15"/>
        <v/>
      </c>
      <c r="O41" s="33" t="str">
        <f t="shared" si="6"/>
        <v>g</v>
      </c>
      <c r="P41" s="137">
        <f t="shared" si="2"/>
        <v>0</v>
      </c>
      <c r="Q41" s="120" t="s">
        <v>4</v>
      </c>
    </row>
    <row r="42" spans="2:17" ht="36" hidden="1" customHeight="1">
      <c r="B42" s="81"/>
      <c r="C42" s="82"/>
      <c r="D42" s="80"/>
      <c r="E42" s="79" t="str">
        <f t="shared" si="9"/>
        <v/>
      </c>
      <c r="F42" s="120" t="str">
        <f t="shared" si="1"/>
        <v>g</v>
      </c>
      <c r="G42" s="18"/>
      <c r="H42" s="90" t="str">
        <f t="shared" si="14"/>
        <v/>
      </c>
      <c r="I42" s="127" t="str">
        <f t="shared" si="10"/>
        <v>g</v>
      </c>
      <c r="K42" s="95">
        <f t="shared" si="11"/>
        <v>0</v>
      </c>
      <c r="L42" s="54">
        <f t="shared" si="12"/>
        <v>0</v>
      </c>
      <c r="M42" s="31" t="str">
        <f t="shared" si="13"/>
        <v>g</v>
      </c>
      <c r="N42" s="43" t="str">
        <f t="shared" si="15"/>
        <v/>
      </c>
      <c r="O42" s="33" t="str">
        <f t="shared" si="6"/>
        <v>g</v>
      </c>
      <c r="P42" s="137">
        <f t="shared" si="2"/>
        <v>0</v>
      </c>
      <c r="Q42" s="120" t="s">
        <v>4</v>
      </c>
    </row>
    <row r="43" spans="2:17" ht="36" hidden="1" customHeight="1">
      <c r="B43" s="81"/>
      <c r="C43" s="82"/>
      <c r="D43" s="80"/>
      <c r="E43" s="79" t="str">
        <f t="shared" si="9"/>
        <v/>
      </c>
      <c r="F43" s="120" t="str">
        <f t="shared" si="1"/>
        <v>g</v>
      </c>
      <c r="G43" s="18"/>
      <c r="H43" s="90" t="str">
        <f t="shared" si="14"/>
        <v/>
      </c>
      <c r="I43" s="127" t="str">
        <f t="shared" si="10"/>
        <v>g</v>
      </c>
      <c r="K43" s="95">
        <f t="shared" si="11"/>
        <v>0</v>
      </c>
      <c r="L43" s="54">
        <f t="shared" si="12"/>
        <v>0</v>
      </c>
      <c r="M43" s="31" t="str">
        <f t="shared" si="13"/>
        <v>g</v>
      </c>
      <c r="N43" s="43" t="str">
        <f t="shared" si="15"/>
        <v/>
      </c>
      <c r="O43" s="33" t="str">
        <f t="shared" si="6"/>
        <v>g</v>
      </c>
      <c r="P43" s="137">
        <f t="shared" si="2"/>
        <v>0</v>
      </c>
      <c r="Q43" s="120" t="s">
        <v>4</v>
      </c>
    </row>
    <row r="44" spans="2:17" ht="36" hidden="1" customHeight="1">
      <c r="B44" s="81"/>
      <c r="C44" s="82"/>
      <c r="D44" s="80"/>
      <c r="E44" s="79" t="str">
        <f t="shared" si="9"/>
        <v/>
      </c>
      <c r="F44" s="120" t="str">
        <f t="shared" si="1"/>
        <v>g</v>
      </c>
      <c r="G44" s="18"/>
      <c r="H44" s="90" t="str">
        <f t="shared" si="14"/>
        <v/>
      </c>
      <c r="I44" s="127" t="str">
        <f t="shared" si="10"/>
        <v>g</v>
      </c>
      <c r="K44" s="95">
        <f t="shared" si="11"/>
        <v>0</v>
      </c>
      <c r="L44" s="54">
        <f t="shared" si="12"/>
        <v>0</v>
      </c>
      <c r="M44" s="31" t="str">
        <f t="shared" si="13"/>
        <v>g</v>
      </c>
      <c r="N44" s="43" t="str">
        <f t="shared" si="15"/>
        <v/>
      </c>
      <c r="O44" s="33" t="str">
        <f t="shared" si="6"/>
        <v>g</v>
      </c>
      <c r="P44" s="137">
        <f t="shared" si="2"/>
        <v>0</v>
      </c>
      <c r="Q44" s="120" t="s">
        <v>4</v>
      </c>
    </row>
    <row r="45" spans="2:17" ht="36" hidden="1" customHeight="1">
      <c r="B45" s="81"/>
      <c r="C45" s="82"/>
      <c r="D45" s="80"/>
      <c r="E45" s="79" t="str">
        <f t="shared" si="9"/>
        <v/>
      </c>
      <c r="F45" s="120" t="str">
        <f t="shared" si="1"/>
        <v>g</v>
      </c>
      <c r="G45" s="18"/>
      <c r="H45" s="90" t="str">
        <f t="shared" si="14"/>
        <v/>
      </c>
      <c r="I45" s="127" t="str">
        <f t="shared" si="10"/>
        <v>g</v>
      </c>
      <c r="K45" s="95">
        <f t="shared" si="11"/>
        <v>0</v>
      </c>
      <c r="L45" s="54">
        <f t="shared" si="12"/>
        <v>0</v>
      </c>
      <c r="M45" s="31" t="str">
        <f t="shared" si="13"/>
        <v>g</v>
      </c>
      <c r="N45" s="43" t="str">
        <f t="shared" si="15"/>
        <v/>
      </c>
      <c r="O45" s="33" t="str">
        <f t="shared" si="6"/>
        <v>g</v>
      </c>
      <c r="P45" s="137">
        <f t="shared" si="2"/>
        <v>0</v>
      </c>
      <c r="Q45" s="120" t="s">
        <v>4</v>
      </c>
    </row>
    <row r="46" spans="2:17" ht="36" hidden="1" customHeight="1">
      <c r="B46" s="81"/>
      <c r="C46" s="82"/>
      <c r="D46" s="80"/>
      <c r="E46" s="79" t="str">
        <f t="shared" ref="E46:E62" si="16">IFERROR(L46/K46,  IF(D46="", "", 0))</f>
        <v/>
      </c>
      <c r="F46" s="120" t="str">
        <f t="shared" si="1"/>
        <v>g</v>
      </c>
      <c r="G46" s="18"/>
      <c r="H46" s="90" t="str">
        <f t="shared" si="14"/>
        <v/>
      </c>
      <c r="I46" s="127" t="str">
        <f t="shared" si="10"/>
        <v>g</v>
      </c>
      <c r="K46" s="95">
        <f t="shared" ref="K46:K62" si="17">IF(AND(D46="", B46&lt;&gt;""), 1, ROUNDUP(D46/30,0))</f>
        <v>0</v>
      </c>
      <c r="L46" s="54">
        <f t="shared" ref="L46:L62" si="18">IF(AND(D46="", B46&lt;&gt;""), $E$2, D46*$E$2)</f>
        <v>0</v>
      </c>
      <c r="M46" s="31" t="str">
        <f t="shared" si="13"/>
        <v>g</v>
      </c>
      <c r="N46" s="43" t="str">
        <f t="shared" si="15"/>
        <v/>
      </c>
      <c r="O46" s="33" t="str">
        <f t="shared" si="6"/>
        <v>g</v>
      </c>
      <c r="P46" s="137">
        <f t="shared" si="2"/>
        <v>0</v>
      </c>
      <c r="Q46" s="120" t="s">
        <v>4</v>
      </c>
    </row>
    <row r="47" spans="2:17" ht="36" hidden="1" customHeight="1">
      <c r="B47" s="81"/>
      <c r="C47" s="82"/>
      <c r="D47" s="80"/>
      <c r="E47" s="79" t="str">
        <f t="shared" si="16"/>
        <v/>
      </c>
      <c r="F47" s="120" t="str">
        <f t="shared" si="1"/>
        <v>g</v>
      </c>
      <c r="G47" s="18"/>
      <c r="H47" s="90" t="str">
        <f t="shared" si="14"/>
        <v/>
      </c>
      <c r="I47" s="127" t="str">
        <f t="shared" si="10"/>
        <v>g</v>
      </c>
      <c r="K47" s="95">
        <f t="shared" si="17"/>
        <v>0</v>
      </c>
      <c r="L47" s="54">
        <f t="shared" si="18"/>
        <v>0</v>
      </c>
      <c r="M47" s="31" t="str">
        <f t="shared" si="13"/>
        <v>g</v>
      </c>
      <c r="N47" s="43" t="str">
        <f t="shared" si="15"/>
        <v/>
      </c>
      <c r="O47" s="33" t="str">
        <f t="shared" si="6"/>
        <v>g</v>
      </c>
      <c r="P47" s="137">
        <f t="shared" si="2"/>
        <v>0</v>
      </c>
      <c r="Q47" s="120" t="s">
        <v>4</v>
      </c>
    </row>
    <row r="48" spans="2:17" ht="36" hidden="1" customHeight="1">
      <c r="B48" s="81"/>
      <c r="C48" s="82"/>
      <c r="D48" s="80"/>
      <c r="E48" s="79" t="str">
        <f t="shared" si="16"/>
        <v/>
      </c>
      <c r="F48" s="120" t="str">
        <f t="shared" si="1"/>
        <v>g</v>
      </c>
      <c r="G48" s="18"/>
      <c r="H48" s="90" t="str">
        <f t="shared" si="14"/>
        <v/>
      </c>
      <c r="I48" s="127" t="str">
        <f t="shared" si="10"/>
        <v>g</v>
      </c>
      <c r="K48" s="95">
        <f t="shared" si="17"/>
        <v>0</v>
      </c>
      <c r="L48" s="54">
        <f t="shared" si="18"/>
        <v>0</v>
      </c>
      <c r="M48" s="31" t="str">
        <f t="shared" si="13"/>
        <v>g</v>
      </c>
      <c r="N48" s="43" t="str">
        <f t="shared" si="15"/>
        <v/>
      </c>
      <c r="O48" s="33" t="str">
        <f t="shared" si="6"/>
        <v>g</v>
      </c>
      <c r="P48" s="137">
        <f t="shared" si="2"/>
        <v>0</v>
      </c>
      <c r="Q48" s="120" t="s">
        <v>4</v>
      </c>
    </row>
    <row r="49" spans="2:17" ht="36" hidden="1" customHeight="1">
      <c r="B49" s="81"/>
      <c r="C49" s="82"/>
      <c r="D49" s="80"/>
      <c r="E49" s="79" t="str">
        <f t="shared" si="16"/>
        <v/>
      </c>
      <c r="F49" s="120" t="str">
        <f t="shared" si="1"/>
        <v>g</v>
      </c>
      <c r="G49" s="18"/>
      <c r="H49" s="90" t="str">
        <f t="shared" si="14"/>
        <v/>
      </c>
      <c r="I49" s="127" t="str">
        <f t="shared" si="10"/>
        <v>g</v>
      </c>
      <c r="K49" s="95">
        <f t="shared" si="17"/>
        <v>0</v>
      </c>
      <c r="L49" s="54">
        <f t="shared" si="18"/>
        <v>0</v>
      </c>
      <c r="M49" s="31" t="str">
        <f t="shared" si="13"/>
        <v>g</v>
      </c>
      <c r="N49" s="43" t="str">
        <f t="shared" si="15"/>
        <v/>
      </c>
      <c r="O49" s="33" t="str">
        <f t="shared" si="6"/>
        <v>g</v>
      </c>
      <c r="P49" s="137">
        <f t="shared" si="2"/>
        <v>0</v>
      </c>
      <c r="Q49" s="120" t="s">
        <v>4</v>
      </c>
    </row>
    <row r="50" spans="2:17" ht="36" hidden="1" customHeight="1">
      <c r="B50" s="81"/>
      <c r="C50" s="82"/>
      <c r="D50" s="80"/>
      <c r="E50" s="79" t="str">
        <f t="shared" si="16"/>
        <v/>
      </c>
      <c r="F50" s="120" t="str">
        <f t="shared" si="1"/>
        <v>g</v>
      </c>
      <c r="G50" s="18"/>
      <c r="H50" s="90" t="str">
        <f t="shared" si="14"/>
        <v/>
      </c>
      <c r="I50" s="127" t="str">
        <f t="shared" si="10"/>
        <v>g</v>
      </c>
      <c r="K50" s="95">
        <f t="shared" si="17"/>
        <v>0</v>
      </c>
      <c r="L50" s="54">
        <f t="shared" si="18"/>
        <v>0</v>
      </c>
      <c r="M50" s="31" t="str">
        <f t="shared" si="13"/>
        <v>g</v>
      </c>
      <c r="N50" s="43" t="str">
        <f t="shared" si="15"/>
        <v/>
      </c>
      <c r="O50" s="33" t="str">
        <f t="shared" si="6"/>
        <v>g</v>
      </c>
      <c r="P50" s="137">
        <f t="shared" si="2"/>
        <v>0</v>
      </c>
      <c r="Q50" s="120" t="s">
        <v>4</v>
      </c>
    </row>
    <row r="51" spans="2:17" ht="36" hidden="1" customHeight="1">
      <c r="B51" s="81"/>
      <c r="C51" s="82"/>
      <c r="D51" s="80"/>
      <c r="E51" s="79" t="str">
        <f t="shared" si="16"/>
        <v/>
      </c>
      <c r="F51" s="120" t="str">
        <f t="shared" si="1"/>
        <v>g</v>
      </c>
      <c r="G51" s="18"/>
      <c r="H51" s="90" t="str">
        <f t="shared" si="14"/>
        <v/>
      </c>
      <c r="I51" s="127" t="str">
        <f t="shared" si="10"/>
        <v>g</v>
      </c>
      <c r="K51" s="95">
        <f t="shared" si="17"/>
        <v>0</v>
      </c>
      <c r="L51" s="54">
        <f t="shared" si="18"/>
        <v>0</v>
      </c>
      <c r="M51" s="31" t="str">
        <f t="shared" si="13"/>
        <v>g</v>
      </c>
      <c r="N51" s="43" t="str">
        <f t="shared" si="15"/>
        <v/>
      </c>
      <c r="O51" s="33" t="str">
        <f t="shared" si="6"/>
        <v>g</v>
      </c>
      <c r="P51" s="137">
        <f t="shared" si="2"/>
        <v>0</v>
      </c>
      <c r="Q51" s="120" t="s">
        <v>4</v>
      </c>
    </row>
    <row r="52" spans="2:17" ht="36" hidden="1" customHeight="1">
      <c r="B52" s="81"/>
      <c r="C52" s="82"/>
      <c r="D52" s="80"/>
      <c r="E52" s="79" t="str">
        <f t="shared" si="16"/>
        <v/>
      </c>
      <c r="F52" s="120" t="str">
        <f t="shared" si="1"/>
        <v>g</v>
      </c>
      <c r="G52" s="18"/>
      <c r="H52" s="90" t="str">
        <f t="shared" si="14"/>
        <v/>
      </c>
      <c r="I52" s="127" t="str">
        <f t="shared" si="10"/>
        <v>g</v>
      </c>
      <c r="K52" s="95">
        <f t="shared" si="17"/>
        <v>0</v>
      </c>
      <c r="L52" s="54">
        <f t="shared" si="18"/>
        <v>0</v>
      </c>
      <c r="M52" s="31" t="str">
        <f t="shared" si="13"/>
        <v>g</v>
      </c>
      <c r="N52" s="43" t="str">
        <f t="shared" si="15"/>
        <v/>
      </c>
      <c r="O52" s="33" t="str">
        <f t="shared" si="6"/>
        <v>g</v>
      </c>
      <c r="P52" s="137">
        <f t="shared" si="2"/>
        <v>0</v>
      </c>
      <c r="Q52" s="120" t="s">
        <v>4</v>
      </c>
    </row>
    <row r="53" spans="2:17" ht="36" hidden="1" customHeight="1">
      <c r="B53" s="81"/>
      <c r="C53" s="82"/>
      <c r="D53" s="80"/>
      <c r="E53" s="79" t="str">
        <f t="shared" si="16"/>
        <v/>
      </c>
      <c r="F53" s="120" t="str">
        <f t="shared" si="1"/>
        <v>g</v>
      </c>
      <c r="G53" s="18"/>
      <c r="H53" s="90" t="str">
        <f t="shared" si="14"/>
        <v/>
      </c>
      <c r="I53" s="127" t="str">
        <f t="shared" si="10"/>
        <v>g</v>
      </c>
      <c r="K53" s="95">
        <f t="shared" si="17"/>
        <v>0</v>
      </c>
      <c r="L53" s="54">
        <f t="shared" si="18"/>
        <v>0</v>
      </c>
      <c r="M53" s="31" t="str">
        <f t="shared" si="13"/>
        <v>g</v>
      </c>
      <c r="N53" s="43" t="str">
        <f t="shared" si="15"/>
        <v/>
      </c>
      <c r="O53" s="33" t="str">
        <f t="shared" si="6"/>
        <v>g</v>
      </c>
      <c r="P53" s="137">
        <f t="shared" si="2"/>
        <v>0</v>
      </c>
      <c r="Q53" s="120" t="s">
        <v>4</v>
      </c>
    </row>
    <row r="54" spans="2:17" ht="36" hidden="1" customHeight="1">
      <c r="B54" s="81"/>
      <c r="C54" s="82"/>
      <c r="D54" s="80"/>
      <c r="E54" s="79" t="str">
        <f t="shared" si="16"/>
        <v/>
      </c>
      <c r="F54" s="120" t="str">
        <f t="shared" si="1"/>
        <v>g</v>
      </c>
      <c r="G54" s="18"/>
      <c r="H54" s="90" t="str">
        <f t="shared" si="14"/>
        <v/>
      </c>
      <c r="I54" s="127" t="str">
        <f t="shared" si="10"/>
        <v>g</v>
      </c>
      <c r="K54" s="95">
        <f t="shared" si="17"/>
        <v>0</v>
      </c>
      <c r="L54" s="54">
        <f t="shared" si="18"/>
        <v>0</v>
      </c>
      <c r="M54" s="31" t="str">
        <f t="shared" si="13"/>
        <v>g</v>
      </c>
      <c r="N54" s="43" t="str">
        <f t="shared" si="15"/>
        <v/>
      </c>
      <c r="O54" s="33" t="str">
        <f t="shared" si="6"/>
        <v>g</v>
      </c>
      <c r="P54" s="137">
        <f t="shared" si="2"/>
        <v>0</v>
      </c>
      <c r="Q54" s="120" t="s">
        <v>4</v>
      </c>
    </row>
    <row r="55" spans="2:17" ht="36" hidden="1" customHeight="1">
      <c r="B55" s="81"/>
      <c r="C55" s="82"/>
      <c r="D55" s="80"/>
      <c r="E55" s="79" t="str">
        <f t="shared" si="16"/>
        <v/>
      </c>
      <c r="F55" s="120" t="str">
        <f t="shared" si="1"/>
        <v>g</v>
      </c>
      <c r="G55" s="18"/>
      <c r="H55" s="90" t="str">
        <f t="shared" si="14"/>
        <v/>
      </c>
      <c r="I55" s="127" t="str">
        <f t="shared" si="10"/>
        <v>g</v>
      </c>
      <c r="K55" s="95">
        <f t="shared" si="17"/>
        <v>0</v>
      </c>
      <c r="L55" s="54">
        <f t="shared" si="18"/>
        <v>0</v>
      </c>
      <c r="M55" s="31" t="str">
        <f t="shared" si="13"/>
        <v>g</v>
      </c>
      <c r="N55" s="43" t="str">
        <f t="shared" si="15"/>
        <v/>
      </c>
      <c r="O55" s="33" t="str">
        <f t="shared" si="6"/>
        <v>g</v>
      </c>
      <c r="P55" s="137">
        <f t="shared" si="2"/>
        <v>0</v>
      </c>
      <c r="Q55" s="120" t="s">
        <v>4</v>
      </c>
    </row>
    <row r="56" spans="2:17" ht="36" hidden="1" customHeight="1">
      <c r="B56" s="81"/>
      <c r="C56" s="82"/>
      <c r="D56" s="80"/>
      <c r="E56" s="79" t="str">
        <f t="shared" si="16"/>
        <v/>
      </c>
      <c r="F56" s="120" t="str">
        <f t="shared" si="1"/>
        <v>g</v>
      </c>
      <c r="G56" s="18"/>
      <c r="H56" s="90" t="str">
        <f t="shared" si="14"/>
        <v/>
      </c>
      <c r="I56" s="127" t="str">
        <f t="shared" si="10"/>
        <v>g</v>
      </c>
      <c r="K56" s="95">
        <f t="shared" si="17"/>
        <v>0</v>
      </c>
      <c r="L56" s="54">
        <f t="shared" si="18"/>
        <v>0</v>
      </c>
      <c r="M56" s="31" t="str">
        <f t="shared" si="13"/>
        <v>g</v>
      </c>
      <c r="N56" s="43" t="str">
        <f t="shared" si="15"/>
        <v/>
      </c>
      <c r="O56" s="33" t="str">
        <f t="shared" si="6"/>
        <v>g</v>
      </c>
      <c r="P56" s="137">
        <f t="shared" si="2"/>
        <v>0</v>
      </c>
      <c r="Q56" s="120" t="s">
        <v>4</v>
      </c>
    </row>
    <row r="57" spans="2:17" ht="36" hidden="1" customHeight="1">
      <c r="B57" s="81"/>
      <c r="C57" s="82"/>
      <c r="D57" s="80"/>
      <c r="E57" s="79" t="str">
        <f t="shared" si="16"/>
        <v/>
      </c>
      <c r="F57" s="120" t="str">
        <f t="shared" si="1"/>
        <v>g</v>
      </c>
      <c r="G57" s="18"/>
      <c r="H57" s="90" t="str">
        <f t="shared" si="14"/>
        <v/>
      </c>
      <c r="I57" s="127" t="str">
        <f t="shared" si="10"/>
        <v>g</v>
      </c>
      <c r="K57" s="95">
        <f t="shared" si="17"/>
        <v>0</v>
      </c>
      <c r="L57" s="54">
        <f t="shared" si="18"/>
        <v>0</v>
      </c>
      <c r="M57" s="31" t="str">
        <f t="shared" si="13"/>
        <v>g</v>
      </c>
      <c r="N57" s="43" t="str">
        <f t="shared" si="15"/>
        <v/>
      </c>
      <c r="O57" s="33" t="str">
        <f t="shared" si="6"/>
        <v>g</v>
      </c>
      <c r="P57" s="137">
        <f t="shared" si="2"/>
        <v>0</v>
      </c>
      <c r="Q57" s="120" t="s">
        <v>4</v>
      </c>
    </row>
    <row r="58" spans="2:17" ht="36" hidden="1" customHeight="1">
      <c r="B58" s="81"/>
      <c r="C58" s="82"/>
      <c r="D58" s="80"/>
      <c r="E58" s="79" t="str">
        <f t="shared" si="16"/>
        <v/>
      </c>
      <c r="F58" s="120" t="str">
        <f t="shared" si="1"/>
        <v>g</v>
      </c>
      <c r="G58" s="18"/>
      <c r="H58" s="90" t="str">
        <f t="shared" si="14"/>
        <v/>
      </c>
      <c r="I58" s="127" t="str">
        <f t="shared" si="10"/>
        <v>g</v>
      </c>
      <c r="K58" s="95">
        <f t="shared" si="17"/>
        <v>0</v>
      </c>
      <c r="L58" s="54">
        <f t="shared" si="18"/>
        <v>0</v>
      </c>
      <c r="M58" s="31" t="str">
        <f t="shared" si="13"/>
        <v>g</v>
      </c>
      <c r="N58" s="43" t="str">
        <f t="shared" si="15"/>
        <v/>
      </c>
      <c r="O58" s="33" t="str">
        <f t="shared" si="6"/>
        <v>g</v>
      </c>
      <c r="P58" s="137">
        <f t="shared" si="2"/>
        <v>0</v>
      </c>
      <c r="Q58" s="120" t="s">
        <v>4</v>
      </c>
    </row>
    <row r="59" spans="2:17" ht="36" hidden="1" customHeight="1">
      <c r="B59" s="81"/>
      <c r="C59" s="82"/>
      <c r="D59" s="80"/>
      <c r="E59" s="79" t="str">
        <f t="shared" si="16"/>
        <v/>
      </c>
      <c r="F59" s="120" t="str">
        <f t="shared" si="1"/>
        <v>g</v>
      </c>
      <c r="G59" s="18"/>
      <c r="H59" s="90" t="str">
        <f t="shared" si="14"/>
        <v/>
      </c>
      <c r="I59" s="127" t="str">
        <f t="shared" si="10"/>
        <v>g</v>
      </c>
      <c r="K59" s="95">
        <f t="shared" si="17"/>
        <v>0</v>
      </c>
      <c r="L59" s="54">
        <f t="shared" si="18"/>
        <v>0</v>
      </c>
      <c r="M59" s="31" t="str">
        <f t="shared" si="13"/>
        <v>g</v>
      </c>
      <c r="N59" s="43" t="str">
        <f t="shared" si="15"/>
        <v/>
      </c>
      <c r="O59" s="33" t="str">
        <f t="shared" si="6"/>
        <v>g</v>
      </c>
      <c r="P59" s="137">
        <f t="shared" si="2"/>
        <v>0</v>
      </c>
      <c r="Q59" s="120" t="s">
        <v>4</v>
      </c>
    </row>
    <row r="60" spans="2:17" ht="36" hidden="1" customHeight="1">
      <c r="B60" s="81"/>
      <c r="C60" s="82"/>
      <c r="D60" s="80"/>
      <c r="E60" s="79" t="str">
        <f t="shared" si="16"/>
        <v/>
      </c>
      <c r="F60" s="120" t="str">
        <f t="shared" si="1"/>
        <v>g</v>
      </c>
      <c r="G60" s="18"/>
      <c r="H60" s="90" t="str">
        <f t="shared" si="14"/>
        <v/>
      </c>
      <c r="I60" s="127" t="str">
        <f t="shared" si="10"/>
        <v>g</v>
      </c>
      <c r="K60" s="95">
        <f t="shared" si="17"/>
        <v>0</v>
      </c>
      <c r="L60" s="54">
        <f t="shared" si="18"/>
        <v>0</v>
      </c>
      <c r="M60" s="31" t="str">
        <f t="shared" si="13"/>
        <v>g</v>
      </c>
      <c r="N60" s="43" t="str">
        <f t="shared" si="15"/>
        <v/>
      </c>
      <c r="O60" s="33" t="str">
        <f t="shared" si="6"/>
        <v>g</v>
      </c>
      <c r="P60" s="137">
        <f t="shared" si="2"/>
        <v>0</v>
      </c>
      <c r="Q60" s="120" t="s">
        <v>4</v>
      </c>
    </row>
    <row r="61" spans="2:17" ht="36" hidden="1" customHeight="1">
      <c r="B61" s="81"/>
      <c r="C61" s="82"/>
      <c r="D61" s="80"/>
      <c r="E61" s="79" t="str">
        <f t="shared" si="16"/>
        <v/>
      </c>
      <c r="F61" s="120" t="str">
        <f t="shared" si="1"/>
        <v>g</v>
      </c>
      <c r="G61" s="18"/>
      <c r="H61" s="90" t="str">
        <f t="shared" si="14"/>
        <v/>
      </c>
      <c r="I61" s="127" t="str">
        <f t="shared" si="10"/>
        <v>g</v>
      </c>
      <c r="K61" s="95">
        <f t="shared" si="17"/>
        <v>0</v>
      </c>
      <c r="L61" s="54">
        <f t="shared" si="18"/>
        <v>0</v>
      </c>
      <c r="M61" s="31" t="str">
        <f t="shared" si="13"/>
        <v>g</v>
      </c>
      <c r="N61" s="43" t="str">
        <f t="shared" si="15"/>
        <v/>
      </c>
      <c r="O61" s="33" t="str">
        <f t="shared" si="6"/>
        <v>g</v>
      </c>
      <c r="P61" s="137">
        <f t="shared" si="2"/>
        <v>0</v>
      </c>
      <c r="Q61" s="120" t="s">
        <v>4</v>
      </c>
    </row>
    <row r="62" spans="2:17" ht="36" customHeight="1" thickBot="1">
      <c r="B62" s="83"/>
      <c r="C62" s="84"/>
      <c r="D62" s="85"/>
      <c r="E62" s="86" t="str">
        <f t="shared" si="16"/>
        <v/>
      </c>
      <c r="F62" s="121" t="str">
        <f t="shared" si="1"/>
        <v>g</v>
      </c>
      <c r="G62" s="19"/>
      <c r="H62" s="91" t="str">
        <f t="shared" si="14"/>
        <v/>
      </c>
      <c r="I62" s="128" t="str">
        <f t="shared" si="10"/>
        <v>g</v>
      </c>
      <c r="J62" s="58"/>
      <c r="K62" s="97">
        <f t="shared" si="17"/>
        <v>0</v>
      </c>
      <c r="L62" s="55">
        <f t="shared" si="18"/>
        <v>0</v>
      </c>
      <c r="M62" s="38" t="str">
        <f t="shared" si="13"/>
        <v>g</v>
      </c>
      <c r="N62" s="45" t="str">
        <f t="shared" si="15"/>
        <v/>
      </c>
      <c r="O62" s="34" t="str">
        <f t="shared" si="6"/>
        <v>g</v>
      </c>
      <c r="P62" s="143">
        <f t="shared" si="2"/>
        <v>0</v>
      </c>
      <c r="Q62" s="121" t="s">
        <v>4</v>
      </c>
    </row>
    <row r="63" spans="2:17" ht="32.1" customHeight="1">
      <c r="B63" s="2"/>
      <c r="C63" s="2"/>
      <c r="D63" s="2"/>
    </row>
    <row r="64" spans="2:17" ht="32.1" customHeight="1">
      <c r="B64" s="2"/>
      <c r="C64" s="2"/>
      <c r="D64" s="2"/>
    </row>
    <row r="65" spans="2:17" ht="32.1" customHeight="1">
      <c r="B65" s="2"/>
      <c r="C65" s="2"/>
      <c r="D65" s="2"/>
    </row>
    <row r="66" spans="2:17" ht="32.1" customHeight="1">
      <c r="B66" s="2"/>
      <c r="C66" s="2"/>
      <c r="D66" s="2"/>
    </row>
    <row r="67" spans="2:17" ht="32.1" customHeight="1">
      <c r="B67" s="2"/>
      <c r="C67" s="2"/>
      <c r="D67" s="2"/>
    </row>
    <row r="68" spans="2:17" ht="32.1" customHeight="1">
      <c r="B68" s="2"/>
      <c r="C68" s="2"/>
      <c r="D68" s="2"/>
    </row>
    <row r="69" spans="2:17" ht="32.1" customHeight="1">
      <c r="B69" s="2"/>
      <c r="C69" s="2"/>
      <c r="D69" s="2"/>
    </row>
    <row r="70" spans="2:17" s="5" customFormat="1" ht="32.1" customHeight="1">
      <c r="B70" s="2"/>
      <c r="C70" s="2"/>
      <c r="D70" s="2"/>
      <c r="F70" s="8"/>
      <c r="G70" s="8"/>
      <c r="I70" s="8"/>
      <c r="J70" s="8"/>
      <c r="K70" s="4"/>
      <c r="L70" s="4"/>
      <c r="M70" s="4"/>
      <c r="N70" s="4"/>
      <c r="O70" s="4"/>
      <c r="P70" s="4"/>
      <c r="Q70" s="4"/>
    </row>
    <row r="71" spans="2:17" s="5" customFormat="1" ht="32.1" customHeight="1">
      <c r="B71" s="2"/>
      <c r="C71" s="2"/>
      <c r="D71" s="2"/>
      <c r="F71" s="8"/>
      <c r="G71" s="8"/>
      <c r="I71" s="8"/>
      <c r="J71" s="8"/>
      <c r="K71" s="4"/>
      <c r="L71" s="4"/>
      <c r="M71" s="4"/>
      <c r="N71" s="4"/>
      <c r="O71" s="4"/>
      <c r="P71" s="4"/>
      <c r="Q71" s="4"/>
    </row>
    <row r="72" spans="2:17" s="5" customFormat="1" ht="32.1" customHeight="1">
      <c r="B72" s="2"/>
      <c r="C72" s="2"/>
      <c r="D72" s="2"/>
      <c r="F72" s="8"/>
      <c r="G72" s="8"/>
      <c r="I72" s="8"/>
      <c r="J72" s="8"/>
      <c r="K72" s="4"/>
      <c r="L72" s="4"/>
      <c r="M72" s="4"/>
      <c r="N72" s="4"/>
      <c r="O72" s="4"/>
      <c r="P72" s="4"/>
      <c r="Q72" s="4"/>
    </row>
    <row r="73" spans="2:17" s="5" customFormat="1" ht="32.1" customHeight="1">
      <c r="B73" s="2"/>
      <c r="C73" s="2"/>
      <c r="D73" s="2"/>
      <c r="F73" s="8"/>
      <c r="G73" s="8"/>
      <c r="I73" s="8"/>
      <c r="J73" s="8"/>
      <c r="K73" s="4"/>
      <c r="L73" s="4"/>
      <c r="M73" s="4"/>
      <c r="N73" s="4"/>
      <c r="O73" s="4"/>
      <c r="P73" s="4"/>
      <c r="Q73" s="4"/>
    </row>
    <row r="74" spans="2:17" s="5" customFormat="1" ht="32.1" customHeight="1">
      <c r="B74" s="2"/>
      <c r="C74" s="2"/>
      <c r="D74" s="2"/>
      <c r="F74" s="8"/>
      <c r="G74" s="8"/>
      <c r="I74" s="8"/>
      <c r="J74" s="8"/>
      <c r="K74" s="4"/>
      <c r="L74" s="4"/>
      <c r="M74" s="4"/>
      <c r="N74" s="4"/>
      <c r="O74" s="4"/>
      <c r="P74" s="4"/>
      <c r="Q74" s="4"/>
    </row>
    <row r="75" spans="2:17" s="5" customFormat="1" ht="32.1" customHeight="1">
      <c r="B75" s="2"/>
      <c r="C75" s="2"/>
      <c r="D75" s="2"/>
      <c r="F75" s="8"/>
      <c r="G75" s="8"/>
      <c r="I75" s="8"/>
      <c r="J75" s="8"/>
      <c r="K75" s="4"/>
      <c r="L75" s="4"/>
      <c r="M75" s="4"/>
      <c r="N75" s="4"/>
      <c r="O75" s="4"/>
      <c r="P75" s="4"/>
      <c r="Q75" s="4"/>
    </row>
  </sheetData>
  <mergeCells count="10">
    <mergeCell ref="P3:Q3"/>
    <mergeCell ref="L3:O3"/>
    <mergeCell ref="B4:C4"/>
    <mergeCell ref="B5:C5"/>
    <mergeCell ref="H1:I1"/>
    <mergeCell ref="E1:F1"/>
    <mergeCell ref="B1:D1"/>
    <mergeCell ref="B2:D2"/>
    <mergeCell ref="E3:F3"/>
    <mergeCell ref="H3:I3"/>
  </mergeCells>
  <phoneticPr fontId="3"/>
  <pageMargins left="0.70866141732283472" right="0.70866141732283472" top="0.74803149606299213" bottom="0.74803149606299213" header="0.31496062992125984" footer="0.31496062992125984"/>
  <pageSetup paperSize="9" scale="57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61" t="s">
        <v>7</v>
      </c>
      <c r="C1" s="151"/>
      <c r="D1" s="151"/>
      <c r="E1" s="151"/>
      <c r="F1" s="151"/>
      <c r="G1" s="151"/>
      <c r="H1" s="151"/>
    </row>
    <row r="2" spans="2:17" ht="50.1" customHeight="1">
      <c r="B2" s="152"/>
      <c r="C2" s="153"/>
      <c r="D2" s="153"/>
      <c r="E2" s="60"/>
      <c r="F2" s="129" t="s">
        <v>4</v>
      </c>
      <c r="G2" s="23"/>
    </row>
    <row r="3" spans="2:17" s="4" customFormat="1" ht="36" customHeight="1" thickBot="1">
      <c r="B3" s="10"/>
      <c r="C3" s="11"/>
      <c r="D3" s="9" t="s">
        <v>10</v>
      </c>
      <c r="E3" s="169" t="s">
        <v>0</v>
      </c>
      <c r="F3" s="170"/>
      <c r="G3" s="21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3">
        <v>1</v>
      </c>
      <c r="C4" s="104" t="s">
        <v>18</v>
      </c>
      <c r="D4" s="66">
        <v>1</v>
      </c>
      <c r="E4" s="105" t="str">
        <f t="shared" ref="E4:E7" si="0">IF($E$2=0, "", D4*$E$2)</f>
        <v/>
      </c>
      <c r="F4" s="130" t="str">
        <f>$F$2</f>
        <v>g</v>
      </c>
      <c r="G4" s="111"/>
    </row>
    <row r="5" spans="2:17" ht="36" customHeight="1">
      <c r="B5" s="106">
        <f>D5</f>
        <v>0</v>
      </c>
      <c r="C5" s="107" t="s">
        <v>19</v>
      </c>
      <c r="D5" s="108"/>
      <c r="E5" s="109" t="str">
        <f t="shared" si="0"/>
        <v/>
      </c>
      <c r="F5" s="131" t="str">
        <f t="shared" ref="F5:F59" si="1">$F$2</f>
        <v>g</v>
      </c>
      <c r="G5" s="112"/>
    </row>
    <row r="6" spans="2:17" ht="36" customHeight="1">
      <c r="B6" s="106">
        <v>1</v>
      </c>
      <c r="C6" s="107" t="s">
        <v>32</v>
      </c>
      <c r="D6" s="108">
        <v>1</v>
      </c>
      <c r="E6" s="109">
        <v>50</v>
      </c>
      <c r="F6" s="131" t="str">
        <f t="shared" si="1"/>
        <v>g</v>
      </c>
      <c r="G6" s="112"/>
    </row>
    <row r="7" spans="2:17" ht="36" customHeight="1" thickBot="1">
      <c r="B7" s="77">
        <v>1</v>
      </c>
      <c r="C7" s="68" t="s">
        <v>20</v>
      </c>
      <c r="D7" s="69">
        <v>1</v>
      </c>
      <c r="E7" s="109" t="str">
        <f t="shared" si="0"/>
        <v/>
      </c>
      <c r="F7" s="132" t="str">
        <f t="shared" si="1"/>
        <v>g</v>
      </c>
      <c r="G7" s="113"/>
    </row>
    <row r="8" spans="2:17" ht="36" customHeight="1" thickTop="1">
      <c r="B8" s="167" t="s">
        <v>16</v>
      </c>
      <c r="C8" s="168"/>
      <c r="D8" s="66">
        <f>D5+G6+G7+SUM(D10:D59)</f>
        <v>0</v>
      </c>
      <c r="E8" s="110" t="str">
        <f>IF($E$2=0, "", D8*$E$2)</f>
        <v/>
      </c>
      <c r="F8" s="130" t="str">
        <f t="shared" si="1"/>
        <v>g</v>
      </c>
      <c r="G8" s="111"/>
    </row>
    <row r="9" spans="2:17" ht="36" customHeight="1">
      <c r="B9" s="81"/>
      <c r="C9" s="82"/>
      <c r="D9" s="80"/>
      <c r="E9" s="79"/>
      <c r="F9" s="18"/>
      <c r="G9" s="112"/>
    </row>
    <row r="10" spans="2:17" ht="36" customHeight="1">
      <c r="B10" s="81"/>
      <c r="C10" s="82"/>
      <c r="D10" s="80"/>
      <c r="E10" s="79"/>
      <c r="F10" s="133" t="str">
        <f t="shared" si="1"/>
        <v>g</v>
      </c>
      <c r="G10" s="112"/>
    </row>
    <row r="11" spans="2:17" ht="36" customHeight="1">
      <c r="B11" s="81"/>
      <c r="C11" s="82"/>
      <c r="D11" s="80"/>
      <c r="E11" s="79"/>
      <c r="F11" s="133" t="str">
        <f t="shared" si="1"/>
        <v>g</v>
      </c>
      <c r="G11" s="112"/>
    </row>
    <row r="12" spans="2:17" ht="36" customHeight="1">
      <c r="B12" s="81"/>
      <c r="C12" s="82"/>
      <c r="D12" s="80"/>
      <c r="E12" s="79"/>
      <c r="F12" s="133" t="str">
        <f t="shared" si="1"/>
        <v>g</v>
      </c>
      <c r="G12" s="112"/>
    </row>
    <row r="13" spans="2:17" ht="36" customHeight="1">
      <c r="B13" s="81"/>
      <c r="C13" s="82"/>
      <c r="D13" s="80"/>
      <c r="E13" s="79"/>
      <c r="F13" s="133" t="str">
        <f t="shared" si="1"/>
        <v>g</v>
      </c>
      <c r="G13" s="112"/>
    </row>
    <row r="14" spans="2:17" ht="36" customHeight="1">
      <c r="B14" s="81"/>
      <c r="C14" s="82"/>
      <c r="D14" s="80"/>
      <c r="E14" s="79"/>
      <c r="F14" s="133" t="str">
        <f t="shared" si="1"/>
        <v>g</v>
      </c>
      <c r="G14" s="112"/>
    </row>
    <row r="15" spans="2:17" ht="36" customHeight="1">
      <c r="B15" s="81"/>
      <c r="C15" s="82"/>
      <c r="D15" s="80"/>
      <c r="E15" s="79"/>
      <c r="F15" s="133" t="str">
        <f t="shared" si="1"/>
        <v>g</v>
      </c>
      <c r="G15" s="112"/>
    </row>
    <row r="16" spans="2:17" ht="36" customHeight="1">
      <c r="B16" s="81"/>
      <c r="C16" s="82"/>
      <c r="D16" s="80"/>
      <c r="E16" s="79"/>
      <c r="F16" s="133" t="str">
        <f t="shared" si="1"/>
        <v>g</v>
      </c>
      <c r="G16" s="112"/>
    </row>
    <row r="17" spans="2:7" ht="36" customHeight="1">
      <c r="B17" s="81"/>
      <c r="C17" s="82"/>
      <c r="D17" s="80"/>
      <c r="E17" s="79"/>
      <c r="F17" s="133" t="str">
        <f t="shared" si="1"/>
        <v>g</v>
      </c>
      <c r="G17" s="112"/>
    </row>
    <row r="18" spans="2:7" ht="36" customHeight="1">
      <c r="B18" s="81"/>
      <c r="C18" s="82"/>
      <c r="D18" s="80"/>
      <c r="E18" s="79"/>
      <c r="F18" s="133" t="str">
        <f t="shared" si="1"/>
        <v>g</v>
      </c>
      <c r="G18" s="112"/>
    </row>
    <row r="19" spans="2:7" ht="36" customHeight="1">
      <c r="B19" s="81"/>
      <c r="C19" s="82"/>
      <c r="D19" s="80"/>
      <c r="E19" s="79"/>
      <c r="F19" s="133" t="str">
        <f t="shared" si="1"/>
        <v>g</v>
      </c>
      <c r="G19" s="112"/>
    </row>
    <row r="20" spans="2:7" ht="36" customHeight="1">
      <c r="B20" s="81"/>
      <c r="C20" s="82"/>
      <c r="D20" s="80"/>
      <c r="E20" s="79"/>
      <c r="F20" s="133" t="str">
        <f t="shared" si="1"/>
        <v>g</v>
      </c>
      <c r="G20" s="112"/>
    </row>
    <row r="21" spans="2:7" ht="36" customHeight="1">
      <c r="B21" s="81"/>
      <c r="C21" s="82"/>
      <c r="D21" s="80"/>
      <c r="E21" s="79"/>
      <c r="F21" s="133" t="str">
        <f t="shared" si="1"/>
        <v>g</v>
      </c>
      <c r="G21" s="112"/>
    </row>
    <row r="22" spans="2:7" ht="36" customHeight="1">
      <c r="B22" s="81"/>
      <c r="C22" s="82"/>
      <c r="D22" s="80"/>
      <c r="E22" s="79"/>
      <c r="F22" s="133" t="str">
        <f t="shared" si="1"/>
        <v>g</v>
      </c>
      <c r="G22" s="112"/>
    </row>
    <row r="23" spans="2:7" ht="36" customHeight="1">
      <c r="B23" s="81"/>
      <c r="C23" s="82"/>
      <c r="D23" s="80"/>
      <c r="E23" s="79"/>
      <c r="F23" s="133" t="str">
        <f t="shared" si="1"/>
        <v>g</v>
      </c>
      <c r="G23" s="112"/>
    </row>
    <row r="24" spans="2:7" ht="36" customHeight="1">
      <c r="B24" s="81"/>
      <c r="C24" s="82"/>
      <c r="D24" s="80"/>
      <c r="E24" s="79"/>
      <c r="F24" s="133" t="str">
        <f t="shared" si="1"/>
        <v>g</v>
      </c>
      <c r="G24" s="112"/>
    </row>
    <row r="25" spans="2:7" ht="36" customHeight="1">
      <c r="B25" s="81"/>
      <c r="C25" s="82"/>
      <c r="D25" s="80"/>
      <c r="E25" s="79"/>
      <c r="F25" s="133" t="str">
        <f t="shared" si="1"/>
        <v>g</v>
      </c>
      <c r="G25" s="112"/>
    </row>
    <row r="26" spans="2:7" ht="36" hidden="1" customHeight="1">
      <c r="B26" s="81"/>
      <c r="C26" s="82"/>
      <c r="D26" s="80"/>
      <c r="E26" s="79"/>
      <c r="F26" s="133" t="str">
        <f t="shared" si="1"/>
        <v>g</v>
      </c>
      <c r="G26" s="112"/>
    </row>
    <row r="27" spans="2:7" ht="36" hidden="1" customHeight="1">
      <c r="B27" s="81"/>
      <c r="C27" s="82"/>
      <c r="D27" s="80"/>
      <c r="E27" s="79"/>
      <c r="F27" s="133" t="str">
        <f t="shared" si="1"/>
        <v>g</v>
      </c>
      <c r="G27" s="112"/>
    </row>
    <row r="28" spans="2:7" ht="36" hidden="1" customHeight="1">
      <c r="B28" s="81"/>
      <c r="C28" s="82"/>
      <c r="D28" s="80"/>
      <c r="E28" s="79"/>
      <c r="F28" s="133" t="str">
        <f t="shared" si="1"/>
        <v>g</v>
      </c>
      <c r="G28" s="112"/>
    </row>
    <row r="29" spans="2:7" ht="36" hidden="1" customHeight="1">
      <c r="B29" s="81"/>
      <c r="C29" s="82"/>
      <c r="D29" s="80"/>
      <c r="E29" s="79"/>
      <c r="F29" s="133" t="str">
        <f t="shared" si="1"/>
        <v>g</v>
      </c>
      <c r="G29" s="112"/>
    </row>
    <row r="30" spans="2:7" ht="36" hidden="1" customHeight="1">
      <c r="B30" s="81"/>
      <c r="C30" s="82"/>
      <c r="D30" s="80"/>
      <c r="E30" s="79"/>
      <c r="F30" s="133" t="str">
        <f t="shared" si="1"/>
        <v>g</v>
      </c>
      <c r="G30" s="112"/>
    </row>
    <row r="31" spans="2:7" ht="36" hidden="1" customHeight="1">
      <c r="B31" s="81"/>
      <c r="C31" s="82"/>
      <c r="D31" s="80"/>
      <c r="E31" s="79"/>
      <c r="F31" s="133" t="str">
        <f t="shared" si="1"/>
        <v>g</v>
      </c>
      <c r="G31" s="112"/>
    </row>
    <row r="32" spans="2:7" ht="36" hidden="1" customHeight="1">
      <c r="B32" s="81"/>
      <c r="C32" s="82"/>
      <c r="D32" s="80"/>
      <c r="E32" s="79"/>
      <c r="F32" s="133" t="str">
        <f t="shared" si="1"/>
        <v>g</v>
      </c>
      <c r="G32" s="112"/>
    </row>
    <row r="33" spans="2:7" ht="36" hidden="1" customHeight="1">
      <c r="B33" s="81"/>
      <c r="C33" s="82"/>
      <c r="D33" s="80"/>
      <c r="E33" s="79"/>
      <c r="F33" s="133" t="str">
        <f t="shared" si="1"/>
        <v>g</v>
      </c>
      <c r="G33" s="112"/>
    </row>
    <row r="34" spans="2:7" ht="36" hidden="1" customHeight="1">
      <c r="B34" s="81"/>
      <c r="C34" s="82"/>
      <c r="D34" s="80"/>
      <c r="E34" s="79"/>
      <c r="F34" s="133" t="str">
        <f t="shared" si="1"/>
        <v>g</v>
      </c>
      <c r="G34" s="112"/>
    </row>
    <row r="35" spans="2:7" ht="36" hidden="1" customHeight="1">
      <c r="B35" s="81"/>
      <c r="C35" s="82"/>
      <c r="D35" s="80"/>
      <c r="E35" s="79"/>
      <c r="F35" s="133" t="str">
        <f t="shared" si="1"/>
        <v>g</v>
      </c>
      <c r="G35" s="112"/>
    </row>
    <row r="36" spans="2:7" ht="36" hidden="1" customHeight="1">
      <c r="B36" s="81"/>
      <c r="C36" s="82"/>
      <c r="D36" s="80"/>
      <c r="E36" s="79"/>
      <c r="F36" s="133" t="str">
        <f t="shared" si="1"/>
        <v>g</v>
      </c>
      <c r="G36" s="112"/>
    </row>
    <row r="37" spans="2:7" ht="36" hidden="1" customHeight="1">
      <c r="B37" s="81"/>
      <c r="C37" s="82"/>
      <c r="D37" s="80"/>
      <c r="E37" s="79"/>
      <c r="F37" s="133" t="str">
        <f t="shared" si="1"/>
        <v>g</v>
      </c>
      <c r="G37" s="112"/>
    </row>
    <row r="38" spans="2:7" ht="36" hidden="1" customHeight="1">
      <c r="B38" s="81"/>
      <c r="C38" s="82"/>
      <c r="D38" s="80"/>
      <c r="E38" s="79"/>
      <c r="F38" s="133" t="str">
        <f t="shared" si="1"/>
        <v>g</v>
      </c>
      <c r="G38" s="112"/>
    </row>
    <row r="39" spans="2:7" ht="36" hidden="1" customHeight="1">
      <c r="B39" s="81"/>
      <c r="C39" s="82"/>
      <c r="D39" s="80"/>
      <c r="E39" s="79"/>
      <c r="F39" s="133" t="str">
        <f t="shared" si="1"/>
        <v>g</v>
      </c>
      <c r="G39" s="112"/>
    </row>
    <row r="40" spans="2:7" ht="36" hidden="1" customHeight="1">
      <c r="B40" s="81"/>
      <c r="C40" s="82"/>
      <c r="D40" s="80"/>
      <c r="E40" s="79"/>
      <c r="F40" s="133" t="str">
        <f t="shared" si="1"/>
        <v>g</v>
      </c>
      <c r="G40" s="112"/>
    </row>
    <row r="41" spans="2:7" ht="36" hidden="1" customHeight="1">
      <c r="B41" s="81"/>
      <c r="C41" s="82"/>
      <c r="D41" s="80"/>
      <c r="E41" s="79"/>
      <c r="F41" s="133" t="str">
        <f t="shared" si="1"/>
        <v>g</v>
      </c>
      <c r="G41" s="112"/>
    </row>
    <row r="42" spans="2:7" ht="36" hidden="1" customHeight="1">
      <c r="B42" s="81"/>
      <c r="C42" s="82"/>
      <c r="D42" s="80"/>
      <c r="E42" s="79"/>
      <c r="F42" s="133" t="str">
        <f t="shared" si="1"/>
        <v>g</v>
      </c>
      <c r="G42" s="112"/>
    </row>
    <row r="43" spans="2:7" ht="36" hidden="1" customHeight="1">
      <c r="B43" s="81"/>
      <c r="C43" s="82"/>
      <c r="D43" s="80"/>
      <c r="E43" s="79"/>
      <c r="F43" s="133" t="str">
        <f t="shared" si="1"/>
        <v>g</v>
      </c>
      <c r="G43" s="112"/>
    </row>
    <row r="44" spans="2:7" ht="36" hidden="1" customHeight="1">
      <c r="B44" s="81"/>
      <c r="C44" s="82"/>
      <c r="D44" s="80"/>
      <c r="E44" s="79"/>
      <c r="F44" s="133" t="str">
        <f t="shared" si="1"/>
        <v>g</v>
      </c>
      <c r="G44" s="112"/>
    </row>
    <row r="45" spans="2:7" ht="36" hidden="1" customHeight="1">
      <c r="B45" s="81"/>
      <c r="C45" s="82"/>
      <c r="D45" s="80"/>
      <c r="E45" s="79"/>
      <c r="F45" s="133" t="str">
        <f t="shared" si="1"/>
        <v>g</v>
      </c>
      <c r="G45" s="112"/>
    </row>
    <row r="46" spans="2:7" ht="36" hidden="1" customHeight="1">
      <c r="B46" s="81"/>
      <c r="C46" s="82"/>
      <c r="D46" s="80"/>
      <c r="E46" s="79"/>
      <c r="F46" s="133" t="str">
        <f t="shared" si="1"/>
        <v>g</v>
      </c>
      <c r="G46" s="112"/>
    </row>
    <row r="47" spans="2:7" ht="36" hidden="1" customHeight="1">
      <c r="B47" s="81"/>
      <c r="C47" s="82"/>
      <c r="D47" s="80"/>
      <c r="E47" s="79"/>
      <c r="F47" s="133" t="str">
        <f t="shared" si="1"/>
        <v>g</v>
      </c>
      <c r="G47" s="112"/>
    </row>
    <row r="48" spans="2:7" ht="36" hidden="1" customHeight="1">
      <c r="B48" s="81"/>
      <c r="C48" s="82"/>
      <c r="D48" s="80"/>
      <c r="E48" s="79"/>
      <c r="F48" s="133" t="str">
        <f t="shared" si="1"/>
        <v>g</v>
      </c>
      <c r="G48" s="112"/>
    </row>
    <row r="49" spans="2:17" ht="36" hidden="1" customHeight="1">
      <c r="B49" s="81"/>
      <c r="C49" s="82"/>
      <c r="D49" s="80"/>
      <c r="E49" s="79"/>
      <c r="F49" s="133" t="str">
        <f t="shared" si="1"/>
        <v>g</v>
      </c>
      <c r="G49" s="112"/>
    </row>
    <row r="50" spans="2:17" ht="36" hidden="1" customHeight="1">
      <c r="B50" s="81"/>
      <c r="C50" s="82"/>
      <c r="D50" s="80"/>
      <c r="E50" s="79"/>
      <c r="F50" s="133" t="str">
        <f t="shared" si="1"/>
        <v>g</v>
      </c>
      <c r="G50" s="112"/>
    </row>
    <row r="51" spans="2:17" ht="36" hidden="1" customHeight="1">
      <c r="B51" s="81"/>
      <c r="C51" s="82"/>
      <c r="D51" s="80"/>
      <c r="E51" s="79"/>
      <c r="F51" s="133" t="str">
        <f t="shared" si="1"/>
        <v>g</v>
      </c>
      <c r="G51" s="112"/>
    </row>
    <row r="52" spans="2:17" ht="36" hidden="1" customHeight="1">
      <c r="B52" s="81"/>
      <c r="C52" s="82"/>
      <c r="D52" s="80"/>
      <c r="E52" s="79"/>
      <c r="F52" s="133" t="str">
        <f t="shared" si="1"/>
        <v>g</v>
      </c>
      <c r="G52" s="112"/>
    </row>
    <row r="53" spans="2:17" ht="36" hidden="1" customHeight="1">
      <c r="B53" s="81"/>
      <c r="C53" s="82"/>
      <c r="D53" s="80"/>
      <c r="E53" s="79"/>
      <c r="F53" s="133" t="str">
        <f t="shared" si="1"/>
        <v>g</v>
      </c>
      <c r="G53" s="112"/>
    </row>
    <row r="54" spans="2:17" ht="36" hidden="1" customHeight="1">
      <c r="B54" s="81"/>
      <c r="C54" s="82"/>
      <c r="D54" s="80"/>
      <c r="E54" s="79"/>
      <c r="F54" s="133" t="str">
        <f t="shared" si="1"/>
        <v>g</v>
      </c>
      <c r="G54" s="112"/>
    </row>
    <row r="55" spans="2:17" ht="36" hidden="1" customHeight="1">
      <c r="B55" s="81"/>
      <c r="C55" s="82"/>
      <c r="D55" s="80"/>
      <c r="E55" s="79"/>
      <c r="F55" s="133" t="str">
        <f t="shared" si="1"/>
        <v>g</v>
      </c>
      <c r="G55" s="112"/>
    </row>
    <row r="56" spans="2:17" ht="36" hidden="1" customHeight="1">
      <c r="B56" s="81"/>
      <c r="C56" s="82"/>
      <c r="D56" s="80"/>
      <c r="E56" s="79"/>
      <c r="F56" s="133" t="str">
        <f t="shared" si="1"/>
        <v>g</v>
      </c>
      <c r="G56" s="112"/>
    </row>
    <row r="57" spans="2:17" ht="36" hidden="1" customHeight="1">
      <c r="B57" s="81"/>
      <c r="C57" s="82"/>
      <c r="D57" s="80"/>
      <c r="E57" s="79"/>
      <c r="F57" s="133" t="str">
        <f t="shared" si="1"/>
        <v>g</v>
      </c>
      <c r="G57" s="112"/>
    </row>
    <row r="58" spans="2:17" ht="36" hidden="1" customHeight="1">
      <c r="B58" s="81"/>
      <c r="C58" s="82"/>
      <c r="D58" s="80"/>
      <c r="E58" s="79"/>
      <c r="F58" s="133" t="str">
        <f t="shared" si="1"/>
        <v>g</v>
      </c>
      <c r="G58" s="112"/>
    </row>
    <row r="59" spans="2:17" ht="36" customHeight="1" thickBot="1">
      <c r="B59" s="83"/>
      <c r="C59" s="84"/>
      <c r="D59" s="85"/>
      <c r="E59" s="86"/>
      <c r="F59" s="134" t="str">
        <f t="shared" si="1"/>
        <v>g</v>
      </c>
      <c r="G59" s="114"/>
    </row>
    <row r="60" spans="2:17" s="4" customFormat="1" ht="32.1" customHeight="1">
      <c r="B60" s="2"/>
      <c r="C60" s="2"/>
      <c r="D60" s="2"/>
      <c r="E60" s="5"/>
      <c r="F60" s="8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8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8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8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8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8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8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8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G1:H1"/>
    <mergeCell ref="B1:D1"/>
    <mergeCell ref="E1:F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DBE1-0E01-4B06-86C6-1137B1FB0229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61" t="s">
        <v>7</v>
      </c>
      <c r="C1" s="151"/>
      <c r="D1" s="151"/>
      <c r="E1" s="151"/>
      <c r="F1" s="151"/>
      <c r="G1" s="151"/>
      <c r="H1" s="151"/>
    </row>
    <row r="2" spans="2:17" ht="50.1" customHeight="1">
      <c r="B2" s="152"/>
      <c r="C2" s="153"/>
      <c r="D2" s="153"/>
      <c r="E2" s="60"/>
      <c r="F2" s="129" t="s">
        <v>4</v>
      </c>
      <c r="G2" s="23"/>
    </row>
    <row r="3" spans="2:17" s="4" customFormat="1" ht="36" customHeight="1" thickBot="1">
      <c r="B3" s="10"/>
      <c r="C3" s="11"/>
      <c r="D3" s="9" t="s">
        <v>10</v>
      </c>
      <c r="E3" s="169" t="s">
        <v>0</v>
      </c>
      <c r="F3" s="170"/>
      <c r="G3" s="21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3">
        <v>1</v>
      </c>
      <c r="C4" s="104" t="s">
        <v>18</v>
      </c>
      <c r="D4" s="66">
        <v>1</v>
      </c>
      <c r="E4" s="105" t="str">
        <f t="shared" ref="E4:E7" si="0">IF($E$2=0, "", D4*$E$2)</f>
        <v/>
      </c>
      <c r="F4" s="130" t="str">
        <f>$F$2</f>
        <v>g</v>
      </c>
      <c r="G4" s="111"/>
    </row>
    <row r="5" spans="2:17" ht="36" customHeight="1">
      <c r="B5" s="106">
        <f>D5</f>
        <v>0</v>
      </c>
      <c r="C5" s="107" t="s">
        <v>19</v>
      </c>
      <c r="D5" s="108"/>
      <c r="E5" s="109" t="str">
        <f t="shared" si="0"/>
        <v/>
      </c>
      <c r="F5" s="131" t="str">
        <f t="shared" ref="F5:F59" si="1">$F$2</f>
        <v>g</v>
      </c>
      <c r="G5" s="112"/>
    </row>
    <row r="6" spans="2:17" ht="36" customHeight="1">
      <c r="B6" s="106">
        <v>1</v>
      </c>
      <c r="C6" s="107" t="s">
        <v>32</v>
      </c>
      <c r="D6" s="108">
        <v>1</v>
      </c>
      <c r="E6" s="109">
        <v>50</v>
      </c>
      <c r="F6" s="131" t="str">
        <f t="shared" si="1"/>
        <v>g</v>
      </c>
      <c r="G6" s="112"/>
    </row>
    <row r="7" spans="2:17" ht="36" customHeight="1" thickBot="1">
      <c r="B7" s="77">
        <v>1</v>
      </c>
      <c r="C7" s="68" t="s">
        <v>20</v>
      </c>
      <c r="D7" s="69">
        <v>1</v>
      </c>
      <c r="E7" s="109" t="str">
        <f t="shared" si="0"/>
        <v/>
      </c>
      <c r="F7" s="132" t="str">
        <f t="shared" si="1"/>
        <v>g</v>
      </c>
      <c r="G7" s="113"/>
    </row>
    <row r="8" spans="2:17" ht="36" customHeight="1" thickTop="1">
      <c r="B8" s="167" t="s">
        <v>16</v>
      </c>
      <c r="C8" s="168"/>
      <c r="D8" s="66">
        <f>D5+G6+G7+SUM(D10:D59)</f>
        <v>0</v>
      </c>
      <c r="E8" s="110" t="str">
        <f>IF($E$2=0, "", D8*$E$2)</f>
        <v/>
      </c>
      <c r="F8" s="130" t="str">
        <f t="shared" si="1"/>
        <v>g</v>
      </c>
      <c r="G8" s="111"/>
    </row>
    <row r="9" spans="2:17" ht="36" customHeight="1">
      <c r="B9" s="81"/>
      <c r="C9" s="82"/>
      <c r="D9" s="80"/>
      <c r="E9" s="79"/>
      <c r="F9" s="18"/>
      <c r="G9" s="112"/>
    </row>
    <row r="10" spans="2:17" ht="36" customHeight="1">
      <c r="B10" s="81"/>
      <c r="C10" s="82"/>
      <c r="D10" s="80"/>
      <c r="E10" s="79"/>
      <c r="F10" s="133" t="str">
        <f t="shared" si="1"/>
        <v>g</v>
      </c>
      <c r="G10" s="112"/>
    </row>
    <row r="11" spans="2:17" ht="36" customHeight="1">
      <c r="B11" s="81"/>
      <c r="C11" s="82"/>
      <c r="D11" s="80"/>
      <c r="E11" s="79"/>
      <c r="F11" s="133" t="str">
        <f t="shared" si="1"/>
        <v>g</v>
      </c>
      <c r="G11" s="112"/>
    </row>
    <row r="12" spans="2:17" ht="36" customHeight="1">
      <c r="B12" s="81"/>
      <c r="C12" s="82"/>
      <c r="D12" s="80"/>
      <c r="E12" s="79"/>
      <c r="F12" s="133" t="str">
        <f t="shared" si="1"/>
        <v>g</v>
      </c>
      <c r="G12" s="112"/>
    </row>
    <row r="13" spans="2:17" ht="36" customHeight="1">
      <c r="B13" s="81"/>
      <c r="C13" s="82"/>
      <c r="D13" s="80"/>
      <c r="E13" s="79"/>
      <c r="F13" s="133" t="str">
        <f t="shared" si="1"/>
        <v>g</v>
      </c>
      <c r="G13" s="112"/>
    </row>
    <row r="14" spans="2:17" ht="36" customHeight="1">
      <c r="B14" s="81"/>
      <c r="C14" s="82"/>
      <c r="D14" s="80"/>
      <c r="E14" s="79"/>
      <c r="F14" s="133" t="str">
        <f t="shared" si="1"/>
        <v>g</v>
      </c>
      <c r="G14" s="112"/>
    </row>
    <row r="15" spans="2:17" ht="36" customHeight="1">
      <c r="B15" s="81"/>
      <c r="C15" s="82"/>
      <c r="D15" s="80"/>
      <c r="E15" s="79"/>
      <c r="F15" s="133" t="str">
        <f t="shared" si="1"/>
        <v>g</v>
      </c>
      <c r="G15" s="112"/>
    </row>
    <row r="16" spans="2:17" ht="36" customHeight="1">
      <c r="B16" s="81"/>
      <c r="C16" s="82"/>
      <c r="D16" s="80"/>
      <c r="E16" s="79"/>
      <c r="F16" s="133" t="str">
        <f t="shared" si="1"/>
        <v>g</v>
      </c>
      <c r="G16" s="112"/>
    </row>
    <row r="17" spans="2:7" ht="36" customHeight="1">
      <c r="B17" s="81"/>
      <c r="C17" s="82"/>
      <c r="D17" s="80"/>
      <c r="E17" s="79"/>
      <c r="F17" s="133" t="str">
        <f t="shared" si="1"/>
        <v>g</v>
      </c>
      <c r="G17" s="112"/>
    </row>
    <row r="18" spans="2:7" ht="36" customHeight="1">
      <c r="B18" s="81"/>
      <c r="C18" s="82"/>
      <c r="D18" s="80"/>
      <c r="E18" s="79"/>
      <c r="F18" s="133" t="str">
        <f t="shared" si="1"/>
        <v>g</v>
      </c>
      <c r="G18" s="112"/>
    </row>
    <row r="19" spans="2:7" ht="36" customHeight="1">
      <c r="B19" s="81"/>
      <c r="C19" s="82"/>
      <c r="D19" s="80"/>
      <c r="E19" s="79"/>
      <c r="F19" s="133" t="str">
        <f t="shared" si="1"/>
        <v>g</v>
      </c>
      <c r="G19" s="112"/>
    </row>
    <row r="20" spans="2:7" ht="36" customHeight="1">
      <c r="B20" s="81"/>
      <c r="C20" s="82"/>
      <c r="D20" s="80"/>
      <c r="E20" s="79"/>
      <c r="F20" s="133" t="str">
        <f t="shared" si="1"/>
        <v>g</v>
      </c>
      <c r="G20" s="112"/>
    </row>
    <row r="21" spans="2:7" ht="36" customHeight="1">
      <c r="B21" s="81"/>
      <c r="C21" s="82"/>
      <c r="D21" s="80"/>
      <c r="E21" s="79"/>
      <c r="F21" s="133" t="str">
        <f t="shared" si="1"/>
        <v>g</v>
      </c>
      <c r="G21" s="112"/>
    </row>
    <row r="22" spans="2:7" ht="36" customHeight="1">
      <c r="B22" s="81"/>
      <c r="C22" s="82"/>
      <c r="D22" s="80"/>
      <c r="E22" s="79"/>
      <c r="F22" s="133" t="str">
        <f t="shared" si="1"/>
        <v>g</v>
      </c>
      <c r="G22" s="112"/>
    </row>
    <row r="23" spans="2:7" ht="36" customHeight="1">
      <c r="B23" s="81"/>
      <c r="C23" s="82"/>
      <c r="D23" s="80"/>
      <c r="E23" s="79"/>
      <c r="F23" s="133" t="str">
        <f t="shared" si="1"/>
        <v>g</v>
      </c>
      <c r="G23" s="112"/>
    </row>
    <row r="24" spans="2:7" ht="36" customHeight="1">
      <c r="B24" s="81"/>
      <c r="C24" s="82"/>
      <c r="D24" s="80"/>
      <c r="E24" s="79"/>
      <c r="F24" s="133" t="str">
        <f t="shared" si="1"/>
        <v>g</v>
      </c>
      <c r="G24" s="112"/>
    </row>
    <row r="25" spans="2:7" ht="36" customHeight="1">
      <c r="B25" s="81"/>
      <c r="C25" s="82"/>
      <c r="D25" s="80"/>
      <c r="E25" s="79"/>
      <c r="F25" s="133" t="str">
        <f t="shared" si="1"/>
        <v>g</v>
      </c>
      <c r="G25" s="112"/>
    </row>
    <row r="26" spans="2:7" ht="36" hidden="1" customHeight="1">
      <c r="B26" s="81"/>
      <c r="C26" s="82"/>
      <c r="D26" s="80"/>
      <c r="E26" s="79"/>
      <c r="F26" s="133" t="str">
        <f t="shared" si="1"/>
        <v>g</v>
      </c>
      <c r="G26" s="112"/>
    </row>
    <row r="27" spans="2:7" ht="36" hidden="1" customHeight="1">
      <c r="B27" s="81"/>
      <c r="C27" s="82"/>
      <c r="D27" s="80"/>
      <c r="E27" s="79"/>
      <c r="F27" s="133" t="str">
        <f t="shared" si="1"/>
        <v>g</v>
      </c>
      <c r="G27" s="112"/>
    </row>
    <row r="28" spans="2:7" ht="36" hidden="1" customHeight="1">
      <c r="B28" s="81"/>
      <c r="C28" s="82"/>
      <c r="D28" s="80"/>
      <c r="E28" s="79"/>
      <c r="F28" s="133" t="str">
        <f t="shared" si="1"/>
        <v>g</v>
      </c>
      <c r="G28" s="112"/>
    </row>
    <row r="29" spans="2:7" ht="36" hidden="1" customHeight="1">
      <c r="B29" s="81"/>
      <c r="C29" s="82"/>
      <c r="D29" s="80"/>
      <c r="E29" s="79"/>
      <c r="F29" s="133" t="str">
        <f t="shared" si="1"/>
        <v>g</v>
      </c>
      <c r="G29" s="112"/>
    </row>
    <row r="30" spans="2:7" ht="36" hidden="1" customHeight="1">
      <c r="B30" s="81"/>
      <c r="C30" s="82"/>
      <c r="D30" s="80"/>
      <c r="E30" s="79"/>
      <c r="F30" s="133" t="str">
        <f t="shared" si="1"/>
        <v>g</v>
      </c>
      <c r="G30" s="112"/>
    </row>
    <row r="31" spans="2:7" ht="36" hidden="1" customHeight="1">
      <c r="B31" s="81"/>
      <c r="C31" s="82"/>
      <c r="D31" s="80"/>
      <c r="E31" s="79"/>
      <c r="F31" s="133" t="str">
        <f t="shared" si="1"/>
        <v>g</v>
      </c>
      <c r="G31" s="112"/>
    </row>
    <row r="32" spans="2:7" ht="36" hidden="1" customHeight="1">
      <c r="B32" s="81"/>
      <c r="C32" s="82"/>
      <c r="D32" s="80"/>
      <c r="E32" s="79"/>
      <c r="F32" s="133" t="str">
        <f t="shared" si="1"/>
        <v>g</v>
      </c>
      <c r="G32" s="112"/>
    </row>
    <row r="33" spans="2:7" ht="36" hidden="1" customHeight="1">
      <c r="B33" s="81"/>
      <c r="C33" s="82"/>
      <c r="D33" s="80"/>
      <c r="E33" s="79"/>
      <c r="F33" s="133" t="str">
        <f t="shared" si="1"/>
        <v>g</v>
      </c>
      <c r="G33" s="112"/>
    </row>
    <row r="34" spans="2:7" ht="36" hidden="1" customHeight="1">
      <c r="B34" s="81"/>
      <c r="C34" s="82"/>
      <c r="D34" s="80"/>
      <c r="E34" s="79"/>
      <c r="F34" s="133" t="str">
        <f t="shared" si="1"/>
        <v>g</v>
      </c>
      <c r="G34" s="112"/>
    </row>
    <row r="35" spans="2:7" ht="36" hidden="1" customHeight="1">
      <c r="B35" s="81"/>
      <c r="C35" s="82"/>
      <c r="D35" s="80"/>
      <c r="E35" s="79"/>
      <c r="F35" s="133" t="str">
        <f t="shared" si="1"/>
        <v>g</v>
      </c>
      <c r="G35" s="112"/>
    </row>
    <row r="36" spans="2:7" ht="36" hidden="1" customHeight="1">
      <c r="B36" s="81"/>
      <c r="C36" s="82"/>
      <c r="D36" s="80"/>
      <c r="E36" s="79"/>
      <c r="F36" s="133" t="str">
        <f t="shared" si="1"/>
        <v>g</v>
      </c>
      <c r="G36" s="112"/>
    </row>
    <row r="37" spans="2:7" ht="36" hidden="1" customHeight="1">
      <c r="B37" s="81"/>
      <c r="C37" s="82"/>
      <c r="D37" s="80"/>
      <c r="E37" s="79"/>
      <c r="F37" s="133" t="str">
        <f t="shared" si="1"/>
        <v>g</v>
      </c>
      <c r="G37" s="112"/>
    </row>
    <row r="38" spans="2:7" ht="36" hidden="1" customHeight="1">
      <c r="B38" s="81"/>
      <c r="C38" s="82"/>
      <c r="D38" s="80"/>
      <c r="E38" s="79"/>
      <c r="F38" s="133" t="str">
        <f t="shared" si="1"/>
        <v>g</v>
      </c>
      <c r="G38" s="112"/>
    </row>
    <row r="39" spans="2:7" ht="36" hidden="1" customHeight="1">
      <c r="B39" s="81"/>
      <c r="C39" s="82"/>
      <c r="D39" s="80"/>
      <c r="E39" s="79"/>
      <c r="F39" s="133" t="str">
        <f t="shared" si="1"/>
        <v>g</v>
      </c>
      <c r="G39" s="112"/>
    </row>
    <row r="40" spans="2:7" ht="36" hidden="1" customHeight="1">
      <c r="B40" s="81"/>
      <c r="C40" s="82"/>
      <c r="D40" s="80"/>
      <c r="E40" s="79"/>
      <c r="F40" s="133" t="str">
        <f t="shared" si="1"/>
        <v>g</v>
      </c>
      <c r="G40" s="112"/>
    </row>
    <row r="41" spans="2:7" ht="36" hidden="1" customHeight="1">
      <c r="B41" s="81"/>
      <c r="C41" s="82"/>
      <c r="D41" s="80"/>
      <c r="E41" s="79"/>
      <c r="F41" s="133" t="str">
        <f t="shared" si="1"/>
        <v>g</v>
      </c>
      <c r="G41" s="112"/>
    </row>
    <row r="42" spans="2:7" ht="36" hidden="1" customHeight="1">
      <c r="B42" s="81"/>
      <c r="C42" s="82"/>
      <c r="D42" s="80"/>
      <c r="E42" s="79"/>
      <c r="F42" s="133" t="str">
        <f t="shared" si="1"/>
        <v>g</v>
      </c>
      <c r="G42" s="112"/>
    </row>
    <row r="43" spans="2:7" ht="36" hidden="1" customHeight="1">
      <c r="B43" s="81"/>
      <c r="C43" s="82"/>
      <c r="D43" s="80"/>
      <c r="E43" s="79"/>
      <c r="F43" s="133" t="str">
        <f t="shared" si="1"/>
        <v>g</v>
      </c>
      <c r="G43" s="112"/>
    </row>
    <row r="44" spans="2:7" ht="36" hidden="1" customHeight="1">
      <c r="B44" s="81"/>
      <c r="C44" s="82"/>
      <c r="D44" s="80"/>
      <c r="E44" s="79"/>
      <c r="F44" s="133" t="str">
        <f t="shared" si="1"/>
        <v>g</v>
      </c>
      <c r="G44" s="112"/>
    </row>
    <row r="45" spans="2:7" ht="36" hidden="1" customHeight="1">
      <c r="B45" s="81"/>
      <c r="C45" s="82"/>
      <c r="D45" s="80"/>
      <c r="E45" s="79"/>
      <c r="F45" s="133" t="str">
        <f t="shared" si="1"/>
        <v>g</v>
      </c>
      <c r="G45" s="112"/>
    </row>
    <row r="46" spans="2:7" ht="36" hidden="1" customHeight="1">
      <c r="B46" s="81"/>
      <c r="C46" s="82"/>
      <c r="D46" s="80"/>
      <c r="E46" s="79"/>
      <c r="F46" s="133" t="str">
        <f t="shared" si="1"/>
        <v>g</v>
      </c>
      <c r="G46" s="112"/>
    </row>
    <row r="47" spans="2:7" ht="36" hidden="1" customHeight="1">
      <c r="B47" s="81"/>
      <c r="C47" s="82"/>
      <c r="D47" s="80"/>
      <c r="E47" s="79"/>
      <c r="F47" s="133" t="str">
        <f t="shared" si="1"/>
        <v>g</v>
      </c>
      <c r="G47" s="112"/>
    </row>
    <row r="48" spans="2:7" ht="36" hidden="1" customHeight="1">
      <c r="B48" s="81"/>
      <c r="C48" s="82"/>
      <c r="D48" s="80"/>
      <c r="E48" s="79"/>
      <c r="F48" s="133" t="str">
        <f t="shared" si="1"/>
        <v>g</v>
      </c>
      <c r="G48" s="112"/>
    </row>
    <row r="49" spans="2:17" ht="36" hidden="1" customHeight="1">
      <c r="B49" s="81"/>
      <c r="C49" s="82"/>
      <c r="D49" s="80"/>
      <c r="E49" s="79"/>
      <c r="F49" s="133" t="str">
        <f t="shared" si="1"/>
        <v>g</v>
      </c>
      <c r="G49" s="112"/>
    </row>
    <row r="50" spans="2:17" ht="36" hidden="1" customHeight="1">
      <c r="B50" s="81"/>
      <c r="C50" s="82"/>
      <c r="D50" s="80"/>
      <c r="E50" s="79"/>
      <c r="F50" s="133" t="str">
        <f t="shared" si="1"/>
        <v>g</v>
      </c>
      <c r="G50" s="112"/>
    </row>
    <row r="51" spans="2:17" ht="36" hidden="1" customHeight="1">
      <c r="B51" s="81"/>
      <c r="C51" s="82"/>
      <c r="D51" s="80"/>
      <c r="E51" s="79"/>
      <c r="F51" s="133" t="str">
        <f t="shared" si="1"/>
        <v>g</v>
      </c>
      <c r="G51" s="112"/>
    </row>
    <row r="52" spans="2:17" ht="36" hidden="1" customHeight="1">
      <c r="B52" s="81"/>
      <c r="C52" s="82"/>
      <c r="D52" s="80"/>
      <c r="E52" s="79"/>
      <c r="F52" s="133" t="str">
        <f t="shared" si="1"/>
        <v>g</v>
      </c>
      <c r="G52" s="112"/>
    </row>
    <row r="53" spans="2:17" ht="36" hidden="1" customHeight="1">
      <c r="B53" s="81"/>
      <c r="C53" s="82"/>
      <c r="D53" s="80"/>
      <c r="E53" s="79"/>
      <c r="F53" s="133" t="str">
        <f t="shared" si="1"/>
        <v>g</v>
      </c>
      <c r="G53" s="112"/>
    </row>
    <row r="54" spans="2:17" ht="36" hidden="1" customHeight="1">
      <c r="B54" s="81"/>
      <c r="C54" s="82"/>
      <c r="D54" s="80"/>
      <c r="E54" s="79"/>
      <c r="F54" s="133" t="str">
        <f t="shared" si="1"/>
        <v>g</v>
      </c>
      <c r="G54" s="112"/>
    </row>
    <row r="55" spans="2:17" ht="36" hidden="1" customHeight="1">
      <c r="B55" s="81"/>
      <c r="C55" s="82"/>
      <c r="D55" s="80"/>
      <c r="E55" s="79"/>
      <c r="F55" s="133" t="str">
        <f t="shared" si="1"/>
        <v>g</v>
      </c>
      <c r="G55" s="112"/>
    </row>
    <row r="56" spans="2:17" ht="36" hidden="1" customHeight="1">
      <c r="B56" s="81"/>
      <c r="C56" s="82"/>
      <c r="D56" s="80"/>
      <c r="E56" s="79"/>
      <c r="F56" s="133" t="str">
        <f t="shared" si="1"/>
        <v>g</v>
      </c>
      <c r="G56" s="112"/>
    </row>
    <row r="57" spans="2:17" ht="36" hidden="1" customHeight="1">
      <c r="B57" s="81"/>
      <c r="C57" s="82"/>
      <c r="D57" s="80"/>
      <c r="E57" s="79"/>
      <c r="F57" s="133" t="str">
        <f t="shared" si="1"/>
        <v>g</v>
      </c>
      <c r="G57" s="112"/>
    </row>
    <row r="58" spans="2:17" ht="36" hidden="1" customHeight="1">
      <c r="B58" s="81"/>
      <c r="C58" s="82"/>
      <c r="D58" s="80"/>
      <c r="E58" s="79"/>
      <c r="F58" s="133" t="str">
        <f t="shared" si="1"/>
        <v>g</v>
      </c>
      <c r="G58" s="112"/>
    </row>
    <row r="59" spans="2:17" ht="36" customHeight="1" thickBot="1">
      <c r="B59" s="83"/>
      <c r="C59" s="84"/>
      <c r="D59" s="85"/>
      <c r="E59" s="86"/>
      <c r="F59" s="134" t="str">
        <f t="shared" si="1"/>
        <v>g</v>
      </c>
      <c r="G59" s="114"/>
    </row>
    <row r="60" spans="2:17" s="4" customFormat="1" ht="32.1" customHeight="1">
      <c r="B60" s="2"/>
      <c r="C60" s="2"/>
      <c r="D60" s="2"/>
      <c r="E60" s="5"/>
      <c r="F60" s="8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8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8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8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8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8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8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8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1" t="s">
        <v>12</v>
      </c>
      <c r="C1" s="172"/>
      <c r="D1" s="172"/>
      <c r="E1" s="172"/>
      <c r="F1" s="172"/>
      <c r="G1" s="151"/>
      <c r="H1" s="151"/>
    </row>
    <row r="2" spans="2:17" ht="50.1" customHeight="1">
      <c r="B2" s="152"/>
      <c r="C2" s="153"/>
      <c r="D2" s="153"/>
      <c r="E2" s="60"/>
      <c r="F2" s="129" t="s">
        <v>4</v>
      </c>
      <c r="G2" s="23"/>
    </row>
    <row r="3" spans="2:17" s="4" customFormat="1" ht="36" customHeight="1" thickBot="1">
      <c r="B3" s="10"/>
      <c r="C3" s="11"/>
      <c r="D3" s="9" t="s">
        <v>10</v>
      </c>
      <c r="E3" s="169" t="s">
        <v>0</v>
      </c>
      <c r="F3" s="170"/>
      <c r="G3" s="21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3">
        <v>1</v>
      </c>
      <c r="C4" s="104" t="s">
        <v>18</v>
      </c>
      <c r="D4" s="66">
        <v>1</v>
      </c>
      <c r="E4" s="105" t="str">
        <f t="shared" ref="E4:E7" si="0">IF($E$2=0, "", D4*$E$2)</f>
        <v/>
      </c>
      <c r="F4" s="130" t="str">
        <f>$F$2</f>
        <v>g</v>
      </c>
      <c r="G4" s="111"/>
    </row>
    <row r="5" spans="2:17" ht="36" customHeight="1">
      <c r="B5" s="106">
        <f>D5</f>
        <v>0</v>
      </c>
      <c r="C5" s="107" t="s">
        <v>17</v>
      </c>
      <c r="D5" s="115"/>
      <c r="E5" s="109" t="str">
        <f t="shared" si="0"/>
        <v/>
      </c>
      <c r="F5" s="131" t="str">
        <f t="shared" ref="F5:F58" si="1">$F$2</f>
        <v>g</v>
      </c>
      <c r="G5" s="112"/>
    </row>
    <row r="6" spans="2:17" ht="36" customHeight="1">
      <c r="B6" s="106">
        <v>1</v>
      </c>
      <c r="C6" s="107" t="s">
        <v>32</v>
      </c>
      <c r="D6" s="108">
        <v>1</v>
      </c>
      <c r="E6" s="109">
        <v>50</v>
      </c>
      <c r="F6" s="131" t="str">
        <f t="shared" si="1"/>
        <v>g</v>
      </c>
      <c r="G6" s="112"/>
    </row>
    <row r="7" spans="2:17" ht="36" customHeight="1" thickBot="1">
      <c r="B7" s="77">
        <v>1</v>
      </c>
      <c r="C7" s="68" t="s">
        <v>20</v>
      </c>
      <c r="D7" s="69">
        <v>1</v>
      </c>
      <c r="E7" s="109" t="str">
        <f t="shared" si="0"/>
        <v/>
      </c>
      <c r="F7" s="132" t="str">
        <f t="shared" si="1"/>
        <v>g</v>
      </c>
      <c r="G7" s="113"/>
    </row>
    <row r="8" spans="2:17" ht="36" customHeight="1" thickTop="1">
      <c r="B8" s="167" t="s">
        <v>21</v>
      </c>
      <c r="C8" s="168"/>
      <c r="D8" s="66">
        <f>D5+G6+G7+SUM(D10:D58)</f>
        <v>0</v>
      </c>
      <c r="E8" s="110" t="str">
        <f>IF($E$2=0, "", D8*$E$2)</f>
        <v/>
      </c>
      <c r="F8" s="130" t="str">
        <f t="shared" si="1"/>
        <v>g</v>
      </c>
      <c r="G8" s="111"/>
    </row>
    <row r="9" spans="2:17" ht="36" customHeight="1">
      <c r="B9" s="81"/>
      <c r="C9" s="82"/>
      <c r="D9" s="80"/>
      <c r="E9" s="79"/>
      <c r="F9" s="18"/>
      <c r="G9" s="112"/>
    </row>
    <row r="10" spans="2:17" ht="36" customHeight="1">
      <c r="B10" s="81"/>
      <c r="C10" s="82"/>
      <c r="D10" s="80"/>
      <c r="E10" s="79"/>
      <c r="F10" s="133" t="str">
        <f t="shared" si="1"/>
        <v>g</v>
      </c>
      <c r="G10" s="112"/>
    </row>
    <row r="11" spans="2:17" ht="36" customHeight="1">
      <c r="B11" s="81"/>
      <c r="C11" s="82"/>
      <c r="D11" s="80"/>
      <c r="E11" s="79"/>
      <c r="F11" s="133" t="str">
        <f t="shared" si="1"/>
        <v>g</v>
      </c>
      <c r="G11" s="112"/>
    </row>
    <row r="12" spans="2:17" ht="36" customHeight="1">
      <c r="B12" s="81"/>
      <c r="C12" s="82"/>
      <c r="D12" s="80"/>
      <c r="E12" s="79"/>
      <c r="F12" s="133" t="str">
        <f t="shared" si="1"/>
        <v>g</v>
      </c>
      <c r="G12" s="112"/>
    </row>
    <row r="13" spans="2:17" ht="36" customHeight="1">
      <c r="B13" s="81"/>
      <c r="C13" s="82"/>
      <c r="D13" s="80"/>
      <c r="E13" s="79"/>
      <c r="F13" s="133" t="str">
        <f t="shared" si="1"/>
        <v>g</v>
      </c>
      <c r="G13" s="112"/>
    </row>
    <row r="14" spans="2:17" ht="36" customHeight="1">
      <c r="B14" s="81"/>
      <c r="C14" s="82"/>
      <c r="D14" s="80"/>
      <c r="E14" s="79"/>
      <c r="F14" s="133" t="str">
        <f t="shared" si="1"/>
        <v>g</v>
      </c>
      <c r="G14" s="112"/>
    </row>
    <row r="15" spans="2:17" ht="36" customHeight="1">
      <c r="B15" s="81"/>
      <c r="C15" s="82"/>
      <c r="D15" s="80"/>
      <c r="E15" s="79"/>
      <c r="F15" s="133" t="str">
        <f t="shared" si="1"/>
        <v>g</v>
      </c>
      <c r="G15" s="112"/>
    </row>
    <row r="16" spans="2:17" ht="36" customHeight="1">
      <c r="B16" s="81"/>
      <c r="C16" s="82"/>
      <c r="D16" s="80"/>
      <c r="E16" s="79"/>
      <c r="F16" s="133" t="str">
        <f t="shared" si="1"/>
        <v>g</v>
      </c>
      <c r="G16" s="112"/>
    </row>
    <row r="17" spans="2:7" ht="36" customHeight="1">
      <c r="B17" s="81"/>
      <c r="C17" s="82"/>
      <c r="D17" s="80"/>
      <c r="E17" s="79"/>
      <c r="F17" s="133" t="str">
        <f t="shared" si="1"/>
        <v>g</v>
      </c>
      <c r="G17" s="112"/>
    </row>
    <row r="18" spans="2:7" ht="36" customHeight="1">
      <c r="B18" s="81"/>
      <c r="C18" s="82"/>
      <c r="D18" s="80"/>
      <c r="E18" s="79"/>
      <c r="F18" s="133" t="str">
        <f t="shared" si="1"/>
        <v>g</v>
      </c>
      <c r="G18" s="112"/>
    </row>
    <row r="19" spans="2:7" ht="36" customHeight="1">
      <c r="B19" s="81"/>
      <c r="C19" s="82"/>
      <c r="D19" s="80"/>
      <c r="E19" s="79"/>
      <c r="F19" s="133" t="str">
        <f t="shared" si="1"/>
        <v>g</v>
      </c>
      <c r="G19" s="112"/>
    </row>
    <row r="20" spans="2:7" ht="36" customHeight="1">
      <c r="B20" s="81"/>
      <c r="C20" s="82"/>
      <c r="D20" s="80"/>
      <c r="E20" s="79"/>
      <c r="F20" s="133" t="str">
        <f t="shared" si="1"/>
        <v>g</v>
      </c>
      <c r="G20" s="112"/>
    </row>
    <row r="21" spans="2:7" ht="36" customHeight="1">
      <c r="B21" s="81"/>
      <c r="C21" s="82"/>
      <c r="D21" s="80"/>
      <c r="E21" s="79"/>
      <c r="F21" s="133" t="str">
        <f t="shared" si="1"/>
        <v>g</v>
      </c>
      <c r="G21" s="112"/>
    </row>
    <row r="22" spans="2:7" ht="36" customHeight="1">
      <c r="B22" s="81"/>
      <c r="C22" s="82"/>
      <c r="D22" s="80"/>
      <c r="E22" s="79"/>
      <c r="F22" s="133" t="str">
        <f t="shared" si="1"/>
        <v>g</v>
      </c>
      <c r="G22" s="112"/>
    </row>
    <row r="23" spans="2:7" ht="36" customHeight="1">
      <c r="B23" s="81"/>
      <c r="C23" s="82"/>
      <c r="D23" s="80"/>
      <c r="E23" s="79"/>
      <c r="F23" s="133" t="str">
        <f t="shared" si="1"/>
        <v>g</v>
      </c>
      <c r="G23" s="112"/>
    </row>
    <row r="24" spans="2:7" ht="36" customHeight="1">
      <c r="B24" s="81"/>
      <c r="C24" s="82"/>
      <c r="D24" s="80"/>
      <c r="E24" s="79"/>
      <c r="F24" s="133" t="str">
        <f t="shared" si="1"/>
        <v>g</v>
      </c>
      <c r="G24" s="112"/>
    </row>
    <row r="25" spans="2:7" ht="36" customHeight="1">
      <c r="B25" s="81"/>
      <c r="C25" s="82"/>
      <c r="D25" s="80"/>
      <c r="E25" s="79"/>
      <c r="F25" s="133" t="str">
        <f t="shared" si="1"/>
        <v>g</v>
      </c>
      <c r="G25" s="112"/>
    </row>
    <row r="26" spans="2:7" ht="36" hidden="1" customHeight="1">
      <c r="B26" s="81"/>
      <c r="C26" s="82"/>
      <c r="D26" s="80"/>
      <c r="E26" s="79"/>
      <c r="F26" s="133" t="str">
        <f t="shared" si="1"/>
        <v>g</v>
      </c>
      <c r="G26" s="112"/>
    </row>
    <row r="27" spans="2:7" ht="36" hidden="1" customHeight="1">
      <c r="B27" s="81"/>
      <c r="C27" s="82"/>
      <c r="D27" s="80"/>
      <c r="E27" s="79"/>
      <c r="F27" s="133" t="str">
        <f t="shared" si="1"/>
        <v>g</v>
      </c>
      <c r="G27" s="112"/>
    </row>
    <row r="28" spans="2:7" ht="36" hidden="1" customHeight="1">
      <c r="B28" s="81"/>
      <c r="C28" s="82"/>
      <c r="D28" s="80"/>
      <c r="E28" s="79"/>
      <c r="F28" s="133" t="str">
        <f t="shared" si="1"/>
        <v>g</v>
      </c>
      <c r="G28" s="112"/>
    </row>
    <row r="29" spans="2:7" ht="36" hidden="1" customHeight="1">
      <c r="B29" s="81"/>
      <c r="C29" s="82"/>
      <c r="D29" s="80"/>
      <c r="E29" s="79"/>
      <c r="F29" s="133" t="str">
        <f t="shared" si="1"/>
        <v>g</v>
      </c>
      <c r="G29" s="112"/>
    </row>
    <row r="30" spans="2:7" ht="36" hidden="1" customHeight="1">
      <c r="B30" s="81"/>
      <c r="C30" s="82"/>
      <c r="D30" s="80"/>
      <c r="E30" s="79"/>
      <c r="F30" s="133" t="str">
        <f t="shared" si="1"/>
        <v>g</v>
      </c>
      <c r="G30" s="112"/>
    </row>
    <row r="31" spans="2:7" ht="36" hidden="1" customHeight="1">
      <c r="B31" s="81"/>
      <c r="C31" s="82"/>
      <c r="D31" s="80"/>
      <c r="E31" s="79"/>
      <c r="F31" s="133" t="str">
        <f t="shared" si="1"/>
        <v>g</v>
      </c>
      <c r="G31" s="112"/>
    </row>
    <row r="32" spans="2:7" ht="36" hidden="1" customHeight="1">
      <c r="B32" s="81"/>
      <c r="C32" s="82"/>
      <c r="D32" s="80"/>
      <c r="E32" s="79"/>
      <c r="F32" s="133" t="str">
        <f t="shared" si="1"/>
        <v>g</v>
      </c>
      <c r="G32" s="112"/>
    </row>
    <row r="33" spans="2:7" ht="36" hidden="1" customHeight="1">
      <c r="B33" s="81"/>
      <c r="C33" s="82"/>
      <c r="D33" s="80"/>
      <c r="E33" s="79"/>
      <c r="F33" s="133" t="str">
        <f t="shared" si="1"/>
        <v>g</v>
      </c>
      <c r="G33" s="112"/>
    </row>
    <row r="34" spans="2:7" ht="36" hidden="1" customHeight="1">
      <c r="B34" s="81"/>
      <c r="C34" s="82"/>
      <c r="D34" s="80"/>
      <c r="E34" s="79"/>
      <c r="F34" s="133" t="str">
        <f t="shared" si="1"/>
        <v>g</v>
      </c>
      <c r="G34" s="112"/>
    </row>
    <row r="35" spans="2:7" ht="36" hidden="1" customHeight="1">
      <c r="B35" s="81"/>
      <c r="C35" s="82"/>
      <c r="D35" s="80"/>
      <c r="E35" s="79"/>
      <c r="F35" s="133" t="str">
        <f t="shared" si="1"/>
        <v>g</v>
      </c>
      <c r="G35" s="112"/>
    </row>
    <row r="36" spans="2:7" ht="36" hidden="1" customHeight="1">
      <c r="B36" s="81"/>
      <c r="C36" s="82"/>
      <c r="D36" s="80"/>
      <c r="E36" s="79"/>
      <c r="F36" s="133" t="str">
        <f t="shared" si="1"/>
        <v>g</v>
      </c>
      <c r="G36" s="112"/>
    </row>
    <row r="37" spans="2:7" ht="36" hidden="1" customHeight="1">
      <c r="B37" s="81"/>
      <c r="C37" s="82"/>
      <c r="D37" s="80"/>
      <c r="E37" s="79"/>
      <c r="F37" s="133" t="str">
        <f t="shared" si="1"/>
        <v>g</v>
      </c>
      <c r="G37" s="112"/>
    </row>
    <row r="38" spans="2:7" ht="36" hidden="1" customHeight="1">
      <c r="B38" s="81"/>
      <c r="C38" s="82"/>
      <c r="D38" s="80"/>
      <c r="E38" s="79"/>
      <c r="F38" s="133" t="str">
        <f t="shared" si="1"/>
        <v>g</v>
      </c>
      <c r="G38" s="112"/>
    </row>
    <row r="39" spans="2:7" ht="36" hidden="1" customHeight="1">
      <c r="B39" s="81"/>
      <c r="C39" s="82"/>
      <c r="D39" s="80"/>
      <c r="E39" s="79"/>
      <c r="F39" s="133" t="str">
        <f t="shared" si="1"/>
        <v>g</v>
      </c>
      <c r="G39" s="112"/>
    </row>
    <row r="40" spans="2:7" ht="36" hidden="1" customHeight="1">
      <c r="B40" s="81"/>
      <c r="C40" s="82"/>
      <c r="D40" s="80"/>
      <c r="E40" s="79"/>
      <c r="F40" s="133" t="str">
        <f t="shared" si="1"/>
        <v>g</v>
      </c>
      <c r="G40" s="112"/>
    </row>
    <row r="41" spans="2:7" ht="36" hidden="1" customHeight="1">
      <c r="B41" s="81"/>
      <c r="C41" s="82"/>
      <c r="D41" s="80"/>
      <c r="E41" s="79"/>
      <c r="F41" s="133" t="str">
        <f t="shared" si="1"/>
        <v>g</v>
      </c>
      <c r="G41" s="112"/>
    </row>
    <row r="42" spans="2:7" ht="36" hidden="1" customHeight="1">
      <c r="B42" s="81"/>
      <c r="C42" s="82"/>
      <c r="D42" s="80"/>
      <c r="E42" s="79"/>
      <c r="F42" s="133" t="str">
        <f t="shared" si="1"/>
        <v>g</v>
      </c>
      <c r="G42" s="112"/>
    </row>
    <row r="43" spans="2:7" ht="36" hidden="1" customHeight="1">
      <c r="B43" s="81"/>
      <c r="C43" s="82"/>
      <c r="D43" s="80"/>
      <c r="E43" s="79"/>
      <c r="F43" s="133" t="str">
        <f t="shared" si="1"/>
        <v>g</v>
      </c>
      <c r="G43" s="112"/>
    </row>
    <row r="44" spans="2:7" ht="36" hidden="1" customHeight="1">
      <c r="B44" s="81"/>
      <c r="C44" s="82"/>
      <c r="D44" s="80"/>
      <c r="E44" s="79"/>
      <c r="F44" s="133" t="str">
        <f t="shared" si="1"/>
        <v>g</v>
      </c>
      <c r="G44" s="112"/>
    </row>
    <row r="45" spans="2:7" ht="36" hidden="1" customHeight="1">
      <c r="B45" s="81"/>
      <c r="C45" s="82"/>
      <c r="D45" s="80"/>
      <c r="E45" s="79"/>
      <c r="F45" s="133" t="str">
        <f t="shared" si="1"/>
        <v>g</v>
      </c>
      <c r="G45" s="112"/>
    </row>
    <row r="46" spans="2:7" ht="36" hidden="1" customHeight="1">
      <c r="B46" s="81"/>
      <c r="C46" s="82"/>
      <c r="D46" s="80"/>
      <c r="E46" s="79"/>
      <c r="F46" s="133" t="str">
        <f t="shared" si="1"/>
        <v>g</v>
      </c>
      <c r="G46" s="112"/>
    </row>
    <row r="47" spans="2:7" ht="36" hidden="1" customHeight="1">
      <c r="B47" s="81"/>
      <c r="C47" s="82"/>
      <c r="D47" s="80"/>
      <c r="E47" s="79"/>
      <c r="F47" s="133" t="str">
        <f t="shared" si="1"/>
        <v>g</v>
      </c>
      <c r="G47" s="112"/>
    </row>
    <row r="48" spans="2:7" ht="36" hidden="1" customHeight="1">
      <c r="B48" s="81"/>
      <c r="C48" s="82"/>
      <c r="D48" s="80"/>
      <c r="E48" s="79"/>
      <c r="F48" s="133" t="str">
        <f t="shared" si="1"/>
        <v>g</v>
      </c>
      <c r="G48" s="112"/>
    </row>
    <row r="49" spans="2:17" ht="36" hidden="1" customHeight="1">
      <c r="B49" s="81"/>
      <c r="C49" s="82"/>
      <c r="D49" s="80"/>
      <c r="E49" s="79"/>
      <c r="F49" s="133" t="str">
        <f t="shared" si="1"/>
        <v>g</v>
      </c>
      <c r="G49" s="112"/>
    </row>
    <row r="50" spans="2:17" ht="36" hidden="1" customHeight="1">
      <c r="B50" s="81"/>
      <c r="C50" s="82"/>
      <c r="D50" s="80"/>
      <c r="E50" s="79"/>
      <c r="F50" s="133" t="str">
        <f t="shared" si="1"/>
        <v>g</v>
      </c>
      <c r="G50" s="112"/>
    </row>
    <row r="51" spans="2:17" ht="36" hidden="1" customHeight="1">
      <c r="B51" s="81"/>
      <c r="C51" s="82"/>
      <c r="D51" s="80"/>
      <c r="E51" s="79"/>
      <c r="F51" s="133" t="str">
        <f t="shared" si="1"/>
        <v>g</v>
      </c>
      <c r="G51" s="112"/>
    </row>
    <row r="52" spans="2:17" ht="36" hidden="1" customHeight="1">
      <c r="B52" s="81"/>
      <c r="C52" s="82"/>
      <c r="D52" s="80"/>
      <c r="E52" s="79"/>
      <c r="F52" s="133" t="str">
        <f t="shared" si="1"/>
        <v>g</v>
      </c>
      <c r="G52" s="112"/>
    </row>
    <row r="53" spans="2:17" ht="36" hidden="1" customHeight="1">
      <c r="B53" s="81"/>
      <c r="C53" s="82"/>
      <c r="D53" s="80"/>
      <c r="E53" s="79"/>
      <c r="F53" s="133" t="str">
        <f t="shared" si="1"/>
        <v>g</v>
      </c>
      <c r="G53" s="112"/>
    </row>
    <row r="54" spans="2:17" ht="36" hidden="1" customHeight="1">
      <c r="B54" s="81"/>
      <c r="C54" s="82"/>
      <c r="D54" s="80"/>
      <c r="E54" s="79"/>
      <c r="F54" s="133" t="str">
        <f t="shared" si="1"/>
        <v>g</v>
      </c>
      <c r="G54" s="112"/>
    </row>
    <row r="55" spans="2:17" ht="36" hidden="1" customHeight="1">
      <c r="B55" s="81"/>
      <c r="C55" s="82"/>
      <c r="D55" s="80"/>
      <c r="E55" s="79"/>
      <c r="F55" s="133" t="str">
        <f t="shared" si="1"/>
        <v>g</v>
      </c>
      <c r="G55" s="112"/>
    </row>
    <row r="56" spans="2:17" ht="36" hidden="1" customHeight="1">
      <c r="B56" s="81"/>
      <c r="C56" s="82"/>
      <c r="D56" s="80"/>
      <c r="E56" s="79"/>
      <c r="F56" s="133" t="str">
        <f t="shared" si="1"/>
        <v>g</v>
      </c>
      <c r="G56" s="112"/>
    </row>
    <row r="57" spans="2:17" ht="36" hidden="1" customHeight="1">
      <c r="B57" s="81"/>
      <c r="C57" s="82"/>
      <c r="D57" s="80"/>
      <c r="E57" s="79"/>
      <c r="F57" s="133" t="str">
        <f t="shared" si="1"/>
        <v>g</v>
      </c>
      <c r="G57" s="112"/>
    </row>
    <row r="58" spans="2:17" ht="36" customHeight="1" thickBot="1">
      <c r="B58" s="83"/>
      <c r="C58" s="84"/>
      <c r="D58" s="85"/>
      <c r="E58" s="86"/>
      <c r="F58" s="134" t="str">
        <f t="shared" si="1"/>
        <v>g</v>
      </c>
      <c r="G58" s="114"/>
    </row>
    <row r="59" spans="2:17" s="4" customFormat="1" ht="32.1" customHeight="1">
      <c r="B59" s="2"/>
      <c r="C59" s="2"/>
      <c r="D59" s="2"/>
      <c r="E59" s="5"/>
      <c r="F59" s="8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8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8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8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8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8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8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8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C610-0049-4AEC-94B2-567DACD464CC}">
  <sheetPr>
    <pageSetUpPr fitToPage="1"/>
  </sheetPr>
  <dimension ref="B1:Q72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1" t="s">
        <v>12</v>
      </c>
      <c r="C1" s="172"/>
      <c r="D1" s="172"/>
      <c r="E1" s="172"/>
      <c r="F1" s="172"/>
      <c r="G1" s="151"/>
      <c r="H1" s="151"/>
    </row>
    <row r="2" spans="2:17" ht="50.1" customHeight="1">
      <c r="B2" s="152"/>
      <c r="C2" s="153"/>
      <c r="D2" s="153"/>
      <c r="E2" s="60"/>
      <c r="F2" s="129" t="s">
        <v>4</v>
      </c>
      <c r="G2" s="23"/>
    </row>
    <row r="3" spans="2:17" s="4" customFormat="1" ht="36" customHeight="1" thickBot="1">
      <c r="B3" s="10"/>
      <c r="C3" s="11"/>
      <c r="D3" s="9" t="s">
        <v>10</v>
      </c>
      <c r="E3" s="169" t="s">
        <v>0</v>
      </c>
      <c r="F3" s="170"/>
      <c r="G3" s="21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3">
        <v>1</v>
      </c>
      <c r="C4" s="104" t="s">
        <v>18</v>
      </c>
      <c r="D4" s="66">
        <v>1</v>
      </c>
      <c r="E4" s="105" t="str">
        <f t="shared" ref="E4:E7" si="0">IF($E$2=0, "", D4*$E$2)</f>
        <v/>
      </c>
      <c r="F4" s="130" t="str">
        <f>$F$2</f>
        <v>g</v>
      </c>
      <c r="G4" s="111"/>
    </row>
    <row r="5" spans="2:17" ht="36" customHeight="1">
      <c r="B5" s="106">
        <f>D5</f>
        <v>0</v>
      </c>
      <c r="C5" s="107" t="s">
        <v>17</v>
      </c>
      <c r="D5" s="115"/>
      <c r="E5" s="109" t="str">
        <f t="shared" si="0"/>
        <v/>
      </c>
      <c r="F5" s="131" t="str">
        <f t="shared" ref="F5:F59" si="1">$F$2</f>
        <v>g</v>
      </c>
      <c r="G5" s="112"/>
    </row>
    <row r="6" spans="2:17" ht="36" customHeight="1">
      <c r="B6" s="106">
        <v>1</v>
      </c>
      <c r="C6" s="107" t="s">
        <v>32</v>
      </c>
      <c r="D6" s="108">
        <v>1</v>
      </c>
      <c r="E6" s="109">
        <v>50</v>
      </c>
      <c r="F6" s="131" t="str">
        <f t="shared" si="1"/>
        <v>g</v>
      </c>
      <c r="G6" s="112"/>
    </row>
    <row r="7" spans="2:17" ht="36" customHeight="1" thickBot="1">
      <c r="B7" s="77">
        <v>1</v>
      </c>
      <c r="C7" s="68" t="s">
        <v>20</v>
      </c>
      <c r="D7" s="69">
        <v>1</v>
      </c>
      <c r="E7" s="109" t="str">
        <f t="shared" si="0"/>
        <v/>
      </c>
      <c r="F7" s="132" t="str">
        <f t="shared" si="1"/>
        <v>g</v>
      </c>
      <c r="G7" s="113"/>
    </row>
    <row r="8" spans="2:17" ht="36" customHeight="1" thickTop="1">
      <c r="B8" s="167" t="s">
        <v>21</v>
      </c>
      <c r="C8" s="168"/>
      <c r="D8" s="66">
        <f>D5+G6+G7+SUM(D10:D59)</f>
        <v>0</v>
      </c>
      <c r="E8" s="110" t="str">
        <f>IF($E$2=0, "", D8*$E$2)</f>
        <v/>
      </c>
      <c r="F8" s="130" t="str">
        <f t="shared" si="1"/>
        <v>g</v>
      </c>
      <c r="G8" s="111"/>
    </row>
    <row r="9" spans="2:17" ht="36" customHeight="1">
      <c r="B9" s="81"/>
      <c r="C9" s="82"/>
      <c r="D9" s="80"/>
      <c r="E9" s="79"/>
      <c r="F9" s="18"/>
      <c r="G9" s="112"/>
    </row>
    <row r="10" spans="2:17" ht="36" customHeight="1">
      <c r="B10" s="81"/>
      <c r="C10" s="82"/>
      <c r="D10" s="80"/>
      <c r="E10" s="79"/>
      <c r="F10" s="133" t="str">
        <f t="shared" si="1"/>
        <v>g</v>
      </c>
      <c r="G10" s="112"/>
    </row>
    <row r="11" spans="2:17" ht="36" customHeight="1">
      <c r="B11" s="81"/>
      <c r="C11" s="82"/>
      <c r="D11" s="80"/>
      <c r="E11" s="79"/>
      <c r="F11" s="133" t="str">
        <f t="shared" si="1"/>
        <v>g</v>
      </c>
      <c r="G11" s="112"/>
    </row>
    <row r="12" spans="2:17" ht="36" customHeight="1">
      <c r="B12" s="81"/>
      <c r="C12" s="82"/>
      <c r="D12" s="80"/>
      <c r="E12" s="79"/>
      <c r="F12" s="133" t="str">
        <f t="shared" si="1"/>
        <v>g</v>
      </c>
      <c r="G12" s="112"/>
    </row>
    <row r="13" spans="2:17" ht="36" customHeight="1">
      <c r="B13" s="81"/>
      <c r="C13" s="82"/>
      <c r="D13" s="80"/>
      <c r="E13" s="79"/>
      <c r="F13" s="133" t="str">
        <f t="shared" si="1"/>
        <v>g</v>
      </c>
      <c r="G13" s="112"/>
    </row>
    <row r="14" spans="2:17" ht="36" customHeight="1">
      <c r="B14" s="81"/>
      <c r="C14" s="82"/>
      <c r="D14" s="80"/>
      <c r="E14" s="79"/>
      <c r="F14" s="133" t="str">
        <f t="shared" si="1"/>
        <v>g</v>
      </c>
      <c r="G14" s="112"/>
    </row>
    <row r="15" spans="2:17" ht="36" customHeight="1">
      <c r="B15" s="81"/>
      <c r="C15" s="82"/>
      <c r="D15" s="80"/>
      <c r="E15" s="79"/>
      <c r="F15" s="133" t="str">
        <f t="shared" si="1"/>
        <v>g</v>
      </c>
      <c r="G15" s="112"/>
    </row>
    <row r="16" spans="2:17" ht="36" customHeight="1">
      <c r="B16" s="81"/>
      <c r="C16" s="82"/>
      <c r="D16" s="80"/>
      <c r="E16" s="79"/>
      <c r="F16" s="133" t="str">
        <f t="shared" si="1"/>
        <v>g</v>
      </c>
      <c r="G16" s="112"/>
    </row>
    <row r="17" spans="2:7" ht="36" customHeight="1">
      <c r="B17" s="81"/>
      <c r="C17" s="82"/>
      <c r="D17" s="80"/>
      <c r="E17" s="79"/>
      <c r="F17" s="133" t="str">
        <f t="shared" si="1"/>
        <v>g</v>
      </c>
      <c r="G17" s="112"/>
    </row>
    <row r="18" spans="2:7" ht="36" customHeight="1">
      <c r="B18" s="81"/>
      <c r="C18" s="82"/>
      <c r="D18" s="80"/>
      <c r="E18" s="79"/>
      <c r="F18" s="133" t="str">
        <f t="shared" si="1"/>
        <v>g</v>
      </c>
      <c r="G18" s="112"/>
    </row>
    <row r="19" spans="2:7" ht="36" customHeight="1">
      <c r="B19" s="81"/>
      <c r="C19" s="82"/>
      <c r="D19" s="80"/>
      <c r="E19" s="79"/>
      <c r="F19" s="133" t="str">
        <f t="shared" si="1"/>
        <v>g</v>
      </c>
      <c r="G19" s="112"/>
    </row>
    <row r="20" spans="2:7" ht="36" customHeight="1">
      <c r="B20" s="81"/>
      <c r="C20" s="82"/>
      <c r="D20" s="80"/>
      <c r="E20" s="79"/>
      <c r="F20" s="133" t="str">
        <f t="shared" si="1"/>
        <v>g</v>
      </c>
      <c r="G20" s="112"/>
    </row>
    <row r="21" spans="2:7" ht="36" customHeight="1">
      <c r="B21" s="81"/>
      <c r="C21" s="82"/>
      <c r="D21" s="80"/>
      <c r="E21" s="79"/>
      <c r="F21" s="133" t="str">
        <f t="shared" si="1"/>
        <v>g</v>
      </c>
      <c r="G21" s="112"/>
    </row>
    <row r="22" spans="2:7" ht="36" customHeight="1">
      <c r="B22" s="81"/>
      <c r="C22" s="82"/>
      <c r="D22" s="80"/>
      <c r="E22" s="79"/>
      <c r="F22" s="133" t="str">
        <f t="shared" si="1"/>
        <v>g</v>
      </c>
      <c r="G22" s="112"/>
    </row>
    <row r="23" spans="2:7" ht="36" customHeight="1">
      <c r="B23" s="81"/>
      <c r="C23" s="82"/>
      <c r="D23" s="80"/>
      <c r="E23" s="79"/>
      <c r="F23" s="133" t="str">
        <f t="shared" si="1"/>
        <v>g</v>
      </c>
      <c r="G23" s="112"/>
    </row>
    <row r="24" spans="2:7" ht="36" customHeight="1">
      <c r="B24" s="81"/>
      <c r="C24" s="82"/>
      <c r="D24" s="80"/>
      <c r="E24" s="79"/>
      <c r="F24" s="133" t="str">
        <f t="shared" si="1"/>
        <v>g</v>
      </c>
      <c r="G24" s="112"/>
    </row>
    <row r="25" spans="2:7" ht="36" customHeight="1">
      <c r="B25" s="81"/>
      <c r="C25" s="82"/>
      <c r="D25" s="80"/>
      <c r="E25" s="79"/>
      <c r="F25" s="133" t="str">
        <f t="shared" si="1"/>
        <v>g</v>
      </c>
      <c r="G25" s="112"/>
    </row>
    <row r="26" spans="2:7" ht="36" hidden="1" customHeight="1">
      <c r="B26" s="81"/>
      <c r="C26" s="82"/>
      <c r="D26" s="80"/>
      <c r="E26" s="79"/>
      <c r="F26" s="133" t="str">
        <f t="shared" si="1"/>
        <v>g</v>
      </c>
      <c r="G26" s="112"/>
    </row>
    <row r="27" spans="2:7" ht="36" hidden="1" customHeight="1">
      <c r="B27" s="81"/>
      <c r="C27" s="82"/>
      <c r="D27" s="80"/>
      <c r="E27" s="79"/>
      <c r="F27" s="133" t="str">
        <f t="shared" si="1"/>
        <v>g</v>
      </c>
      <c r="G27" s="112"/>
    </row>
    <row r="28" spans="2:7" ht="36" hidden="1" customHeight="1">
      <c r="B28" s="81"/>
      <c r="C28" s="82"/>
      <c r="D28" s="80"/>
      <c r="E28" s="79"/>
      <c r="F28" s="133" t="str">
        <f t="shared" si="1"/>
        <v>g</v>
      </c>
      <c r="G28" s="112"/>
    </row>
    <row r="29" spans="2:7" ht="36" hidden="1" customHeight="1">
      <c r="B29" s="81"/>
      <c r="C29" s="82"/>
      <c r="D29" s="80"/>
      <c r="E29" s="79"/>
      <c r="F29" s="133" t="str">
        <f t="shared" si="1"/>
        <v>g</v>
      </c>
      <c r="G29" s="112"/>
    </row>
    <row r="30" spans="2:7" ht="36" hidden="1" customHeight="1">
      <c r="B30" s="81"/>
      <c r="C30" s="82"/>
      <c r="D30" s="80"/>
      <c r="E30" s="79"/>
      <c r="F30" s="133" t="str">
        <f t="shared" si="1"/>
        <v>g</v>
      </c>
      <c r="G30" s="112"/>
    </row>
    <row r="31" spans="2:7" ht="36" hidden="1" customHeight="1">
      <c r="B31" s="81"/>
      <c r="C31" s="82"/>
      <c r="D31" s="80"/>
      <c r="E31" s="79"/>
      <c r="F31" s="133" t="str">
        <f t="shared" si="1"/>
        <v>g</v>
      </c>
      <c r="G31" s="112"/>
    </row>
    <row r="32" spans="2:7" ht="36" hidden="1" customHeight="1">
      <c r="B32" s="81"/>
      <c r="C32" s="82"/>
      <c r="D32" s="80"/>
      <c r="E32" s="79"/>
      <c r="F32" s="133" t="str">
        <f t="shared" si="1"/>
        <v>g</v>
      </c>
      <c r="G32" s="112"/>
    </row>
    <row r="33" spans="2:7" ht="36" hidden="1" customHeight="1">
      <c r="B33" s="81"/>
      <c r="C33" s="82"/>
      <c r="D33" s="80"/>
      <c r="E33" s="79"/>
      <c r="F33" s="133" t="str">
        <f t="shared" si="1"/>
        <v>g</v>
      </c>
      <c r="G33" s="112"/>
    </row>
    <row r="34" spans="2:7" ht="36" hidden="1" customHeight="1">
      <c r="B34" s="81"/>
      <c r="C34" s="82"/>
      <c r="D34" s="80"/>
      <c r="E34" s="79"/>
      <c r="F34" s="133" t="str">
        <f t="shared" si="1"/>
        <v>g</v>
      </c>
      <c r="G34" s="112"/>
    </row>
    <row r="35" spans="2:7" ht="36" hidden="1" customHeight="1">
      <c r="B35" s="81"/>
      <c r="C35" s="82"/>
      <c r="D35" s="80"/>
      <c r="E35" s="79"/>
      <c r="F35" s="133" t="str">
        <f t="shared" si="1"/>
        <v>g</v>
      </c>
      <c r="G35" s="112"/>
    </row>
    <row r="36" spans="2:7" ht="36" hidden="1" customHeight="1">
      <c r="B36" s="81"/>
      <c r="C36" s="82"/>
      <c r="D36" s="80"/>
      <c r="E36" s="79"/>
      <c r="F36" s="133" t="str">
        <f t="shared" si="1"/>
        <v>g</v>
      </c>
      <c r="G36" s="112"/>
    </row>
    <row r="37" spans="2:7" ht="36" hidden="1" customHeight="1">
      <c r="B37" s="81"/>
      <c r="C37" s="82"/>
      <c r="D37" s="80"/>
      <c r="E37" s="79"/>
      <c r="F37" s="133" t="str">
        <f t="shared" si="1"/>
        <v>g</v>
      </c>
      <c r="G37" s="112"/>
    </row>
    <row r="38" spans="2:7" ht="36" hidden="1" customHeight="1">
      <c r="B38" s="81"/>
      <c r="C38" s="82"/>
      <c r="D38" s="80"/>
      <c r="E38" s="79"/>
      <c r="F38" s="133" t="str">
        <f t="shared" si="1"/>
        <v>g</v>
      </c>
      <c r="G38" s="112"/>
    </row>
    <row r="39" spans="2:7" ht="36" hidden="1" customHeight="1">
      <c r="B39" s="81"/>
      <c r="C39" s="82"/>
      <c r="D39" s="80"/>
      <c r="E39" s="79"/>
      <c r="F39" s="133" t="str">
        <f t="shared" si="1"/>
        <v>g</v>
      </c>
      <c r="G39" s="112"/>
    </row>
    <row r="40" spans="2:7" ht="36" hidden="1" customHeight="1">
      <c r="B40" s="81"/>
      <c r="C40" s="82"/>
      <c r="D40" s="80"/>
      <c r="E40" s="79"/>
      <c r="F40" s="133" t="str">
        <f t="shared" si="1"/>
        <v>g</v>
      </c>
      <c r="G40" s="112"/>
    </row>
    <row r="41" spans="2:7" ht="36" hidden="1" customHeight="1">
      <c r="B41" s="81"/>
      <c r="C41" s="82"/>
      <c r="D41" s="80"/>
      <c r="E41" s="79"/>
      <c r="F41" s="133" t="str">
        <f t="shared" si="1"/>
        <v>g</v>
      </c>
      <c r="G41" s="112"/>
    </row>
    <row r="42" spans="2:7" ht="36" hidden="1" customHeight="1">
      <c r="B42" s="81"/>
      <c r="C42" s="82"/>
      <c r="D42" s="80"/>
      <c r="E42" s="79"/>
      <c r="F42" s="133" t="str">
        <f t="shared" si="1"/>
        <v>g</v>
      </c>
      <c r="G42" s="112"/>
    </row>
    <row r="43" spans="2:7" ht="36" hidden="1" customHeight="1">
      <c r="B43" s="81"/>
      <c r="C43" s="82"/>
      <c r="D43" s="80"/>
      <c r="E43" s="79"/>
      <c r="F43" s="133" t="str">
        <f t="shared" si="1"/>
        <v>g</v>
      </c>
      <c r="G43" s="112"/>
    </row>
    <row r="44" spans="2:7" ht="36" hidden="1" customHeight="1">
      <c r="B44" s="81"/>
      <c r="C44" s="82"/>
      <c r="D44" s="80"/>
      <c r="E44" s="79"/>
      <c r="F44" s="133" t="str">
        <f t="shared" si="1"/>
        <v>g</v>
      </c>
      <c r="G44" s="112"/>
    </row>
    <row r="45" spans="2:7" ht="36" hidden="1" customHeight="1">
      <c r="B45" s="81"/>
      <c r="C45" s="82"/>
      <c r="D45" s="80"/>
      <c r="E45" s="79"/>
      <c r="F45" s="133" t="str">
        <f t="shared" si="1"/>
        <v>g</v>
      </c>
      <c r="G45" s="112"/>
    </row>
    <row r="46" spans="2:7" ht="36" hidden="1" customHeight="1">
      <c r="B46" s="81"/>
      <c r="C46" s="82"/>
      <c r="D46" s="80"/>
      <c r="E46" s="79"/>
      <c r="F46" s="133" t="str">
        <f t="shared" si="1"/>
        <v>g</v>
      </c>
      <c r="G46" s="112"/>
    </row>
    <row r="47" spans="2:7" ht="36" hidden="1" customHeight="1">
      <c r="B47" s="81"/>
      <c r="C47" s="82"/>
      <c r="D47" s="80"/>
      <c r="E47" s="79"/>
      <c r="F47" s="133" t="str">
        <f t="shared" si="1"/>
        <v>g</v>
      </c>
      <c r="G47" s="112"/>
    </row>
    <row r="48" spans="2:7" ht="36" hidden="1" customHeight="1">
      <c r="B48" s="81"/>
      <c r="C48" s="82"/>
      <c r="D48" s="80"/>
      <c r="E48" s="79"/>
      <c r="F48" s="133" t="str">
        <f t="shared" si="1"/>
        <v>g</v>
      </c>
      <c r="G48" s="112"/>
    </row>
    <row r="49" spans="2:17" ht="36" hidden="1" customHeight="1">
      <c r="B49" s="81"/>
      <c r="C49" s="82"/>
      <c r="D49" s="80"/>
      <c r="E49" s="79"/>
      <c r="F49" s="133" t="str">
        <f t="shared" si="1"/>
        <v>g</v>
      </c>
      <c r="G49" s="112"/>
    </row>
    <row r="50" spans="2:17" ht="36" hidden="1" customHeight="1">
      <c r="B50" s="81"/>
      <c r="C50" s="82"/>
      <c r="D50" s="80"/>
      <c r="E50" s="79"/>
      <c r="F50" s="133" t="str">
        <f t="shared" si="1"/>
        <v>g</v>
      </c>
      <c r="G50" s="112"/>
    </row>
    <row r="51" spans="2:17" ht="36" hidden="1" customHeight="1">
      <c r="B51" s="81"/>
      <c r="C51" s="82"/>
      <c r="D51" s="80"/>
      <c r="E51" s="79"/>
      <c r="F51" s="133" t="str">
        <f t="shared" si="1"/>
        <v>g</v>
      </c>
      <c r="G51" s="112"/>
    </row>
    <row r="52" spans="2:17" ht="36" hidden="1" customHeight="1">
      <c r="B52" s="81"/>
      <c r="C52" s="82"/>
      <c r="D52" s="80"/>
      <c r="E52" s="79"/>
      <c r="F52" s="133" t="str">
        <f t="shared" si="1"/>
        <v>g</v>
      </c>
      <c r="G52" s="112"/>
    </row>
    <row r="53" spans="2:17" ht="36" hidden="1" customHeight="1">
      <c r="B53" s="81"/>
      <c r="C53" s="82"/>
      <c r="D53" s="80"/>
      <c r="E53" s="79"/>
      <c r="F53" s="133" t="str">
        <f t="shared" si="1"/>
        <v>g</v>
      </c>
      <c r="G53" s="112"/>
    </row>
    <row r="54" spans="2:17" ht="36" hidden="1" customHeight="1">
      <c r="B54" s="81"/>
      <c r="C54" s="82"/>
      <c r="D54" s="80"/>
      <c r="E54" s="79"/>
      <c r="F54" s="133" t="str">
        <f t="shared" si="1"/>
        <v>g</v>
      </c>
      <c r="G54" s="112"/>
    </row>
    <row r="55" spans="2:17" ht="36" hidden="1" customHeight="1">
      <c r="B55" s="81"/>
      <c r="C55" s="82"/>
      <c r="D55" s="80"/>
      <c r="E55" s="79"/>
      <c r="F55" s="133" t="str">
        <f t="shared" si="1"/>
        <v>g</v>
      </c>
      <c r="G55" s="112"/>
    </row>
    <row r="56" spans="2:17" ht="36" hidden="1" customHeight="1">
      <c r="B56" s="81"/>
      <c r="C56" s="82"/>
      <c r="D56" s="80"/>
      <c r="E56" s="79"/>
      <c r="F56" s="133" t="str">
        <f t="shared" si="1"/>
        <v>g</v>
      </c>
      <c r="G56" s="112"/>
    </row>
    <row r="57" spans="2:17" ht="36" hidden="1" customHeight="1">
      <c r="B57" s="81"/>
      <c r="C57" s="82"/>
      <c r="D57" s="80"/>
      <c r="E57" s="79"/>
      <c r="F57" s="133" t="str">
        <f t="shared" si="1"/>
        <v>g</v>
      </c>
      <c r="G57" s="112"/>
    </row>
    <row r="58" spans="2:17" ht="36" hidden="1" customHeight="1">
      <c r="B58" s="81"/>
      <c r="C58" s="82"/>
      <c r="D58" s="80"/>
      <c r="E58" s="79"/>
      <c r="F58" s="133" t="str">
        <f t="shared" si="1"/>
        <v>g</v>
      </c>
      <c r="G58" s="112"/>
    </row>
    <row r="59" spans="2:17" ht="36" customHeight="1" thickBot="1">
      <c r="B59" s="83"/>
      <c r="C59" s="84"/>
      <c r="D59" s="85"/>
      <c r="E59" s="86"/>
      <c r="F59" s="134" t="str">
        <f t="shared" si="1"/>
        <v>g</v>
      </c>
      <c r="G59" s="114"/>
    </row>
    <row r="60" spans="2:17" s="4" customFormat="1" ht="32.1" customHeight="1">
      <c r="B60" s="2"/>
      <c r="C60" s="2"/>
      <c r="D60" s="2"/>
      <c r="E60" s="5"/>
      <c r="F60" s="8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8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8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8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8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8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8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8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1" t="s">
        <v>13</v>
      </c>
      <c r="C1" s="172"/>
      <c r="D1" s="172"/>
      <c r="E1" s="172"/>
      <c r="F1" s="172"/>
      <c r="G1" s="151"/>
      <c r="H1" s="151"/>
    </row>
    <row r="2" spans="2:17" ht="50.1" customHeight="1">
      <c r="B2" s="152"/>
      <c r="C2" s="153"/>
      <c r="D2" s="153"/>
      <c r="E2" s="60"/>
      <c r="F2" s="129" t="s">
        <v>4</v>
      </c>
      <c r="G2" s="23"/>
    </row>
    <row r="3" spans="2:17" s="4" customFormat="1" ht="36" customHeight="1" thickBot="1">
      <c r="B3" s="10"/>
      <c r="C3" s="11"/>
      <c r="D3" s="9" t="s">
        <v>10</v>
      </c>
      <c r="E3" s="169" t="s">
        <v>0</v>
      </c>
      <c r="F3" s="170"/>
      <c r="G3" s="21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3">
        <v>1</v>
      </c>
      <c r="C4" s="104" t="s">
        <v>18</v>
      </c>
      <c r="D4" s="66">
        <v>1</v>
      </c>
      <c r="E4" s="105" t="str">
        <f t="shared" ref="E4:E7" si="0">IF($E$2=0, "", D4*$E$2)</f>
        <v/>
      </c>
      <c r="F4" s="130" t="str">
        <f>$F$2</f>
        <v>g</v>
      </c>
      <c r="G4" s="111"/>
    </row>
    <row r="5" spans="2:17" ht="36" customHeight="1">
      <c r="B5" s="106">
        <f>D5</f>
        <v>0</v>
      </c>
      <c r="C5" s="107" t="s">
        <v>17</v>
      </c>
      <c r="D5" s="115"/>
      <c r="E5" s="109" t="str">
        <f t="shared" si="0"/>
        <v/>
      </c>
      <c r="F5" s="131" t="str">
        <f t="shared" ref="F5:F58" si="1">$F$2</f>
        <v>g</v>
      </c>
      <c r="G5" s="112"/>
    </row>
    <row r="6" spans="2:17" ht="36" customHeight="1">
      <c r="B6" s="106">
        <f>D6</f>
        <v>1</v>
      </c>
      <c r="C6" s="107" t="s">
        <v>32</v>
      </c>
      <c r="D6" s="108">
        <v>1</v>
      </c>
      <c r="E6" s="109">
        <v>50</v>
      </c>
      <c r="F6" s="131" t="str">
        <f t="shared" si="1"/>
        <v>g</v>
      </c>
      <c r="G6" s="112"/>
    </row>
    <row r="7" spans="2:17" ht="36" customHeight="1" thickBot="1">
      <c r="B7" s="77">
        <f>D7</f>
        <v>1</v>
      </c>
      <c r="C7" s="68" t="s">
        <v>20</v>
      </c>
      <c r="D7" s="69">
        <v>1</v>
      </c>
      <c r="E7" s="109" t="str">
        <f t="shared" si="0"/>
        <v/>
      </c>
      <c r="F7" s="132" t="str">
        <f t="shared" si="1"/>
        <v>g</v>
      </c>
      <c r="G7" s="113"/>
    </row>
    <row r="8" spans="2:17" ht="36" customHeight="1" thickTop="1">
      <c r="B8" s="167" t="s">
        <v>22</v>
      </c>
      <c r="C8" s="168"/>
      <c r="D8" s="66">
        <f>D5+G6+G7+SUM(D10:D58)</f>
        <v>0</v>
      </c>
      <c r="E8" s="110" t="str">
        <f>IF($E$2=0, "", D8*$E$2)</f>
        <v/>
      </c>
      <c r="F8" s="130" t="str">
        <f t="shared" si="1"/>
        <v>g</v>
      </c>
      <c r="G8" s="111"/>
    </row>
    <row r="9" spans="2:17" ht="36" customHeight="1">
      <c r="B9" s="81"/>
      <c r="C9" s="82"/>
      <c r="D9" s="80"/>
      <c r="E9" s="79"/>
      <c r="F9" s="133" t="str">
        <f t="shared" si="1"/>
        <v>g</v>
      </c>
      <c r="G9" s="112"/>
    </row>
    <row r="10" spans="2:17" ht="36" customHeight="1">
      <c r="B10" s="81"/>
      <c r="C10" s="82"/>
      <c r="D10" s="80"/>
      <c r="E10" s="79"/>
      <c r="F10" s="133" t="str">
        <f t="shared" si="1"/>
        <v>g</v>
      </c>
      <c r="G10" s="112"/>
    </row>
    <row r="11" spans="2:17" ht="36" customHeight="1">
      <c r="B11" s="81"/>
      <c r="C11" s="82"/>
      <c r="D11" s="80"/>
      <c r="E11" s="79"/>
      <c r="F11" s="133" t="str">
        <f t="shared" si="1"/>
        <v>g</v>
      </c>
      <c r="G11" s="112"/>
    </row>
    <row r="12" spans="2:17" ht="36" customHeight="1">
      <c r="B12" s="81"/>
      <c r="C12" s="82"/>
      <c r="D12" s="80"/>
      <c r="E12" s="79"/>
      <c r="F12" s="133" t="str">
        <f t="shared" si="1"/>
        <v>g</v>
      </c>
      <c r="G12" s="112"/>
    </row>
    <row r="13" spans="2:17" ht="36" customHeight="1">
      <c r="B13" s="81"/>
      <c r="C13" s="82"/>
      <c r="D13" s="80"/>
      <c r="E13" s="79"/>
      <c r="F13" s="133" t="str">
        <f t="shared" si="1"/>
        <v>g</v>
      </c>
      <c r="G13" s="112"/>
    </row>
    <row r="14" spans="2:17" ht="36" customHeight="1">
      <c r="B14" s="81"/>
      <c r="C14" s="82"/>
      <c r="D14" s="80"/>
      <c r="E14" s="79"/>
      <c r="F14" s="133" t="str">
        <f t="shared" si="1"/>
        <v>g</v>
      </c>
      <c r="G14" s="112"/>
    </row>
    <row r="15" spans="2:17" ht="36" customHeight="1">
      <c r="B15" s="81"/>
      <c r="C15" s="82"/>
      <c r="D15" s="80"/>
      <c r="E15" s="79"/>
      <c r="F15" s="133" t="str">
        <f t="shared" si="1"/>
        <v>g</v>
      </c>
      <c r="G15" s="112"/>
    </row>
    <row r="16" spans="2:17" ht="36" customHeight="1">
      <c r="B16" s="81"/>
      <c r="C16" s="82"/>
      <c r="D16" s="80"/>
      <c r="E16" s="79"/>
      <c r="F16" s="133" t="str">
        <f t="shared" si="1"/>
        <v>g</v>
      </c>
      <c r="G16" s="112"/>
    </row>
    <row r="17" spans="2:7" ht="36" customHeight="1">
      <c r="B17" s="81"/>
      <c r="C17" s="82"/>
      <c r="D17" s="80"/>
      <c r="E17" s="79"/>
      <c r="F17" s="133" t="str">
        <f t="shared" si="1"/>
        <v>g</v>
      </c>
      <c r="G17" s="112"/>
    </row>
    <row r="18" spans="2:7" ht="36" customHeight="1">
      <c r="B18" s="81"/>
      <c r="C18" s="82"/>
      <c r="D18" s="80"/>
      <c r="E18" s="79"/>
      <c r="F18" s="133" t="str">
        <f t="shared" si="1"/>
        <v>g</v>
      </c>
      <c r="G18" s="112"/>
    </row>
    <row r="19" spans="2:7" ht="36" customHeight="1">
      <c r="B19" s="81"/>
      <c r="C19" s="82"/>
      <c r="D19" s="80"/>
      <c r="E19" s="79"/>
      <c r="F19" s="133" t="str">
        <f t="shared" si="1"/>
        <v>g</v>
      </c>
      <c r="G19" s="112"/>
    </row>
    <row r="20" spans="2:7" ht="36" customHeight="1">
      <c r="B20" s="81"/>
      <c r="C20" s="82"/>
      <c r="D20" s="80"/>
      <c r="E20" s="79"/>
      <c r="F20" s="133" t="str">
        <f t="shared" si="1"/>
        <v>g</v>
      </c>
      <c r="G20" s="112"/>
    </row>
    <row r="21" spans="2:7" ht="36" customHeight="1">
      <c r="B21" s="81"/>
      <c r="C21" s="82"/>
      <c r="D21" s="80"/>
      <c r="E21" s="79"/>
      <c r="F21" s="133" t="str">
        <f t="shared" si="1"/>
        <v>g</v>
      </c>
      <c r="G21" s="112"/>
    </row>
    <row r="22" spans="2:7" ht="36" customHeight="1">
      <c r="B22" s="81"/>
      <c r="C22" s="82"/>
      <c r="D22" s="80"/>
      <c r="E22" s="79"/>
      <c r="F22" s="133" t="str">
        <f t="shared" si="1"/>
        <v>g</v>
      </c>
      <c r="G22" s="112"/>
    </row>
    <row r="23" spans="2:7" ht="36" customHeight="1">
      <c r="B23" s="81"/>
      <c r="C23" s="82"/>
      <c r="D23" s="80"/>
      <c r="E23" s="79"/>
      <c r="F23" s="133" t="str">
        <f t="shared" si="1"/>
        <v>g</v>
      </c>
      <c r="G23" s="112"/>
    </row>
    <row r="24" spans="2:7" ht="36" customHeight="1">
      <c r="B24" s="81"/>
      <c r="C24" s="82"/>
      <c r="D24" s="80"/>
      <c r="E24" s="79"/>
      <c r="F24" s="133" t="str">
        <f t="shared" si="1"/>
        <v>g</v>
      </c>
      <c r="G24" s="112"/>
    </row>
    <row r="25" spans="2:7" ht="36" customHeight="1">
      <c r="B25" s="81"/>
      <c r="C25" s="82"/>
      <c r="D25" s="80"/>
      <c r="E25" s="79"/>
      <c r="F25" s="133" t="str">
        <f t="shared" si="1"/>
        <v>g</v>
      </c>
      <c r="G25" s="112"/>
    </row>
    <row r="26" spans="2:7" ht="36" hidden="1" customHeight="1">
      <c r="B26" s="81"/>
      <c r="C26" s="82"/>
      <c r="D26" s="80"/>
      <c r="E26" s="79"/>
      <c r="F26" s="133" t="str">
        <f t="shared" si="1"/>
        <v>g</v>
      </c>
      <c r="G26" s="112"/>
    </row>
    <row r="27" spans="2:7" ht="36" hidden="1" customHeight="1">
      <c r="B27" s="81"/>
      <c r="C27" s="82"/>
      <c r="D27" s="80"/>
      <c r="E27" s="79"/>
      <c r="F27" s="133" t="str">
        <f t="shared" si="1"/>
        <v>g</v>
      </c>
      <c r="G27" s="112"/>
    </row>
    <row r="28" spans="2:7" ht="36" hidden="1" customHeight="1">
      <c r="B28" s="81"/>
      <c r="C28" s="82"/>
      <c r="D28" s="80"/>
      <c r="E28" s="79"/>
      <c r="F28" s="133" t="str">
        <f t="shared" si="1"/>
        <v>g</v>
      </c>
      <c r="G28" s="112"/>
    </row>
    <row r="29" spans="2:7" ht="36" hidden="1" customHeight="1">
      <c r="B29" s="81"/>
      <c r="C29" s="82"/>
      <c r="D29" s="80"/>
      <c r="E29" s="79"/>
      <c r="F29" s="133" t="str">
        <f t="shared" si="1"/>
        <v>g</v>
      </c>
      <c r="G29" s="112"/>
    </row>
    <row r="30" spans="2:7" ht="36" hidden="1" customHeight="1">
      <c r="B30" s="81"/>
      <c r="C30" s="82"/>
      <c r="D30" s="80"/>
      <c r="E30" s="79"/>
      <c r="F30" s="133" t="str">
        <f t="shared" si="1"/>
        <v>g</v>
      </c>
      <c r="G30" s="112"/>
    </row>
    <row r="31" spans="2:7" ht="36" hidden="1" customHeight="1">
      <c r="B31" s="81"/>
      <c r="C31" s="82"/>
      <c r="D31" s="80"/>
      <c r="E31" s="79"/>
      <c r="F31" s="133" t="str">
        <f t="shared" si="1"/>
        <v>g</v>
      </c>
      <c r="G31" s="112"/>
    </row>
    <row r="32" spans="2:7" ht="36" hidden="1" customHeight="1">
      <c r="B32" s="81"/>
      <c r="C32" s="82"/>
      <c r="D32" s="80"/>
      <c r="E32" s="79"/>
      <c r="F32" s="133" t="str">
        <f t="shared" si="1"/>
        <v>g</v>
      </c>
      <c r="G32" s="112"/>
    </row>
    <row r="33" spans="2:7" ht="36" hidden="1" customHeight="1">
      <c r="B33" s="81"/>
      <c r="C33" s="82"/>
      <c r="D33" s="80"/>
      <c r="E33" s="79"/>
      <c r="F33" s="133" t="str">
        <f t="shared" si="1"/>
        <v>g</v>
      </c>
      <c r="G33" s="112"/>
    </row>
    <row r="34" spans="2:7" ht="36" hidden="1" customHeight="1">
      <c r="B34" s="81"/>
      <c r="C34" s="82"/>
      <c r="D34" s="80"/>
      <c r="E34" s="79"/>
      <c r="F34" s="133" t="str">
        <f t="shared" si="1"/>
        <v>g</v>
      </c>
      <c r="G34" s="112"/>
    </row>
    <row r="35" spans="2:7" ht="36" hidden="1" customHeight="1">
      <c r="B35" s="81"/>
      <c r="C35" s="82"/>
      <c r="D35" s="80"/>
      <c r="E35" s="79"/>
      <c r="F35" s="133" t="str">
        <f t="shared" si="1"/>
        <v>g</v>
      </c>
      <c r="G35" s="112"/>
    </row>
    <row r="36" spans="2:7" ht="36" hidden="1" customHeight="1">
      <c r="B36" s="81"/>
      <c r="C36" s="82"/>
      <c r="D36" s="80"/>
      <c r="E36" s="79"/>
      <c r="F36" s="133" t="str">
        <f t="shared" si="1"/>
        <v>g</v>
      </c>
      <c r="G36" s="112"/>
    </row>
    <row r="37" spans="2:7" ht="36" hidden="1" customHeight="1">
      <c r="B37" s="81"/>
      <c r="C37" s="82"/>
      <c r="D37" s="80"/>
      <c r="E37" s="79"/>
      <c r="F37" s="133" t="str">
        <f t="shared" si="1"/>
        <v>g</v>
      </c>
      <c r="G37" s="112"/>
    </row>
    <row r="38" spans="2:7" ht="36" hidden="1" customHeight="1">
      <c r="B38" s="81"/>
      <c r="C38" s="82"/>
      <c r="D38" s="80"/>
      <c r="E38" s="79"/>
      <c r="F38" s="133" t="str">
        <f t="shared" si="1"/>
        <v>g</v>
      </c>
      <c r="G38" s="112"/>
    </row>
    <row r="39" spans="2:7" ht="36" hidden="1" customHeight="1">
      <c r="B39" s="81"/>
      <c r="C39" s="82"/>
      <c r="D39" s="80"/>
      <c r="E39" s="79"/>
      <c r="F39" s="133" t="str">
        <f t="shared" si="1"/>
        <v>g</v>
      </c>
      <c r="G39" s="112"/>
    </row>
    <row r="40" spans="2:7" ht="36" hidden="1" customHeight="1">
      <c r="B40" s="81"/>
      <c r="C40" s="82"/>
      <c r="D40" s="80"/>
      <c r="E40" s="79"/>
      <c r="F40" s="133" t="str">
        <f t="shared" si="1"/>
        <v>g</v>
      </c>
      <c r="G40" s="112"/>
    </row>
    <row r="41" spans="2:7" ht="36" hidden="1" customHeight="1">
      <c r="B41" s="81"/>
      <c r="C41" s="82"/>
      <c r="D41" s="80"/>
      <c r="E41" s="79"/>
      <c r="F41" s="133" t="str">
        <f t="shared" si="1"/>
        <v>g</v>
      </c>
      <c r="G41" s="112"/>
    </row>
    <row r="42" spans="2:7" ht="36" hidden="1" customHeight="1">
      <c r="B42" s="81"/>
      <c r="C42" s="82"/>
      <c r="D42" s="80"/>
      <c r="E42" s="79"/>
      <c r="F42" s="133" t="str">
        <f t="shared" si="1"/>
        <v>g</v>
      </c>
      <c r="G42" s="112"/>
    </row>
    <row r="43" spans="2:7" ht="36" hidden="1" customHeight="1">
      <c r="B43" s="81"/>
      <c r="C43" s="82"/>
      <c r="D43" s="80"/>
      <c r="E43" s="79"/>
      <c r="F43" s="133" t="str">
        <f t="shared" si="1"/>
        <v>g</v>
      </c>
      <c r="G43" s="112"/>
    </row>
    <row r="44" spans="2:7" ht="36" hidden="1" customHeight="1">
      <c r="B44" s="81"/>
      <c r="C44" s="82"/>
      <c r="D44" s="80"/>
      <c r="E44" s="79"/>
      <c r="F44" s="133" t="str">
        <f t="shared" si="1"/>
        <v>g</v>
      </c>
      <c r="G44" s="112"/>
    </row>
    <row r="45" spans="2:7" ht="36" hidden="1" customHeight="1">
      <c r="B45" s="81"/>
      <c r="C45" s="82"/>
      <c r="D45" s="80"/>
      <c r="E45" s="79"/>
      <c r="F45" s="133" t="str">
        <f t="shared" si="1"/>
        <v>g</v>
      </c>
      <c r="G45" s="112"/>
    </row>
    <row r="46" spans="2:7" ht="36" hidden="1" customHeight="1">
      <c r="B46" s="81"/>
      <c r="C46" s="82"/>
      <c r="D46" s="80"/>
      <c r="E46" s="79"/>
      <c r="F46" s="133" t="str">
        <f t="shared" si="1"/>
        <v>g</v>
      </c>
      <c r="G46" s="112"/>
    </row>
    <row r="47" spans="2:7" ht="36" hidden="1" customHeight="1">
      <c r="B47" s="81"/>
      <c r="C47" s="82"/>
      <c r="D47" s="80"/>
      <c r="E47" s="79"/>
      <c r="F47" s="133" t="str">
        <f t="shared" si="1"/>
        <v>g</v>
      </c>
      <c r="G47" s="112"/>
    </row>
    <row r="48" spans="2:7" ht="36" hidden="1" customHeight="1">
      <c r="B48" s="81"/>
      <c r="C48" s="82"/>
      <c r="D48" s="80"/>
      <c r="E48" s="79"/>
      <c r="F48" s="133" t="str">
        <f t="shared" si="1"/>
        <v>g</v>
      </c>
      <c r="G48" s="112"/>
    </row>
    <row r="49" spans="2:17" ht="36" hidden="1" customHeight="1">
      <c r="B49" s="81"/>
      <c r="C49" s="82"/>
      <c r="D49" s="80"/>
      <c r="E49" s="79"/>
      <c r="F49" s="133" t="str">
        <f t="shared" si="1"/>
        <v>g</v>
      </c>
      <c r="G49" s="112"/>
    </row>
    <row r="50" spans="2:17" ht="36" hidden="1" customHeight="1">
      <c r="B50" s="81"/>
      <c r="C50" s="82"/>
      <c r="D50" s="80"/>
      <c r="E50" s="79"/>
      <c r="F50" s="133" t="str">
        <f t="shared" si="1"/>
        <v>g</v>
      </c>
      <c r="G50" s="112"/>
    </row>
    <row r="51" spans="2:17" ht="36" hidden="1" customHeight="1">
      <c r="B51" s="81"/>
      <c r="C51" s="82"/>
      <c r="D51" s="80"/>
      <c r="E51" s="79"/>
      <c r="F51" s="133" t="str">
        <f t="shared" si="1"/>
        <v>g</v>
      </c>
      <c r="G51" s="112"/>
    </row>
    <row r="52" spans="2:17" ht="36" hidden="1" customHeight="1">
      <c r="B52" s="81"/>
      <c r="C52" s="82"/>
      <c r="D52" s="80"/>
      <c r="E52" s="79"/>
      <c r="F52" s="133" t="str">
        <f t="shared" si="1"/>
        <v>g</v>
      </c>
      <c r="G52" s="112"/>
    </row>
    <row r="53" spans="2:17" ht="36" hidden="1" customHeight="1">
      <c r="B53" s="81"/>
      <c r="C53" s="82"/>
      <c r="D53" s="80"/>
      <c r="E53" s="79"/>
      <c r="F53" s="133" t="str">
        <f t="shared" si="1"/>
        <v>g</v>
      </c>
      <c r="G53" s="112"/>
    </row>
    <row r="54" spans="2:17" ht="36" hidden="1" customHeight="1">
      <c r="B54" s="81"/>
      <c r="C54" s="82"/>
      <c r="D54" s="80"/>
      <c r="E54" s="79"/>
      <c r="F54" s="133" t="str">
        <f t="shared" si="1"/>
        <v>g</v>
      </c>
      <c r="G54" s="112"/>
    </row>
    <row r="55" spans="2:17" ht="36" hidden="1" customHeight="1">
      <c r="B55" s="81"/>
      <c r="C55" s="82"/>
      <c r="D55" s="80"/>
      <c r="E55" s="79"/>
      <c r="F55" s="133" t="str">
        <f t="shared" si="1"/>
        <v>g</v>
      </c>
      <c r="G55" s="112"/>
    </row>
    <row r="56" spans="2:17" ht="36" hidden="1" customHeight="1">
      <c r="B56" s="81"/>
      <c r="C56" s="82"/>
      <c r="D56" s="80"/>
      <c r="E56" s="79"/>
      <c r="F56" s="133" t="str">
        <f t="shared" si="1"/>
        <v>g</v>
      </c>
      <c r="G56" s="112"/>
    </row>
    <row r="57" spans="2:17" ht="36" hidden="1" customHeight="1">
      <c r="B57" s="81"/>
      <c r="C57" s="82"/>
      <c r="D57" s="80"/>
      <c r="E57" s="79"/>
      <c r="F57" s="133" t="str">
        <f t="shared" si="1"/>
        <v>g</v>
      </c>
      <c r="G57" s="112"/>
    </row>
    <row r="58" spans="2:17" ht="36" customHeight="1" thickBot="1">
      <c r="B58" s="83"/>
      <c r="C58" s="84"/>
      <c r="D58" s="85"/>
      <c r="E58" s="86"/>
      <c r="F58" s="134" t="str">
        <f t="shared" si="1"/>
        <v>g</v>
      </c>
      <c r="G58" s="114"/>
    </row>
    <row r="59" spans="2:17" s="4" customFormat="1" ht="32.1" customHeight="1">
      <c r="B59" s="2"/>
      <c r="C59" s="2"/>
      <c r="D59" s="2"/>
      <c r="E59" s="5"/>
      <c r="F59" s="8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8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8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8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8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8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8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8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EE03-B2CC-4D30-955F-367D33D3E023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8" customWidth="1"/>
    <col min="7" max="7" width="7.6640625" style="4" customWidth="1"/>
    <col min="8" max="17" width="7.6640625" style="1" customWidth="1"/>
    <col min="18" max="16384" width="13.109375" style="3"/>
  </cols>
  <sheetData>
    <row r="1" spans="2:17" ht="48" customHeight="1" thickBot="1">
      <c r="B1" s="171" t="s">
        <v>13</v>
      </c>
      <c r="C1" s="172"/>
      <c r="D1" s="172"/>
      <c r="E1" s="172"/>
      <c r="F1" s="172"/>
      <c r="G1" s="151"/>
      <c r="H1" s="151"/>
    </row>
    <row r="2" spans="2:17" ht="50.1" customHeight="1">
      <c r="B2" s="152"/>
      <c r="C2" s="153"/>
      <c r="D2" s="153"/>
      <c r="E2" s="60"/>
      <c r="F2" s="129" t="s">
        <v>4</v>
      </c>
      <c r="G2" s="23"/>
    </row>
    <row r="3" spans="2:17" s="4" customFormat="1" ht="36" customHeight="1" thickBot="1">
      <c r="B3" s="10"/>
      <c r="C3" s="11"/>
      <c r="D3" s="9" t="s">
        <v>10</v>
      </c>
      <c r="E3" s="169" t="s">
        <v>0</v>
      </c>
      <c r="F3" s="170"/>
      <c r="G3" s="21" t="s">
        <v>23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03">
        <v>1</v>
      </c>
      <c r="C4" s="104" t="s">
        <v>18</v>
      </c>
      <c r="D4" s="66">
        <v>1</v>
      </c>
      <c r="E4" s="105" t="str">
        <f t="shared" ref="E4:E7" si="0">IF($E$2=0, "", D4*$E$2)</f>
        <v/>
      </c>
      <c r="F4" s="130" t="str">
        <f>$F$2</f>
        <v>g</v>
      </c>
      <c r="G4" s="111"/>
    </row>
    <row r="5" spans="2:17" ht="36" customHeight="1">
      <c r="B5" s="106">
        <f>D5</f>
        <v>0</v>
      </c>
      <c r="C5" s="107" t="s">
        <v>17</v>
      </c>
      <c r="D5" s="115"/>
      <c r="E5" s="109" t="str">
        <f t="shared" si="0"/>
        <v/>
      </c>
      <c r="F5" s="131" t="str">
        <f t="shared" ref="F5:F58" si="1">$F$2</f>
        <v>g</v>
      </c>
      <c r="G5" s="112"/>
    </row>
    <row r="6" spans="2:17" ht="36" customHeight="1">
      <c r="B6" s="106">
        <f>D6</f>
        <v>1</v>
      </c>
      <c r="C6" s="107" t="s">
        <v>32</v>
      </c>
      <c r="D6" s="108">
        <v>1</v>
      </c>
      <c r="E6" s="109">
        <v>50</v>
      </c>
      <c r="F6" s="131" t="str">
        <f t="shared" si="1"/>
        <v>g</v>
      </c>
      <c r="G6" s="112"/>
    </row>
    <row r="7" spans="2:17" ht="36" customHeight="1" thickBot="1">
      <c r="B7" s="77">
        <f>D7</f>
        <v>1</v>
      </c>
      <c r="C7" s="68" t="s">
        <v>20</v>
      </c>
      <c r="D7" s="69">
        <v>1</v>
      </c>
      <c r="E7" s="109" t="str">
        <f t="shared" si="0"/>
        <v/>
      </c>
      <c r="F7" s="132" t="str">
        <f t="shared" si="1"/>
        <v>g</v>
      </c>
      <c r="G7" s="113"/>
    </row>
    <row r="8" spans="2:17" ht="36" customHeight="1" thickTop="1">
      <c r="B8" s="167" t="s">
        <v>22</v>
      </c>
      <c r="C8" s="168"/>
      <c r="D8" s="66">
        <f>D5+G6+G7+SUM(D10:D58)</f>
        <v>0</v>
      </c>
      <c r="E8" s="110" t="str">
        <f>IF($E$2=0, "", D8*$E$2)</f>
        <v/>
      </c>
      <c r="F8" s="130" t="str">
        <f t="shared" si="1"/>
        <v>g</v>
      </c>
      <c r="G8" s="111"/>
    </row>
    <row r="9" spans="2:17" ht="36" customHeight="1">
      <c r="B9" s="81"/>
      <c r="C9" s="82"/>
      <c r="D9" s="80"/>
      <c r="E9" s="79"/>
      <c r="F9" s="133" t="str">
        <f t="shared" si="1"/>
        <v>g</v>
      </c>
      <c r="G9" s="112"/>
    </row>
    <row r="10" spans="2:17" ht="36" customHeight="1">
      <c r="B10" s="81"/>
      <c r="C10" s="82"/>
      <c r="D10" s="80"/>
      <c r="E10" s="79"/>
      <c r="F10" s="133" t="str">
        <f t="shared" si="1"/>
        <v>g</v>
      </c>
      <c r="G10" s="112"/>
    </row>
    <row r="11" spans="2:17" ht="36" customHeight="1">
      <c r="B11" s="81"/>
      <c r="C11" s="82"/>
      <c r="D11" s="80"/>
      <c r="E11" s="79"/>
      <c r="F11" s="133" t="str">
        <f t="shared" si="1"/>
        <v>g</v>
      </c>
      <c r="G11" s="112"/>
    </row>
    <row r="12" spans="2:17" ht="36" customHeight="1">
      <c r="B12" s="81"/>
      <c r="C12" s="82"/>
      <c r="D12" s="80"/>
      <c r="E12" s="79"/>
      <c r="F12" s="133" t="str">
        <f t="shared" si="1"/>
        <v>g</v>
      </c>
      <c r="G12" s="112"/>
    </row>
    <row r="13" spans="2:17" ht="36" customHeight="1">
      <c r="B13" s="81"/>
      <c r="C13" s="82"/>
      <c r="D13" s="80"/>
      <c r="E13" s="79"/>
      <c r="F13" s="133" t="str">
        <f t="shared" si="1"/>
        <v>g</v>
      </c>
      <c r="G13" s="112"/>
    </row>
    <row r="14" spans="2:17" ht="36" customHeight="1">
      <c r="B14" s="81"/>
      <c r="C14" s="82"/>
      <c r="D14" s="80"/>
      <c r="E14" s="79"/>
      <c r="F14" s="133" t="str">
        <f t="shared" si="1"/>
        <v>g</v>
      </c>
      <c r="G14" s="112"/>
    </row>
    <row r="15" spans="2:17" ht="36" customHeight="1">
      <c r="B15" s="81"/>
      <c r="C15" s="82"/>
      <c r="D15" s="80"/>
      <c r="E15" s="79"/>
      <c r="F15" s="133" t="str">
        <f t="shared" si="1"/>
        <v>g</v>
      </c>
      <c r="G15" s="112"/>
    </row>
    <row r="16" spans="2:17" ht="36" customHeight="1">
      <c r="B16" s="81"/>
      <c r="C16" s="82"/>
      <c r="D16" s="80"/>
      <c r="E16" s="79"/>
      <c r="F16" s="133" t="str">
        <f t="shared" si="1"/>
        <v>g</v>
      </c>
      <c r="G16" s="112"/>
    </row>
    <row r="17" spans="2:7" ht="36" customHeight="1">
      <c r="B17" s="81"/>
      <c r="C17" s="82"/>
      <c r="D17" s="80"/>
      <c r="E17" s="79"/>
      <c r="F17" s="133" t="str">
        <f t="shared" si="1"/>
        <v>g</v>
      </c>
      <c r="G17" s="112"/>
    </row>
    <row r="18" spans="2:7" ht="36" customHeight="1">
      <c r="B18" s="81"/>
      <c r="C18" s="82"/>
      <c r="D18" s="80"/>
      <c r="E18" s="79"/>
      <c r="F18" s="133" t="str">
        <f t="shared" si="1"/>
        <v>g</v>
      </c>
      <c r="G18" s="112"/>
    </row>
    <row r="19" spans="2:7" ht="36" customHeight="1">
      <c r="B19" s="81"/>
      <c r="C19" s="82"/>
      <c r="D19" s="80"/>
      <c r="E19" s="79"/>
      <c r="F19" s="133" t="str">
        <f t="shared" si="1"/>
        <v>g</v>
      </c>
      <c r="G19" s="112"/>
    </row>
    <row r="20" spans="2:7" ht="36" customHeight="1">
      <c r="B20" s="81"/>
      <c r="C20" s="82"/>
      <c r="D20" s="80"/>
      <c r="E20" s="79"/>
      <c r="F20" s="133" t="str">
        <f t="shared" si="1"/>
        <v>g</v>
      </c>
      <c r="G20" s="112"/>
    </row>
    <row r="21" spans="2:7" ht="36" customHeight="1">
      <c r="B21" s="81"/>
      <c r="C21" s="82"/>
      <c r="D21" s="80"/>
      <c r="E21" s="79"/>
      <c r="F21" s="133" t="str">
        <f t="shared" si="1"/>
        <v>g</v>
      </c>
      <c r="G21" s="112"/>
    </row>
    <row r="22" spans="2:7" ht="36" customHeight="1">
      <c r="B22" s="81"/>
      <c r="C22" s="82"/>
      <c r="D22" s="80"/>
      <c r="E22" s="79"/>
      <c r="F22" s="133" t="str">
        <f t="shared" si="1"/>
        <v>g</v>
      </c>
      <c r="G22" s="112"/>
    </row>
    <row r="23" spans="2:7" ht="36" customHeight="1">
      <c r="B23" s="81"/>
      <c r="C23" s="82"/>
      <c r="D23" s="80"/>
      <c r="E23" s="79"/>
      <c r="F23" s="133" t="str">
        <f t="shared" si="1"/>
        <v>g</v>
      </c>
      <c r="G23" s="112"/>
    </row>
    <row r="24" spans="2:7" ht="36" customHeight="1">
      <c r="B24" s="81"/>
      <c r="C24" s="82"/>
      <c r="D24" s="80"/>
      <c r="E24" s="79"/>
      <c r="F24" s="133" t="str">
        <f t="shared" si="1"/>
        <v>g</v>
      </c>
      <c r="G24" s="112"/>
    </row>
    <row r="25" spans="2:7" ht="36" customHeight="1">
      <c r="B25" s="81"/>
      <c r="C25" s="82"/>
      <c r="D25" s="80"/>
      <c r="E25" s="79"/>
      <c r="F25" s="133" t="str">
        <f t="shared" si="1"/>
        <v>g</v>
      </c>
      <c r="G25" s="112"/>
    </row>
    <row r="26" spans="2:7" ht="36" hidden="1" customHeight="1">
      <c r="B26" s="81"/>
      <c r="C26" s="82"/>
      <c r="D26" s="80"/>
      <c r="E26" s="79"/>
      <c r="F26" s="133" t="str">
        <f t="shared" si="1"/>
        <v>g</v>
      </c>
      <c r="G26" s="112"/>
    </row>
    <row r="27" spans="2:7" ht="36" hidden="1" customHeight="1">
      <c r="B27" s="81"/>
      <c r="C27" s="82"/>
      <c r="D27" s="80"/>
      <c r="E27" s="79"/>
      <c r="F27" s="133" t="str">
        <f t="shared" si="1"/>
        <v>g</v>
      </c>
      <c r="G27" s="112"/>
    </row>
    <row r="28" spans="2:7" ht="36" hidden="1" customHeight="1">
      <c r="B28" s="81"/>
      <c r="C28" s="82"/>
      <c r="D28" s="80"/>
      <c r="E28" s="79"/>
      <c r="F28" s="133" t="str">
        <f t="shared" si="1"/>
        <v>g</v>
      </c>
      <c r="G28" s="112"/>
    </row>
    <row r="29" spans="2:7" ht="36" hidden="1" customHeight="1">
      <c r="B29" s="81"/>
      <c r="C29" s="82"/>
      <c r="D29" s="80"/>
      <c r="E29" s="79"/>
      <c r="F29" s="133" t="str">
        <f t="shared" si="1"/>
        <v>g</v>
      </c>
      <c r="G29" s="112"/>
    </row>
    <row r="30" spans="2:7" ht="36" hidden="1" customHeight="1">
      <c r="B30" s="81"/>
      <c r="C30" s="82"/>
      <c r="D30" s="80"/>
      <c r="E30" s="79"/>
      <c r="F30" s="133" t="str">
        <f t="shared" si="1"/>
        <v>g</v>
      </c>
      <c r="G30" s="112"/>
    </row>
    <row r="31" spans="2:7" ht="36" hidden="1" customHeight="1">
      <c r="B31" s="81"/>
      <c r="C31" s="82"/>
      <c r="D31" s="80"/>
      <c r="E31" s="79"/>
      <c r="F31" s="133" t="str">
        <f t="shared" si="1"/>
        <v>g</v>
      </c>
      <c r="G31" s="112"/>
    </row>
    <row r="32" spans="2:7" ht="36" hidden="1" customHeight="1">
      <c r="B32" s="81"/>
      <c r="C32" s="82"/>
      <c r="D32" s="80"/>
      <c r="E32" s="79"/>
      <c r="F32" s="133" t="str">
        <f t="shared" si="1"/>
        <v>g</v>
      </c>
      <c r="G32" s="112"/>
    </row>
    <row r="33" spans="2:7" ht="36" hidden="1" customHeight="1">
      <c r="B33" s="81"/>
      <c r="C33" s="82"/>
      <c r="D33" s="80"/>
      <c r="E33" s="79"/>
      <c r="F33" s="133" t="str">
        <f t="shared" si="1"/>
        <v>g</v>
      </c>
      <c r="G33" s="112"/>
    </row>
    <row r="34" spans="2:7" ht="36" hidden="1" customHeight="1">
      <c r="B34" s="81"/>
      <c r="C34" s="82"/>
      <c r="D34" s="80"/>
      <c r="E34" s="79"/>
      <c r="F34" s="133" t="str">
        <f t="shared" si="1"/>
        <v>g</v>
      </c>
      <c r="G34" s="112"/>
    </row>
    <row r="35" spans="2:7" ht="36" hidden="1" customHeight="1">
      <c r="B35" s="81"/>
      <c r="C35" s="82"/>
      <c r="D35" s="80"/>
      <c r="E35" s="79"/>
      <c r="F35" s="133" t="str">
        <f t="shared" si="1"/>
        <v>g</v>
      </c>
      <c r="G35" s="112"/>
    </row>
    <row r="36" spans="2:7" ht="36" hidden="1" customHeight="1">
      <c r="B36" s="81"/>
      <c r="C36" s="82"/>
      <c r="D36" s="80"/>
      <c r="E36" s="79"/>
      <c r="F36" s="133" t="str">
        <f t="shared" si="1"/>
        <v>g</v>
      </c>
      <c r="G36" s="112"/>
    </row>
    <row r="37" spans="2:7" ht="36" hidden="1" customHeight="1">
      <c r="B37" s="81"/>
      <c r="C37" s="82"/>
      <c r="D37" s="80"/>
      <c r="E37" s="79"/>
      <c r="F37" s="133" t="str">
        <f t="shared" si="1"/>
        <v>g</v>
      </c>
      <c r="G37" s="112"/>
    </row>
    <row r="38" spans="2:7" ht="36" hidden="1" customHeight="1">
      <c r="B38" s="81"/>
      <c r="C38" s="82"/>
      <c r="D38" s="80"/>
      <c r="E38" s="79"/>
      <c r="F38" s="133" t="str">
        <f t="shared" si="1"/>
        <v>g</v>
      </c>
      <c r="G38" s="112"/>
    </row>
    <row r="39" spans="2:7" ht="36" hidden="1" customHeight="1">
      <c r="B39" s="81"/>
      <c r="C39" s="82"/>
      <c r="D39" s="80"/>
      <c r="E39" s="79"/>
      <c r="F39" s="133" t="str">
        <f t="shared" si="1"/>
        <v>g</v>
      </c>
      <c r="G39" s="112"/>
    </row>
    <row r="40" spans="2:7" ht="36" hidden="1" customHeight="1">
      <c r="B40" s="81"/>
      <c r="C40" s="82"/>
      <c r="D40" s="80"/>
      <c r="E40" s="79"/>
      <c r="F40" s="133" t="str">
        <f t="shared" si="1"/>
        <v>g</v>
      </c>
      <c r="G40" s="112"/>
    </row>
    <row r="41" spans="2:7" ht="36" hidden="1" customHeight="1">
      <c r="B41" s="81"/>
      <c r="C41" s="82"/>
      <c r="D41" s="80"/>
      <c r="E41" s="79"/>
      <c r="F41" s="133" t="str">
        <f t="shared" si="1"/>
        <v>g</v>
      </c>
      <c r="G41" s="112"/>
    </row>
    <row r="42" spans="2:7" ht="36" hidden="1" customHeight="1">
      <c r="B42" s="81"/>
      <c r="C42" s="82"/>
      <c r="D42" s="80"/>
      <c r="E42" s="79"/>
      <c r="F42" s="133" t="str">
        <f t="shared" si="1"/>
        <v>g</v>
      </c>
      <c r="G42" s="112"/>
    </row>
    <row r="43" spans="2:7" ht="36" hidden="1" customHeight="1">
      <c r="B43" s="81"/>
      <c r="C43" s="82"/>
      <c r="D43" s="80"/>
      <c r="E43" s="79"/>
      <c r="F43" s="133" t="str">
        <f t="shared" si="1"/>
        <v>g</v>
      </c>
      <c r="G43" s="112"/>
    </row>
    <row r="44" spans="2:7" ht="36" hidden="1" customHeight="1">
      <c r="B44" s="81"/>
      <c r="C44" s="82"/>
      <c r="D44" s="80"/>
      <c r="E44" s="79"/>
      <c r="F44" s="133" t="str">
        <f t="shared" si="1"/>
        <v>g</v>
      </c>
      <c r="G44" s="112"/>
    </row>
    <row r="45" spans="2:7" ht="36" hidden="1" customHeight="1">
      <c r="B45" s="81"/>
      <c r="C45" s="82"/>
      <c r="D45" s="80"/>
      <c r="E45" s="79"/>
      <c r="F45" s="133" t="str">
        <f t="shared" si="1"/>
        <v>g</v>
      </c>
      <c r="G45" s="112"/>
    </row>
    <row r="46" spans="2:7" ht="36" hidden="1" customHeight="1">
      <c r="B46" s="81"/>
      <c r="C46" s="82"/>
      <c r="D46" s="80"/>
      <c r="E46" s="79"/>
      <c r="F46" s="133" t="str">
        <f t="shared" si="1"/>
        <v>g</v>
      </c>
      <c r="G46" s="112"/>
    </row>
    <row r="47" spans="2:7" ht="36" hidden="1" customHeight="1">
      <c r="B47" s="81"/>
      <c r="C47" s="82"/>
      <c r="D47" s="80"/>
      <c r="E47" s="79"/>
      <c r="F47" s="133" t="str">
        <f t="shared" si="1"/>
        <v>g</v>
      </c>
      <c r="G47" s="112"/>
    </row>
    <row r="48" spans="2:7" ht="36" hidden="1" customHeight="1">
      <c r="B48" s="81"/>
      <c r="C48" s="82"/>
      <c r="D48" s="80"/>
      <c r="E48" s="79"/>
      <c r="F48" s="133" t="str">
        <f t="shared" si="1"/>
        <v>g</v>
      </c>
      <c r="G48" s="112"/>
    </row>
    <row r="49" spans="2:17" ht="36" hidden="1" customHeight="1">
      <c r="B49" s="81"/>
      <c r="C49" s="82"/>
      <c r="D49" s="80"/>
      <c r="E49" s="79"/>
      <c r="F49" s="133" t="str">
        <f t="shared" si="1"/>
        <v>g</v>
      </c>
      <c r="G49" s="112"/>
    </row>
    <row r="50" spans="2:17" ht="36" hidden="1" customHeight="1">
      <c r="B50" s="81"/>
      <c r="C50" s="82"/>
      <c r="D50" s="80"/>
      <c r="E50" s="79"/>
      <c r="F50" s="133" t="str">
        <f t="shared" si="1"/>
        <v>g</v>
      </c>
      <c r="G50" s="112"/>
    </row>
    <row r="51" spans="2:17" ht="36" hidden="1" customHeight="1">
      <c r="B51" s="81"/>
      <c r="C51" s="82"/>
      <c r="D51" s="80"/>
      <c r="E51" s="79"/>
      <c r="F51" s="133" t="str">
        <f t="shared" si="1"/>
        <v>g</v>
      </c>
      <c r="G51" s="112"/>
    </row>
    <row r="52" spans="2:17" ht="36" hidden="1" customHeight="1">
      <c r="B52" s="81"/>
      <c r="C52" s="82"/>
      <c r="D52" s="80"/>
      <c r="E52" s="79"/>
      <c r="F52" s="133" t="str">
        <f t="shared" si="1"/>
        <v>g</v>
      </c>
      <c r="G52" s="112"/>
    </row>
    <row r="53" spans="2:17" ht="36" hidden="1" customHeight="1">
      <c r="B53" s="81"/>
      <c r="C53" s="82"/>
      <c r="D53" s="80"/>
      <c r="E53" s="79"/>
      <c r="F53" s="133" t="str">
        <f t="shared" si="1"/>
        <v>g</v>
      </c>
      <c r="G53" s="112"/>
    </row>
    <row r="54" spans="2:17" ht="36" hidden="1" customHeight="1">
      <c r="B54" s="81"/>
      <c r="C54" s="82"/>
      <c r="D54" s="80"/>
      <c r="E54" s="79"/>
      <c r="F54" s="133" t="str">
        <f t="shared" si="1"/>
        <v>g</v>
      </c>
      <c r="G54" s="112"/>
    </row>
    <row r="55" spans="2:17" ht="36" hidden="1" customHeight="1">
      <c r="B55" s="81"/>
      <c r="C55" s="82"/>
      <c r="D55" s="80"/>
      <c r="E55" s="79"/>
      <c r="F55" s="133" t="str">
        <f t="shared" si="1"/>
        <v>g</v>
      </c>
      <c r="G55" s="112"/>
    </row>
    <row r="56" spans="2:17" ht="36" hidden="1" customHeight="1">
      <c r="B56" s="81"/>
      <c r="C56" s="82"/>
      <c r="D56" s="80"/>
      <c r="E56" s="79"/>
      <c r="F56" s="133" t="str">
        <f t="shared" si="1"/>
        <v>g</v>
      </c>
      <c r="G56" s="112"/>
    </row>
    <row r="57" spans="2:17" ht="36" hidden="1" customHeight="1">
      <c r="B57" s="81"/>
      <c r="C57" s="82"/>
      <c r="D57" s="80"/>
      <c r="E57" s="79"/>
      <c r="F57" s="133" t="str">
        <f t="shared" si="1"/>
        <v>g</v>
      </c>
      <c r="G57" s="112"/>
    </row>
    <row r="58" spans="2:17" ht="36" customHeight="1" thickBot="1">
      <c r="B58" s="83"/>
      <c r="C58" s="84"/>
      <c r="D58" s="85"/>
      <c r="E58" s="86"/>
      <c r="F58" s="134" t="str">
        <f t="shared" si="1"/>
        <v>g</v>
      </c>
      <c r="G58" s="114"/>
    </row>
    <row r="59" spans="2:17" s="4" customFormat="1" ht="32.1" customHeight="1">
      <c r="B59" s="2"/>
      <c r="C59" s="2"/>
      <c r="D59" s="2"/>
      <c r="E59" s="5"/>
      <c r="F59" s="8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5"/>
      <c r="F60" s="8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8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8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8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8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8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8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常食</vt:lpstr>
      <vt:lpstr>薄味</vt:lpstr>
      <vt:lpstr>ソフト</vt:lpstr>
      <vt:lpstr>ソフト(液)</vt:lpstr>
      <vt:lpstr>ミキサー</vt:lpstr>
      <vt:lpstr>ミキサー(液)</vt:lpstr>
      <vt:lpstr>ゼリー</vt:lpstr>
      <vt:lpstr>ゼリー(液)</vt:lpstr>
      <vt:lpstr>常食!Print_Area</vt:lpstr>
      <vt:lpstr>薄味!Print_Area</vt:lpstr>
      <vt:lpstr>ゼリー!Print_Titles</vt:lpstr>
      <vt:lpstr>'ゼリー(液)'!Print_Titles</vt:lpstr>
      <vt:lpstr>ソフト!Print_Titles</vt:lpstr>
      <vt:lpstr>'ソフト(液)'!Print_Titles</vt:lpstr>
      <vt:lpstr>ミキサー!Print_Titles</vt:lpstr>
      <vt:lpstr>'ミキサー(液)'!Print_Titles</vt:lpstr>
      <vt:lpstr>常食!Print_Titles</vt:lpstr>
      <vt:lpstr>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Daisuke Kato</cp:lastModifiedBy>
  <cp:lastPrinted>2022-10-06T05:50:47Z</cp:lastPrinted>
  <dcterms:created xsi:type="dcterms:W3CDTF">2022-04-09T08:43:38Z</dcterms:created>
  <dcterms:modified xsi:type="dcterms:W3CDTF">2024-11-13T04:43:39Z</dcterms:modified>
</cp:coreProperties>
</file>