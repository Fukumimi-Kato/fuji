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57F45DA5-B395-4D44-AE38-5525ECF20B5B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常食" sheetId="3" r:id="rId1"/>
    <sheet name="具_薄味" sheetId="4" r:id="rId2"/>
    <sheet name="具_ソフト" sheetId="5" r:id="rId3"/>
    <sheet name="具_ミキサー" sheetId="6" r:id="rId4"/>
    <sheet name="具_ゼリー" sheetId="7" r:id="rId5"/>
    <sheet name="汁_常食" sheetId="10" r:id="rId6"/>
    <sheet name="汁_薄味" sheetId="11" r:id="rId7"/>
  </sheets>
  <definedNames>
    <definedName name="_xlnm.Print_Area" localSheetId="4">具_ゼリー!$A$1:$J$59</definedName>
    <definedName name="_xlnm.Print_Area" localSheetId="2">具_ソフト!$A$1:$J$59</definedName>
    <definedName name="_xlnm.Print_Area" localSheetId="3">具_ミキサー!$A$1:$J$59</definedName>
    <definedName name="_xlnm.Print_Area" localSheetId="0">具_常食!$A$1:$H$84</definedName>
    <definedName name="_xlnm.Print_Area" localSheetId="1">具_薄味!$A$1:$G$61</definedName>
    <definedName name="_xlnm.Print_Area" localSheetId="5">汁_常食!$A$1:$N$56</definedName>
    <definedName name="_xlnm.Print_Area" localSheetId="6">汁_薄味!$A$1:$N$56</definedName>
    <definedName name="_xlnm.Print_Titles" localSheetId="4">具_ゼリー!$1:$3</definedName>
    <definedName name="_xlnm.Print_Titles" localSheetId="2">具_ソフト!$1:$3</definedName>
    <definedName name="_xlnm.Print_Titles" localSheetId="3">具_ミキサー!$1:$3</definedName>
    <definedName name="_xlnm.Print_Titles" localSheetId="0">具_常食!$1:$3</definedName>
    <definedName name="_xlnm.Print_Titles" localSheetId="1">具_薄味!$1:$3</definedName>
    <definedName name="_xlnm.Print_Titles" localSheetId="5">汁_常食!$1:$3</definedName>
    <definedName name="_xlnm.Print_Titles" localSheetId="6">汁_薄味!$1:$3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7" l="1"/>
  <c r="D8" i="6"/>
  <c r="D8" i="5"/>
  <c r="H7" i="3"/>
  <c r="F7" i="3"/>
  <c r="H6" i="7"/>
  <c r="F6" i="7"/>
  <c r="B6" i="7"/>
  <c r="H6" i="6"/>
  <c r="F6" i="6"/>
  <c r="B6" i="6"/>
  <c r="H6" i="5"/>
  <c r="F6" i="5"/>
  <c r="B6" i="5"/>
  <c r="H7" i="4"/>
  <c r="F7" i="4"/>
  <c r="I6" i="10"/>
  <c r="D6" i="10"/>
  <c r="H71" i="3"/>
  <c r="G71" i="3"/>
  <c r="F71" i="3"/>
  <c r="H70" i="3"/>
  <c r="G70" i="3"/>
  <c r="F70" i="3"/>
  <c r="H69" i="3"/>
  <c r="G69" i="3"/>
  <c r="F69" i="3"/>
  <c r="H68" i="3"/>
  <c r="G68" i="3"/>
  <c r="F68" i="3"/>
  <c r="E68" i="3"/>
  <c r="H67" i="3"/>
  <c r="G67" i="3"/>
  <c r="F67" i="3"/>
  <c r="H66" i="3"/>
  <c r="G66" i="3"/>
  <c r="F66" i="3"/>
  <c r="E66" i="3"/>
  <c r="H65" i="3"/>
  <c r="E65" i="3" s="1"/>
  <c r="G65" i="3"/>
  <c r="F65" i="3"/>
  <c r="H64" i="3"/>
  <c r="E64" i="3" s="1"/>
  <c r="G64" i="3"/>
  <c r="F64" i="3"/>
  <c r="H63" i="3"/>
  <c r="G63" i="3"/>
  <c r="F63" i="3"/>
  <c r="H62" i="3"/>
  <c r="G62" i="3"/>
  <c r="F62" i="3"/>
  <c r="H61" i="3"/>
  <c r="G61" i="3"/>
  <c r="F61" i="3"/>
  <c r="H60" i="3"/>
  <c r="E60" i="3" s="1"/>
  <c r="G60" i="3"/>
  <c r="F60" i="3"/>
  <c r="H59" i="3"/>
  <c r="G59" i="3"/>
  <c r="F59" i="3"/>
  <c r="H58" i="3"/>
  <c r="E58" i="3" s="1"/>
  <c r="G58" i="3"/>
  <c r="F58" i="3"/>
  <c r="H57" i="3"/>
  <c r="G57" i="3"/>
  <c r="F57" i="3"/>
  <c r="H56" i="3"/>
  <c r="G56" i="3"/>
  <c r="F56" i="3"/>
  <c r="H55" i="3"/>
  <c r="G55" i="3"/>
  <c r="F55" i="3"/>
  <c r="H54" i="3"/>
  <c r="G54" i="3"/>
  <c r="E54" i="3" s="1"/>
  <c r="F54" i="3"/>
  <c r="H53" i="3"/>
  <c r="G53" i="3"/>
  <c r="F53" i="3"/>
  <c r="H52" i="3"/>
  <c r="E52" i="3" s="1"/>
  <c r="G52" i="3"/>
  <c r="F52" i="3"/>
  <c r="H51" i="3"/>
  <c r="G51" i="3"/>
  <c r="F51" i="3"/>
  <c r="H50" i="3"/>
  <c r="G50" i="3"/>
  <c r="E50" i="3" s="1"/>
  <c r="F50" i="3"/>
  <c r="H49" i="3"/>
  <c r="E49" i="3" s="1"/>
  <c r="G49" i="3"/>
  <c r="F49" i="3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50" i="6"/>
  <c r="G50" i="6"/>
  <c r="F50" i="6"/>
  <c r="H51" i="6"/>
  <c r="G51" i="6"/>
  <c r="F51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E53" i="3" l="1"/>
  <c r="E56" i="3"/>
  <c r="E59" i="3"/>
  <c r="E69" i="3"/>
  <c r="E62" i="3"/>
  <c r="E70" i="3"/>
  <c r="E51" i="3"/>
  <c r="E67" i="3"/>
  <c r="E61" i="3"/>
  <c r="E57" i="3"/>
  <c r="E63" i="3"/>
  <c r="E55" i="3"/>
  <c r="E71" i="3"/>
  <c r="E17" i="3"/>
  <c r="G61" i="4"/>
  <c r="E61" i="4" s="1"/>
  <c r="G60" i="4"/>
  <c r="E60" i="4" s="1"/>
  <c r="G59" i="4"/>
  <c r="E59" i="4" s="1"/>
  <c r="G58" i="4"/>
  <c r="E58" i="4" s="1"/>
  <c r="G57" i="4"/>
  <c r="E57" i="4" s="1"/>
  <c r="G56" i="4"/>
  <c r="E56" i="4" s="1"/>
  <c r="G55" i="4"/>
  <c r="E55" i="4" s="1"/>
  <c r="G54" i="4"/>
  <c r="E54" i="4" s="1"/>
  <c r="G53" i="4"/>
  <c r="E53" i="4" s="1"/>
  <c r="G52" i="4"/>
  <c r="E52" i="4" s="1"/>
  <c r="G51" i="4"/>
  <c r="E51" i="4" s="1"/>
  <c r="G50" i="4"/>
  <c r="E50" i="4" s="1"/>
  <c r="G49" i="4"/>
  <c r="E49" i="4" s="1"/>
  <c r="G48" i="4"/>
  <c r="E48" i="4" s="1"/>
  <c r="G47" i="4"/>
  <c r="E47" i="4" s="1"/>
  <c r="G46" i="4"/>
  <c r="E46" i="4" s="1"/>
  <c r="G45" i="4"/>
  <c r="E45" i="4" s="1"/>
  <c r="G44" i="4"/>
  <c r="E44" i="4" s="1"/>
  <c r="G43" i="4"/>
  <c r="E43" i="4" s="1"/>
  <c r="G42" i="4"/>
  <c r="E42" i="4" s="1"/>
  <c r="G41" i="4"/>
  <c r="E41" i="4" s="1"/>
  <c r="G40" i="4"/>
  <c r="E40" i="4" s="1"/>
  <c r="G39" i="4"/>
  <c r="E39" i="4" s="1"/>
  <c r="G38" i="4"/>
  <c r="E38" i="4" s="1"/>
  <c r="G37" i="4"/>
  <c r="E37" i="4" s="1"/>
  <c r="G36" i="4"/>
  <c r="E36" i="4" s="1"/>
  <c r="G35" i="4"/>
  <c r="E35" i="4" s="1"/>
  <c r="G34" i="4"/>
  <c r="E34" i="4" s="1"/>
  <c r="G33" i="4"/>
  <c r="E33" i="4" s="1"/>
  <c r="G32" i="4"/>
  <c r="E32" i="4" s="1"/>
  <c r="G31" i="4"/>
  <c r="E31" i="4" s="1"/>
  <c r="G30" i="4"/>
  <c r="E30" i="4" s="1"/>
  <c r="G29" i="4"/>
  <c r="E29" i="4" s="1"/>
  <c r="G28" i="4"/>
  <c r="E28" i="4" s="1"/>
  <c r="G27" i="4"/>
  <c r="E27" i="4" s="1"/>
  <c r="G26" i="4"/>
  <c r="E26" i="4" s="1"/>
  <c r="G25" i="4"/>
  <c r="E25" i="4" s="1"/>
  <c r="G24" i="4"/>
  <c r="E24" i="4" s="1"/>
  <c r="G23" i="4"/>
  <c r="E23" i="4" s="1"/>
  <c r="G22" i="4"/>
  <c r="E22" i="4" s="1"/>
  <c r="G21" i="4"/>
  <c r="E21" i="4" s="1"/>
  <c r="G20" i="4"/>
  <c r="E20" i="4" s="1"/>
  <c r="G19" i="4"/>
  <c r="E19" i="4" s="1"/>
  <c r="G18" i="4"/>
  <c r="E18" i="4" s="1"/>
  <c r="G17" i="4"/>
  <c r="E17" i="4" s="1"/>
  <c r="G16" i="4"/>
  <c r="E16" i="4" s="1"/>
  <c r="G15" i="4"/>
  <c r="E15" i="4" s="1"/>
  <c r="G14" i="4"/>
  <c r="E14" i="4" s="1"/>
  <c r="G13" i="4"/>
  <c r="E13" i="4" s="1"/>
  <c r="G84" i="3"/>
  <c r="E84" i="3" s="1"/>
  <c r="G83" i="3"/>
  <c r="E83" i="3" s="1"/>
  <c r="G82" i="3"/>
  <c r="E82" i="3" s="1"/>
  <c r="G81" i="3"/>
  <c r="E81" i="3" s="1"/>
  <c r="G80" i="3"/>
  <c r="E80" i="3" s="1"/>
  <c r="G79" i="3"/>
  <c r="E79" i="3" s="1"/>
  <c r="G78" i="3"/>
  <c r="E78" i="3" s="1"/>
  <c r="G77" i="3"/>
  <c r="E77" i="3" s="1"/>
  <c r="G76" i="3"/>
  <c r="E76" i="3" s="1"/>
  <c r="G75" i="3"/>
  <c r="E75" i="3" s="1"/>
  <c r="G74" i="3"/>
  <c r="E74" i="3" s="1"/>
  <c r="G73" i="3"/>
  <c r="E73" i="3" s="1"/>
  <c r="G72" i="3"/>
  <c r="E72" i="3" s="1"/>
  <c r="G48" i="3"/>
  <c r="E48" i="3" s="1"/>
  <c r="G47" i="3"/>
  <c r="E47" i="3" s="1"/>
  <c r="G46" i="3"/>
  <c r="E46" i="3" s="1"/>
  <c r="G45" i="3"/>
  <c r="E45" i="3" s="1"/>
  <c r="G44" i="3"/>
  <c r="E44" i="3" s="1"/>
  <c r="G43" i="3"/>
  <c r="E43" i="3" s="1"/>
  <c r="G42" i="3"/>
  <c r="E42" i="3" s="1"/>
  <c r="G41" i="3"/>
  <c r="E41" i="3" s="1"/>
  <c r="G40" i="3"/>
  <c r="E40" i="3" s="1"/>
  <c r="G39" i="3"/>
  <c r="E39" i="3" s="1"/>
  <c r="G38" i="3"/>
  <c r="E38" i="3" s="1"/>
  <c r="G37" i="3"/>
  <c r="E37" i="3" s="1"/>
  <c r="G36" i="3"/>
  <c r="E36" i="3" s="1"/>
  <c r="G35" i="3"/>
  <c r="E35" i="3" s="1"/>
  <c r="G34" i="3"/>
  <c r="E34" i="3" s="1"/>
  <c r="G33" i="3"/>
  <c r="E33" i="3" s="1"/>
  <c r="G32" i="3"/>
  <c r="E32" i="3" s="1"/>
  <c r="G31" i="3"/>
  <c r="E31" i="3" s="1"/>
  <c r="G30" i="3"/>
  <c r="E30" i="3" s="1"/>
  <c r="G29" i="3"/>
  <c r="E29" i="3" s="1"/>
  <c r="G28" i="3"/>
  <c r="E28" i="3" s="1"/>
  <c r="G27" i="3"/>
  <c r="E27" i="3" s="1"/>
  <c r="G26" i="3"/>
  <c r="E26" i="3" s="1"/>
  <c r="G25" i="3"/>
  <c r="E25" i="3" s="1"/>
  <c r="G24" i="3"/>
  <c r="E24" i="3" s="1"/>
  <c r="G23" i="3"/>
  <c r="E23" i="3" s="1"/>
  <c r="G22" i="3"/>
  <c r="E22" i="3" s="1"/>
  <c r="G21" i="3"/>
  <c r="E21" i="3" s="1"/>
  <c r="G20" i="3"/>
  <c r="E20" i="3" s="1"/>
  <c r="G19" i="3"/>
  <c r="E19" i="3" s="1"/>
  <c r="G18" i="3"/>
  <c r="E18" i="3" s="1"/>
  <c r="G17" i="3"/>
  <c r="G16" i="3"/>
  <c r="E16" i="3" s="1"/>
  <c r="G15" i="3"/>
  <c r="E15" i="3" s="1"/>
  <c r="G14" i="3"/>
  <c r="E14" i="3" s="1"/>
  <c r="G13" i="3"/>
  <c r="E13" i="3" s="1"/>
  <c r="H9" i="4"/>
  <c r="F9" i="4"/>
  <c r="E9" i="4"/>
  <c r="H8" i="4"/>
  <c r="F8" i="4"/>
  <c r="E8" i="4"/>
  <c r="H6" i="4"/>
  <c r="F6" i="4"/>
  <c r="E6" i="4"/>
  <c r="H5" i="4"/>
  <c r="F5" i="4"/>
  <c r="E5" i="4"/>
  <c r="H9" i="3"/>
  <c r="H8" i="3"/>
  <c r="H6" i="3"/>
  <c r="H5" i="3"/>
  <c r="E9" i="3"/>
  <c r="E8" i="3"/>
  <c r="E6" i="3"/>
  <c r="E5" i="3"/>
  <c r="F9" i="3"/>
  <c r="F8" i="3"/>
  <c r="F6" i="3"/>
  <c r="F5" i="3"/>
  <c r="H7" i="7" l="1"/>
  <c r="H7" i="6"/>
  <c r="I5" i="7"/>
  <c r="I4" i="7"/>
  <c r="I5" i="6"/>
  <c r="I4" i="6"/>
  <c r="I5" i="5"/>
  <c r="I4" i="5"/>
  <c r="I54" i="11"/>
  <c r="G54" i="11"/>
  <c r="M54" i="11" s="1"/>
  <c r="F54" i="11"/>
  <c r="L54" i="11" s="1"/>
  <c r="E54" i="11"/>
  <c r="K54" i="11" s="1"/>
  <c r="I53" i="11"/>
  <c r="G53" i="11"/>
  <c r="M53" i="11" s="1"/>
  <c r="F53" i="11"/>
  <c r="L53" i="11" s="1"/>
  <c r="E53" i="11"/>
  <c r="K53" i="11" s="1"/>
  <c r="I52" i="11"/>
  <c r="G52" i="11"/>
  <c r="M52" i="11" s="1"/>
  <c r="F52" i="11"/>
  <c r="L52" i="11" s="1"/>
  <c r="E52" i="11"/>
  <c r="K52" i="11" s="1"/>
  <c r="I51" i="11"/>
  <c r="G51" i="11"/>
  <c r="M51" i="11" s="1"/>
  <c r="F51" i="11"/>
  <c r="E51" i="11"/>
  <c r="K51" i="11" s="1"/>
  <c r="I50" i="11"/>
  <c r="G50" i="11"/>
  <c r="F50" i="11"/>
  <c r="L50" i="11" s="1"/>
  <c r="E50" i="11"/>
  <c r="K50" i="11" s="1"/>
  <c r="K49" i="11"/>
  <c r="I49" i="11"/>
  <c r="G49" i="11"/>
  <c r="M49" i="11" s="1"/>
  <c r="F49" i="11"/>
  <c r="L49" i="11" s="1"/>
  <c r="E49" i="11"/>
  <c r="I48" i="11"/>
  <c r="G48" i="11"/>
  <c r="M48" i="11" s="1"/>
  <c r="F48" i="11"/>
  <c r="L48" i="11" s="1"/>
  <c r="E48" i="11"/>
  <c r="K48" i="11" s="1"/>
  <c r="I47" i="11"/>
  <c r="G47" i="11"/>
  <c r="M47" i="11" s="1"/>
  <c r="F47" i="11"/>
  <c r="L47" i="11" s="1"/>
  <c r="E47" i="11"/>
  <c r="I46" i="11"/>
  <c r="G46" i="11"/>
  <c r="M46" i="11" s="1"/>
  <c r="F46" i="11"/>
  <c r="L46" i="11" s="1"/>
  <c r="E46" i="11"/>
  <c r="K46" i="11" s="1"/>
  <c r="I45" i="11"/>
  <c r="G45" i="11"/>
  <c r="M45" i="11" s="1"/>
  <c r="F45" i="11"/>
  <c r="L45" i="11" s="1"/>
  <c r="E45" i="11"/>
  <c r="K45" i="11" s="1"/>
  <c r="I44" i="11"/>
  <c r="G44" i="11"/>
  <c r="M44" i="11" s="1"/>
  <c r="F44" i="11"/>
  <c r="L44" i="11" s="1"/>
  <c r="E44" i="11"/>
  <c r="K44" i="11" s="1"/>
  <c r="I43" i="11"/>
  <c r="G43" i="11"/>
  <c r="M43" i="11" s="1"/>
  <c r="F43" i="11"/>
  <c r="E43" i="11"/>
  <c r="K43" i="11" s="1"/>
  <c r="I42" i="11"/>
  <c r="G42" i="11"/>
  <c r="M42" i="11" s="1"/>
  <c r="F42" i="11"/>
  <c r="L42" i="11" s="1"/>
  <c r="E42" i="11"/>
  <c r="K42" i="11" s="1"/>
  <c r="I41" i="11"/>
  <c r="G41" i="11"/>
  <c r="M41" i="11" s="1"/>
  <c r="F41" i="11"/>
  <c r="L41" i="11" s="1"/>
  <c r="E41" i="11"/>
  <c r="K41" i="11" s="1"/>
  <c r="I40" i="11"/>
  <c r="G40" i="11"/>
  <c r="M40" i="11" s="1"/>
  <c r="F40" i="11"/>
  <c r="L40" i="11" s="1"/>
  <c r="E40" i="11"/>
  <c r="K40" i="11" s="1"/>
  <c r="I39" i="11"/>
  <c r="G39" i="11"/>
  <c r="M39" i="11" s="1"/>
  <c r="F39" i="11"/>
  <c r="L39" i="11" s="1"/>
  <c r="E39" i="11"/>
  <c r="I38" i="11"/>
  <c r="G38" i="11"/>
  <c r="M38" i="11" s="1"/>
  <c r="F38" i="11"/>
  <c r="L38" i="11" s="1"/>
  <c r="E38" i="11"/>
  <c r="K38" i="11" s="1"/>
  <c r="I37" i="11"/>
  <c r="G37" i="11"/>
  <c r="M37" i="11" s="1"/>
  <c r="F37" i="11"/>
  <c r="L37" i="11" s="1"/>
  <c r="E37" i="11"/>
  <c r="K37" i="11" s="1"/>
  <c r="I36" i="11"/>
  <c r="G36" i="11"/>
  <c r="M36" i="11" s="1"/>
  <c r="F36" i="11"/>
  <c r="L36" i="11" s="1"/>
  <c r="E36" i="11"/>
  <c r="K36" i="11" s="1"/>
  <c r="I35" i="11"/>
  <c r="G35" i="11"/>
  <c r="M35" i="11" s="1"/>
  <c r="F35" i="11"/>
  <c r="E35" i="11"/>
  <c r="K35" i="11" s="1"/>
  <c r="I34" i="11"/>
  <c r="G34" i="11"/>
  <c r="M34" i="11" s="1"/>
  <c r="F34" i="11"/>
  <c r="L34" i="11" s="1"/>
  <c r="E34" i="11"/>
  <c r="K34" i="11" s="1"/>
  <c r="I33" i="11"/>
  <c r="G33" i="11"/>
  <c r="F33" i="11"/>
  <c r="L33" i="11" s="1"/>
  <c r="E33" i="11"/>
  <c r="K33" i="11" s="1"/>
  <c r="I32" i="11"/>
  <c r="G32" i="11"/>
  <c r="M32" i="11" s="1"/>
  <c r="F32" i="11"/>
  <c r="L32" i="11" s="1"/>
  <c r="E32" i="11"/>
  <c r="K32" i="11" s="1"/>
  <c r="I31" i="11"/>
  <c r="G31" i="11"/>
  <c r="M31" i="11" s="1"/>
  <c r="F31" i="11"/>
  <c r="L31" i="11" s="1"/>
  <c r="E31" i="11"/>
  <c r="I30" i="11"/>
  <c r="G30" i="11"/>
  <c r="M30" i="11" s="1"/>
  <c r="F30" i="11"/>
  <c r="L30" i="11" s="1"/>
  <c r="E30" i="11"/>
  <c r="K30" i="11" s="1"/>
  <c r="I29" i="11"/>
  <c r="G29" i="11"/>
  <c r="M29" i="11" s="1"/>
  <c r="F29" i="11"/>
  <c r="L29" i="11" s="1"/>
  <c r="E29" i="11"/>
  <c r="K29" i="11" s="1"/>
  <c r="I28" i="11"/>
  <c r="G28" i="11"/>
  <c r="M28" i="11" s="1"/>
  <c r="F28" i="11"/>
  <c r="L28" i="11" s="1"/>
  <c r="E28" i="11"/>
  <c r="I54" i="10"/>
  <c r="G54" i="10"/>
  <c r="M54" i="10" s="1"/>
  <c r="F54" i="10"/>
  <c r="L54" i="10" s="1"/>
  <c r="E54" i="10"/>
  <c r="K54" i="10" s="1"/>
  <c r="I53" i="10"/>
  <c r="G53" i="10"/>
  <c r="M53" i="10" s="1"/>
  <c r="F53" i="10"/>
  <c r="L53" i="10" s="1"/>
  <c r="E53" i="10"/>
  <c r="K53" i="10" s="1"/>
  <c r="I52" i="10"/>
  <c r="G52" i="10"/>
  <c r="M52" i="10" s="1"/>
  <c r="F52" i="10"/>
  <c r="L52" i="10" s="1"/>
  <c r="E52" i="10"/>
  <c r="K52" i="10" s="1"/>
  <c r="I51" i="10"/>
  <c r="G51" i="10"/>
  <c r="M51" i="10" s="1"/>
  <c r="F51" i="10"/>
  <c r="E51" i="10"/>
  <c r="K51" i="10" s="1"/>
  <c r="I50" i="10"/>
  <c r="G50" i="10"/>
  <c r="F50" i="10"/>
  <c r="L50" i="10" s="1"/>
  <c r="E50" i="10"/>
  <c r="K50" i="10" s="1"/>
  <c r="I49" i="10"/>
  <c r="G49" i="10"/>
  <c r="M49" i="10" s="1"/>
  <c r="F49" i="10"/>
  <c r="L49" i="10" s="1"/>
  <c r="E49" i="10"/>
  <c r="K49" i="10" s="1"/>
  <c r="I48" i="10"/>
  <c r="G48" i="10"/>
  <c r="M48" i="10" s="1"/>
  <c r="F48" i="10"/>
  <c r="L48" i="10" s="1"/>
  <c r="E48" i="10"/>
  <c r="K48" i="10" s="1"/>
  <c r="I47" i="10"/>
  <c r="G47" i="10"/>
  <c r="M47" i="10" s="1"/>
  <c r="F47" i="10"/>
  <c r="L47" i="10" s="1"/>
  <c r="E47" i="10"/>
  <c r="K47" i="10" s="1"/>
  <c r="I46" i="10"/>
  <c r="G46" i="10"/>
  <c r="M46" i="10" s="1"/>
  <c r="F46" i="10"/>
  <c r="L46" i="10" s="1"/>
  <c r="E46" i="10"/>
  <c r="K46" i="10" s="1"/>
  <c r="I45" i="10"/>
  <c r="G45" i="10"/>
  <c r="M45" i="10" s="1"/>
  <c r="F45" i="10"/>
  <c r="L45" i="10" s="1"/>
  <c r="E45" i="10"/>
  <c r="K45" i="10" s="1"/>
  <c r="I44" i="10"/>
  <c r="G44" i="10"/>
  <c r="M44" i="10" s="1"/>
  <c r="F44" i="10"/>
  <c r="L44" i="10" s="1"/>
  <c r="E44" i="10"/>
  <c r="K44" i="10" s="1"/>
  <c r="I43" i="10"/>
  <c r="G43" i="10"/>
  <c r="M43" i="10" s="1"/>
  <c r="F43" i="10"/>
  <c r="L43" i="10" s="1"/>
  <c r="E43" i="10"/>
  <c r="K43" i="10" s="1"/>
  <c r="I42" i="10"/>
  <c r="G42" i="10"/>
  <c r="M42" i="10" s="1"/>
  <c r="F42" i="10"/>
  <c r="L42" i="10" s="1"/>
  <c r="E42" i="10"/>
  <c r="K42" i="10" s="1"/>
  <c r="I41" i="10"/>
  <c r="G41" i="10"/>
  <c r="M41" i="10" s="1"/>
  <c r="F41" i="10"/>
  <c r="L41" i="10" s="1"/>
  <c r="E41" i="10"/>
  <c r="K41" i="10" s="1"/>
  <c r="I40" i="10"/>
  <c r="G40" i="10"/>
  <c r="M40" i="10" s="1"/>
  <c r="F40" i="10"/>
  <c r="L40" i="10" s="1"/>
  <c r="E40" i="10"/>
  <c r="I39" i="10"/>
  <c r="G39" i="10"/>
  <c r="M39" i="10" s="1"/>
  <c r="F39" i="10"/>
  <c r="L39" i="10" s="1"/>
  <c r="E39" i="10"/>
  <c r="I38" i="10"/>
  <c r="G38" i="10"/>
  <c r="M38" i="10" s="1"/>
  <c r="F38" i="10"/>
  <c r="L38" i="10" s="1"/>
  <c r="E38" i="10"/>
  <c r="K38" i="10" s="1"/>
  <c r="I37" i="10"/>
  <c r="G37" i="10"/>
  <c r="M37" i="10" s="1"/>
  <c r="F37" i="10"/>
  <c r="L37" i="10" s="1"/>
  <c r="E37" i="10"/>
  <c r="K37" i="10" s="1"/>
  <c r="I36" i="10"/>
  <c r="G36" i="10"/>
  <c r="M36" i="10" s="1"/>
  <c r="F36" i="10"/>
  <c r="L36" i="10" s="1"/>
  <c r="E36" i="10"/>
  <c r="K36" i="10" s="1"/>
  <c r="I35" i="10"/>
  <c r="G35" i="10"/>
  <c r="M35" i="10" s="1"/>
  <c r="F35" i="10"/>
  <c r="L35" i="10" s="1"/>
  <c r="E35" i="10"/>
  <c r="K35" i="10" s="1"/>
  <c r="I34" i="10"/>
  <c r="G34" i="10"/>
  <c r="M34" i="10" s="1"/>
  <c r="F34" i="10"/>
  <c r="L34" i="10" s="1"/>
  <c r="E34" i="10"/>
  <c r="K34" i="10" s="1"/>
  <c r="I33" i="10"/>
  <c r="G33" i="10"/>
  <c r="M33" i="10" s="1"/>
  <c r="F33" i="10"/>
  <c r="L33" i="10" s="1"/>
  <c r="E33" i="10"/>
  <c r="I32" i="10"/>
  <c r="G32" i="10"/>
  <c r="M32" i="10" s="1"/>
  <c r="F32" i="10"/>
  <c r="E32" i="10"/>
  <c r="K32" i="10" s="1"/>
  <c r="I31" i="10"/>
  <c r="G31" i="10"/>
  <c r="F31" i="10"/>
  <c r="L31" i="10" s="1"/>
  <c r="E31" i="10"/>
  <c r="K31" i="10" s="1"/>
  <c r="I30" i="10"/>
  <c r="G30" i="10"/>
  <c r="M30" i="10" s="1"/>
  <c r="F30" i="10"/>
  <c r="L30" i="10" s="1"/>
  <c r="E30" i="10"/>
  <c r="I29" i="10"/>
  <c r="G29" i="10"/>
  <c r="M29" i="10" s="1"/>
  <c r="F29" i="10"/>
  <c r="L29" i="10" s="1"/>
  <c r="E29" i="10"/>
  <c r="K29" i="10" s="1"/>
  <c r="I28" i="10"/>
  <c r="G28" i="10"/>
  <c r="M28" i="10" s="1"/>
  <c r="F28" i="10"/>
  <c r="L28" i="10" s="1"/>
  <c r="E28" i="10"/>
  <c r="K28" i="10" s="1"/>
  <c r="H51" i="10" l="1"/>
  <c r="H51" i="11"/>
  <c r="H31" i="11"/>
  <c r="H47" i="11"/>
  <c r="H33" i="11"/>
  <c r="H50" i="10"/>
  <c r="J43" i="10"/>
  <c r="H49" i="10"/>
  <c r="J47" i="10"/>
  <c r="H39" i="11"/>
  <c r="H50" i="11"/>
  <c r="H28" i="11"/>
  <c r="H43" i="11"/>
  <c r="H35" i="11"/>
  <c r="H40" i="10"/>
  <c r="J42" i="10"/>
  <c r="H47" i="10"/>
  <c r="J54" i="10"/>
  <c r="H30" i="10"/>
  <c r="J46" i="10"/>
  <c r="J53" i="10"/>
  <c r="H39" i="10"/>
  <c r="H46" i="10"/>
  <c r="J49" i="10"/>
  <c r="H48" i="10"/>
  <c r="J30" i="11"/>
  <c r="J38" i="11"/>
  <c r="J46" i="11"/>
  <c r="J54" i="11"/>
  <c r="J32" i="11"/>
  <c r="J40" i="11"/>
  <c r="J41" i="11"/>
  <c r="J48" i="11"/>
  <c r="J49" i="11"/>
  <c r="H41" i="11"/>
  <c r="H49" i="11"/>
  <c r="K31" i="11"/>
  <c r="J31" i="11" s="1"/>
  <c r="K39" i="11"/>
  <c r="J39" i="11" s="1"/>
  <c r="K47" i="11"/>
  <c r="J47" i="11" s="1"/>
  <c r="J29" i="11"/>
  <c r="M33" i="11"/>
  <c r="J33" i="11" s="1"/>
  <c r="J37" i="11"/>
  <c r="J45" i="11"/>
  <c r="J53" i="11"/>
  <c r="H32" i="11"/>
  <c r="H40" i="11"/>
  <c r="H48" i="11"/>
  <c r="J36" i="11"/>
  <c r="J44" i="11"/>
  <c r="J52" i="11"/>
  <c r="J34" i="11"/>
  <c r="J42" i="11"/>
  <c r="H34" i="11"/>
  <c r="H42" i="11"/>
  <c r="H36" i="11"/>
  <c r="H44" i="11"/>
  <c r="H52" i="11"/>
  <c r="H29" i="11"/>
  <c r="H37" i="11"/>
  <c r="H45" i="11"/>
  <c r="H53" i="11"/>
  <c r="L35" i="11"/>
  <c r="J35" i="11" s="1"/>
  <c r="H38" i="11"/>
  <c r="L43" i="11"/>
  <c r="J43" i="11" s="1"/>
  <c r="M50" i="11"/>
  <c r="J50" i="11" s="1"/>
  <c r="L51" i="11"/>
  <c r="J51" i="11" s="1"/>
  <c r="H54" i="11"/>
  <c r="K28" i="11"/>
  <c r="J28" i="11" s="1"/>
  <c r="H30" i="11"/>
  <c r="H46" i="11"/>
  <c r="J52" i="10"/>
  <c r="J48" i="10"/>
  <c r="J37" i="10"/>
  <c r="J45" i="10"/>
  <c r="H53" i="10"/>
  <c r="H52" i="10"/>
  <c r="K30" i="10"/>
  <c r="J30" i="10" s="1"/>
  <c r="K39" i="10"/>
  <c r="J39" i="10" s="1"/>
  <c r="K40" i="10"/>
  <c r="J40" i="10" s="1"/>
  <c r="M50" i="10"/>
  <c r="J50" i="10" s="1"/>
  <c r="L51" i="10"/>
  <c r="J51" i="10" s="1"/>
  <c r="H54" i="10"/>
  <c r="J38" i="10"/>
  <c r="J29" i="10"/>
  <c r="J44" i="10"/>
  <c r="H29" i="10"/>
  <c r="H38" i="10"/>
  <c r="J41" i="10"/>
  <c r="H41" i="10"/>
  <c r="H42" i="10"/>
  <c r="H43" i="10"/>
  <c r="J36" i="10"/>
  <c r="H44" i="10"/>
  <c r="H28" i="10"/>
  <c r="H31" i="10"/>
  <c r="J28" i="10"/>
  <c r="H32" i="10"/>
  <c r="H37" i="10"/>
  <c r="H45" i="10"/>
  <c r="H33" i="10"/>
  <c r="J34" i="10"/>
  <c r="J35" i="10"/>
  <c r="H34" i="10"/>
  <c r="M31" i="10"/>
  <c r="J31" i="10" s="1"/>
  <c r="L32" i="10"/>
  <c r="J32" i="10" s="1"/>
  <c r="K33" i="10"/>
  <c r="J33" i="10" s="1"/>
  <c r="H35" i="10"/>
  <c r="H36" i="10"/>
  <c r="I55" i="11"/>
  <c r="G55" i="11"/>
  <c r="M55" i="11" s="1"/>
  <c r="F55" i="11"/>
  <c r="L55" i="11" s="1"/>
  <c r="E55" i="11"/>
  <c r="K55" i="11" s="1"/>
  <c r="I27" i="11"/>
  <c r="G27" i="11"/>
  <c r="M27" i="11" s="1"/>
  <c r="F27" i="11"/>
  <c r="L27" i="11" s="1"/>
  <c r="E27" i="11"/>
  <c r="K27" i="11" s="1"/>
  <c r="I26" i="11"/>
  <c r="G26" i="11"/>
  <c r="M26" i="11" s="1"/>
  <c r="F26" i="11"/>
  <c r="L26" i="11" s="1"/>
  <c r="E26" i="11"/>
  <c r="K26" i="11" s="1"/>
  <c r="I25" i="11"/>
  <c r="G25" i="11"/>
  <c r="M25" i="11" s="1"/>
  <c r="F25" i="11"/>
  <c r="L25" i="11" s="1"/>
  <c r="E25" i="11"/>
  <c r="K25" i="11" s="1"/>
  <c r="I24" i="11"/>
  <c r="G24" i="11"/>
  <c r="M24" i="11" s="1"/>
  <c r="F24" i="11"/>
  <c r="L24" i="11" s="1"/>
  <c r="E24" i="11"/>
  <c r="K24" i="11" s="1"/>
  <c r="I23" i="11"/>
  <c r="G23" i="11"/>
  <c r="M23" i="11" s="1"/>
  <c r="F23" i="11"/>
  <c r="L23" i="11" s="1"/>
  <c r="E23" i="11"/>
  <c r="K23" i="11" s="1"/>
  <c r="I22" i="11"/>
  <c r="G22" i="11"/>
  <c r="M22" i="11" s="1"/>
  <c r="F22" i="11"/>
  <c r="L22" i="11" s="1"/>
  <c r="E22" i="11"/>
  <c r="K22" i="11" s="1"/>
  <c r="I21" i="11"/>
  <c r="G21" i="11"/>
  <c r="M21" i="11" s="1"/>
  <c r="F21" i="11"/>
  <c r="L21" i="11" s="1"/>
  <c r="E21" i="11"/>
  <c r="K21" i="11" s="1"/>
  <c r="I20" i="11"/>
  <c r="G20" i="11"/>
  <c r="M20" i="11" s="1"/>
  <c r="F20" i="11"/>
  <c r="L20" i="11" s="1"/>
  <c r="E20" i="11"/>
  <c r="K20" i="11" s="1"/>
  <c r="I19" i="11"/>
  <c r="G19" i="11"/>
  <c r="M19" i="11" s="1"/>
  <c r="F19" i="11"/>
  <c r="L19" i="11" s="1"/>
  <c r="E19" i="11"/>
  <c r="I18" i="11"/>
  <c r="G18" i="11"/>
  <c r="F18" i="11"/>
  <c r="L18" i="11" s="1"/>
  <c r="E18" i="11"/>
  <c r="K18" i="11" s="1"/>
  <c r="K17" i="11"/>
  <c r="I17" i="11"/>
  <c r="G17" i="11"/>
  <c r="M17" i="11" s="1"/>
  <c r="F17" i="11"/>
  <c r="L17" i="11" s="1"/>
  <c r="E17" i="11"/>
  <c r="I16" i="11"/>
  <c r="G16" i="11"/>
  <c r="M16" i="11" s="1"/>
  <c r="F16" i="11"/>
  <c r="L16" i="11" s="1"/>
  <c r="E16" i="11"/>
  <c r="K16" i="11" s="1"/>
  <c r="I15" i="11"/>
  <c r="G15" i="11"/>
  <c r="M15" i="11" s="1"/>
  <c r="F15" i="11"/>
  <c r="L15" i="11" s="1"/>
  <c r="E15" i="11"/>
  <c r="K15" i="11" s="1"/>
  <c r="I14" i="11"/>
  <c r="G14" i="11"/>
  <c r="M14" i="11" s="1"/>
  <c r="F14" i="11"/>
  <c r="L14" i="11" s="1"/>
  <c r="E14" i="11"/>
  <c r="K14" i="11" s="1"/>
  <c r="I13" i="11"/>
  <c r="G13" i="11"/>
  <c r="M13" i="11" s="1"/>
  <c r="F13" i="11"/>
  <c r="L13" i="11" s="1"/>
  <c r="E13" i="11"/>
  <c r="K13" i="11" s="1"/>
  <c r="I12" i="11"/>
  <c r="G12" i="11"/>
  <c r="M12" i="11" s="1"/>
  <c r="F12" i="11"/>
  <c r="L12" i="11" s="1"/>
  <c r="E12" i="11"/>
  <c r="K12" i="11" s="1"/>
  <c r="I11" i="11"/>
  <c r="G11" i="11"/>
  <c r="M11" i="11" s="1"/>
  <c r="F11" i="11"/>
  <c r="L11" i="11" s="1"/>
  <c r="E11" i="11"/>
  <c r="K11" i="11" s="1"/>
  <c r="I10" i="11"/>
  <c r="G10" i="11"/>
  <c r="M10" i="11" s="1"/>
  <c r="F10" i="11"/>
  <c r="L10" i="11" s="1"/>
  <c r="E10" i="11"/>
  <c r="K10" i="11" s="1"/>
  <c r="I9" i="11"/>
  <c r="G9" i="11"/>
  <c r="M9" i="11" s="1"/>
  <c r="F9" i="11"/>
  <c r="L9" i="11" s="1"/>
  <c r="E9" i="11"/>
  <c r="I8" i="11"/>
  <c r="G8" i="11"/>
  <c r="M8" i="11" s="1"/>
  <c r="F8" i="11"/>
  <c r="L8" i="11" s="1"/>
  <c r="E8" i="11"/>
  <c r="K8" i="11" s="1"/>
  <c r="I7" i="11"/>
  <c r="G7" i="11"/>
  <c r="M7" i="11" s="1"/>
  <c r="F7" i="11"/>
  <c r="L7" i="11" s="1"/>
  <c r="E7" i="11"/>
  <c r="K7" i="11" s="1"/>
  <c r="I6" i="11"/>
  <c r="D6" i="11"/>
  <c r="G6" i="11" s="1"/>
  <c r="M6" i="11" s="1"/>
  <c r="I5" i="11"/>
  <c r="D5" i="11"/>
  <c r="G5" i="11" s="1"/>
  <c r="M5" i="11" s="1"/>
  <c r="I55" i="10"/>
  <c r="G55" i="10"/>
  <c r="M55" i="10" s="1"/>
  <c r="F55" i="10"/>
  <c r="E55" i="10"/>
  <c r="K55" i="10" s="1"/>
  <c r="I27" i="10"/>
  <c r="G27" i="10"/>
  <c r="M27" i="10" s="1"/>
  <c r="F27" i="10"/>
  <c r="L27" i="10" s="1"/>
  <c r="E27" i="10"/>
  <c r="K27" i="10" s="1"/>
  <c r="I26" i="10"/>
  <c r="G26" i="10"/>
  <c r="M26" i="10" s="1"/>
  <c r="F26" i="10"/>
  <c r="L26" i="10" s="1"/>
  <c r="E26" i="10"/>
  <c r="K26" i="10" s="1"/>
  <c r="I25" i="10"/>
  <c r="G25" i="10"/>
  <c r="M25" i="10" s="1"/>
  <c r="F25" i="10"/>
  <c r="L25" i="10" s="1"/>
  <c r="E25" i="10"/>
  <c r="K25" i="10" s="1"/>
  <c r="I24" i="10"/>
  <c r="G24" i="10"/>
  <c r="M24" i="10" s="1"/>
  <c r="F24" i="10"/>
  <c r="L24" i="10" s="1"/>
  <c r="E24" i="10"/>
  <c r="K24" i="10" s="1"/>
  <c r="I23" i="10"/>
  <c r="G23" i="10"/>
  <c r="M23" i="10" s="1"/>
  <c r="F23" i="10"/>
  <c r="L23" i="10" s="1"/>
  <c r="E23" i="10"/>
  <c r="K23" i="10" s="1"/>
  <c r="I22" i="10"/>
  <c r="G22" i="10"/>
  <c r="M22" i="10" s="1"/>
  <c r="F22" i="10"/>
  <c r="L22" i="10" s="1"/>
  <c r="E22" i="10"/>
  <c r="K22" i="10" s="1"/>
  <c r="I21" i="10"/>
  <c r="G21" i="10"/>
  <c r="M21" i="10" s="1"/>
  <c r="F21" i="10"/>
  <c r="L21" i="10" s="1"/>
  <c r="E21" i="10"/>
  <c r="I20" i="10"/>
  <c r="G20" i="10"/>
  <c r="M20" i="10" s="1"/>
  <c r="F20" i="10"/>
  <c r="E20" i="10"/>
  <c r="K20" i="10" s="1"/>
  <c r="I19" i="10"/>
  <c r="G19" i="10"/>
  <c r="M19" i="10" s="1"/>
  <c r="F19" i="10"/>
  <c r="L19" i="10" s="1"/>
  <c r="E19" i="10"/>
  <c r="K19" i="10" s="1"/>
  <c r="I18" i="10"/>
  <c r="G18" i="10"/>
  <c r="M18" i="10" s="1"/>
  <c r="F18" i="10"/>
  <c r="L18" i="10" s="1"/>
  <c r="E18" i="10"/>
  <c r="K18" i="10" s="1"/>
  <c r="I17" i="10"/>
  <c r="G17" i="10"/>
  <c r="M17" i="10" s="1"/>
  <c r="F17" i="10"/>
  <c r="L17" i="10" s="1"/>
  <c r="E17" i="10"/>
  <c r="K17" i="10" s="1"/>
  <c r="I16" i="10"/>
  <c r="G16" i="10"/>
  <c r="M16" i="10" s="1"/>
  <c r="F16" i="10"/>
  <c r="L16" i="10" s="1"/>
  <c r="E16" i="10"/>
  <c r="K16" i="10" s="1"/>
  <c r="I15" i="10"/>
  <c r="G15" i="10"/>
  <c r="M15" i="10" s="1"/>
  <c r="F15" i="10"/>
  <c r="L15" i="10" s="1"/>
  <c r="E15" i="10"/>
  <c r="K15" i="10" s="1"/>
  <c r="I14" i="10"/>
  <c r="G14" i="10"/>
  <c r="M14" i="10" s="1"/>
  <c r="F14" i="10"/>
  <c r="L14" i="10" s="1"/>
  <c r="E14" i="10"/>
  <c r="K14" i="10" s="1"/>
  <c r="I13" i="10"/>
  <c r="G13" i="10"/>
  <c r="M13" i="10" s="1"/>
  <c r="F13" i="10"/>
  <c r="L13" i="10" s="1"/>
  <c r="E13" i="10"/>
  <c r="I12" i="10"/>
  <c r="G12" i="10"/>
  <c r="M12" i="10" s="1"/>
  <c r="F12" i="10"/>
  <c r="E12" i="10"/>
  <c r="K12" i="10" s="1"/>
  <c r="I11" i="10"/>
  <c r="G11" i="10"/>
  <c r="M11" i="10" s="1"/>
  <c r="F11" i="10"/>
  <c r="L11" i="10" s="1"/>
  <c r="E11" i="10"/>
  <c r="K11" i="10" s="1"/>
  <c r="I10" i="10"/>
  <c r="G10" i="10"/>
  <c r="M10" i="10" s="1"/>
  <c r="F10" i="10"/>
  <c r="L10" i="10" s="1"/>
  <c r="E10" i="10"/>
  <c r="K10" i="10" s="1"/>
  <c r="I9" i="10"/>
  <c r="G9" i="10"/>
  <c r="M9" i="10" s="1"/>
  <c r="F9" i="10"/>
  <c r="L9" i="10" s="1"/>
  <c r="E9" i="10"/>
  <c r="K9" i="10" s="1"/>
  <c r="I8" i="10"/>
  <c r="G8" i="10"/>
  <c r="M8" i="10" s="1"/>
  <c r="F8" i="10"/>
  <c r="L8" i="10" s="1"/>
  <c r="E8" i="10"/>
  <c r="K8" i="10" s="1"/>
  <c r="I7" i="10"/>
  <c r="G7" i="10"/>
  <c r="M7" i="10" s="1"/>
  <c r="F7" i="10"/>
  <c r="L7" i="10" s="1"/>
  <c r="E7" i="10"/>
  <c r="K7" i="10" s="1"/>
  <c r="G6" i="10"/>
  <c r="M6" i="10" s="1"/>
  <c r="I5" i="10"/>
  <c r="D5" i="10"/>
  <c r="F5" i="10" s="1"/>
  <c r="L5" i="10" s="1"/>
  <c r="H19" i="11" l="1"/>
  <c r="F6" i="11"/>
  <c r="L6" i="11" s="1"/>
  <c r="D56" i="11"/>
  <c r="H9" i="11"/>
  <c r="J12" i="11"/>
  <c r="K9" i="11"/>
  <c r="J9" i="11" s="1"/>
  <c r="J25" i="11"/>
  <c r="K19" i="11"/>
  <c r="J19" i="11" s="1"/>
  <c r="J20" i="11"/>
  <c r="J22" i="11"/>
  <c r="J7" i="11"/>
  <c r="J16" i="11"/>
  <c r="H18" i="11"/>
  <c r="H10" i="11"/>
  <c r="J17" i="11"/>
  <c r="J24" i="11"/>
  <c r="H27" i="11"/>
  <c r="H17" i="11"/>
  <c r="E6" i="11"/>
  <c r="K6" i="11" s="1"/>
  <c r="H11" i="11"/>
  <c r="H25" i="11"/>
  <c r="H26" i="11"/>
  <c r="J8" i="11"/>
  <c r="J21" i="11"/>
  <c r="J23" i="11"/>
  <c r="J55" i="11"/>
  <c r="H55" i="10"/>
  <c r="J25" i="10"/>
  <c r="H13" i="10"/>
  <c r="J10" i="10"/>
  <c r="H14" i="10"/>
  <c r="J14" i="10"/>
  <c r="J11" i="10"/>
  <c r="H20" i="10"/>
  <c r="J26" i="10"/>
  <c r="L55" i="10"/>
  <c r="J55" i="10" s="1"/>
  <c r="J27" i="10"/>
  <c r="J7" i="10"/>
  <c r="J18" i="10"/>
  <c r="H21" i="10"/>
  <c r="H22" i="10"/>
  <c r="H12" i="10"/>
  <c r="J13" i="11"/>
  <c r="J15" i="11"/>
  <c r="J8" i="10"/>
  <c r="J27" i="11"/>
  <c r="J9" i="10"/>
  <c r="J15" i="10"/>
  <c r="J22" i="10"/>
  <c r="J11" i="11"/>
  <c r="J26" i="11"/>
  <c r="J16" i="10"/>
  <c r="J10" i="11"/>
  <c r="J14" i="11"/>
  <c r="J17" i="10"/>
  <c r="J23" i="10"/>
  <c r="J19" i="10"/>
  <c r="J24" i="10"/>
  <c r="H7" i="10"/>
  <c r="L12" i="10"/>
  <c r="J12" i="10" s="1"/>
  <c r="K13" i="10"/>
  <c r="J13" i="10" s="1"/>
  <c r="H15" i="10"/>
  <c r="L20" i="10"/>
  <c r="J20" i="10" s="1"/>
  <c r="K21" i="10"/>
  <c r="J21" i="10" s="1"/>
  <c r="H23" i="10"/>
  <c r="H12" i="11"/>
  <c r="H20" i="11"/>
  <c r="H55" i="11"/>
  <c r="H16" i="10"/>
  <c r="H24" i="10"/>
  <c r="H13" i="11"/>
  <c r="H21" i="11"/>
  <c r="H8" i="10"/>
  <c r="E5" i="10"/>
  <c r="H9" i="10"/>
  <c r="H17" i="10"/>
  <c r="H25" i="10"/>
  <c r="H6" i="11"/>
  <c r="H14" i="11"/>
  <c r="M18" i="11"/>
  <c r="J18" i="11" s="1"/>
  <c r="H22" i="11"/>
  <c r="H10" i="10"/>
  <c r="H18" i="10"/>
  <c r="H26" i="10"/>
  <c r="D56" i="10"/>
  <c r="H7" i="11"/>
  <c r="H15" i="11"/>
  <c r="H23" i="11"/>
  <c r="G5" i="10"/>
  <c r="M5" i="10" s="1"/>
  <c r="E6" i="10"/>
  <c r="H11" i="10"/>
  <c r="H19" i="10"/>
  <c r="H27" i="10"/>
  <c r="H8" i="11"/>
  <c r="H16" i="11"/>
  <c r="H24" i="11"/>
  <c r="F6" i="10"/>
  <c r="L6" i="10" s="1"/>
  <c r="E5" i="11"/>
  <c r="F5" i="11"/>
  <c r="L5" i="11" s="1"/>
  <c r="J6" i="11" l="1"/>
  <c r="K5" i="11"/>
  <c r="J5" i="11" s="1"/>
  <c r="H5" i="11"/>
  <c r="K6" i="10"/>
  <c r="J6" i="10" s="1"/>
  <c r="H6" i="10"/>
  <c r="H5" i="10"/>
  <c r="K5" i="10"/>
  <c r="J5" i="10" s="1"/>
  <c r="H7" i="5" l="1"/>
  <c r="D60" i="6" l="1"/>
  <c r="D60" i="5"/>
  <c r="D12" i="3" l="1"/>
  <c r="E12" i="3" s="1"/>
  <c r="D11" i="3"/>
  <c r="E11" i="3" s="1"/>
  <c r="D10" i="3"/>
  <c r="E10" i="3" s="1"/>
  <c r="F8" i="7"/>
  <c r="F7" i="7"/>
  <c r="B7" i="7"/>
  <c r="F5" i="7"/>
  <c r="B5" i="7"/>
  <c r="F8" i="6"/>
  <c r="F7" i="6"/>
  <c r="B7" i="6"/>
  <c r="F5" i="6"/>
  <c r="B5" i="6"/>
  <c r="B5" i="5"/>
  <c r="F8" i="5"/>
  <c r="F7" i="5"/>
  <c r="B7" i="5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49" i="6"/>
  <c r="G49" i="6"/>
  <c r="H48" i="6"/>
  <c r="G48" i="6"/>
  <c r="H47" i="6"/>
  <c r="G47" i="6"/>
  <c r="H46" i="6"/>
  <c r="G46" i="6"/>
  <c r="H45" i="6"/>
  <c r="G45" i="6"/>
  <c r="H14" i="6"/>
  <c r="G14" i="6"/>
  <c r="H13" i="6"/>
  <c r="G13" i="6"/>
  <c r="H12" i="6"/>
  <c r="G12" i="6"/>
  <c r="H11" i="6"/>
  <c r="G11" i="6"/>
  <c r="H10" i="6"/>
  <c r="G10" i="6"/>
  <c r="H59" i="5"/>
  <c r="G59" i="5"/>
  <c r="H58" i="5"/>
  <c r="G58" i="5"/>
  <c r="H57" i="5"/>
  <c r="G57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12" i="4"/>
  <c r="G12" i="4"/>
  <c r="H11" i="4"/>
  <c r="G11" i="4"/>
  <c r="H10" i="4"/>
  <c r="G10" i="4"/>
  <c r="E12" i="4" l="1"/>
  <c r="E11" i="4"/>
  <c r="E10" i="4"/>
  <c r="F10" i="4"/>
  <c r="F59" i="7"/>
  <c r="F58" i="7"/>
  <c r="F57" i="7"/>
  <c r="F56" i="7"/>
  <c r="F55" i="7"/>
  <c r="F54" i="7"/>
  <c r="F53" i="7"/>
  <c r="F52" i="7"/>
  <c r="F19" i="7"/>
  <c r="F18" i="7"/>
  <c r="F17" i="7"/>
  <c r="F16" i="7"/>
  <c r="F15" i="7"/>
  <c r="F14" i="7"/>
  <c r="F13" i="7"/>
  <c r="F12" i="7"/>
  <c r="F11" i="7"/>
  <c r="F10" i="7"/>
  <c r="F4" i="7"/>
  <c r="F59" i="6"/>
  <c r="F58" i="6"/>
  <c r="F57" i="6"/>
  <c r="F56" i="6"/>
  <c r="F55" i="6"/>
  <c r="F54" i="6"/>
  <c r="F53" i="6"/>
  <c r="F52" i="6"/>
  <c r="F49" i="6"/>
  <c r="F48" i="6"/>
  <c r="F47" i="6"/>
  <c r="F46" i="6"/>
  <c r="F45" i="6"/>
  <c r="F14" i="6"/>
  <c r="F13" i="6"/>
  <c r="F12" i="6"/>
  <c r="F11" i="6"/>
  <c r="F10" i="6"/>
  <c r="F4" i="6"/>
  <c r="F59" i="5"/>
  <c r="F58" i="5"/>
  <c r="F57" i="5"/>
  <c r="F40" i="5"/>
  <c r="F39" i="5"/>
  <c r="F38" i="5"/>
  <c r="F37" i="5"/>
  <c r="F36" i="5"/>
  <c r="F35" i="5"/>
  <c r="F34" i="5"/>
  <c r="F33" i="5"/>
  <c r="F16" i="5"/>
  <c r="F15" i="5"/>
  <c r="F14" i="5"/>
  <c r="F13" i="5"/>
  <c r="F12" i="5"/>
  <c r="F11" i="5"/>
  <c r="F10" i="5"/>
  <c r="F5" i="5"/>
  <c r="F4" i="5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4" i="4"/>
  <c r="E4" i="3"/>
  <c r="F4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E4" i="4" l="1"/>
</calcChain>
</file>

<file path=xl/sharedStrings.xml><?xml version="1.0" encoding="utf-8"?>
<sst xmlns="http://schemas.openxmlformats.org/spreadsheetml/2006/main" count="94" uniqueCount="39">
  <si>
    <t>常食</t>
  </si>
  <si>
    <t>1人</t>
  </si>
  <si>
    <t>g</t>
  </si>
  <si>
    <t>薄味</t>
  </si>
  <si>
    <t>注文数</t>
  </si>
  <si>
    <t>端数</t>
  </si>
  <si>
    <t>かつこんみ</t>
  </si>
  <si>
    <t>味噌</t>
  </si>
  <si>
    <t>水</t>
  </si>
  <si>
    <t>合計</t>
  </si>
  <si>
    <t>味噌汁　常食</t>
  </si>
  <si>
    <t>味噌汁　薄味</t>
  </si>
  <si>
    <t>人</t>
  </si>
  <si>
    <t>人（針刺し用）</t>
  </si>
  <si>
    <t>袋数</t>
  </si>
  <si>
    <t>ソフト食</t>
  </si>
  <si>
    <t>ミキサー食</t>
  </si>
  <si>
    <t>ゼリー食</t>
  </si>
  <si>
    <t>ソフト合計</t>
  </si>
  <si>
    <t>ミキサー合計</t>
  </si>
  <si>
    <t>ゼリー合計</t>
  </si>
  <si>
    <t>人（保存用）</t>
    <rPh sb="2" eb="4">
      <t xml:space="preserve">ホゾｎ </t>
    </rPh>
    <phoneticPr fontId="3"/>
  </si>
  <si>
    <t>ゼリー合計</t>
    <phoneticPr fontId="3"/>
  </si>
  <si>
    <t>ミキサー合計</t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</si>
  <si>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</si>
  <si>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</si>
  <si>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注文</t>
    <rPh sb="0" eb="2">
      <t>チュウモン</t>
    </rPh>
    <phoneticPr fontId="3"/>
  </si>
  <si>
    <t>袋数</t>
    <rPh sb="0" eb="1">
      <t>フクロ</t>
    </rPh>
    <rPh sb="1" eb="2">
      <t>スウ</t>
    </rPh>
    <phoneticPr fontId="3"/>
  </si>
  <si>
    <t>かつこんみ(/袋)</t>
    <rPh sb="7" eb="8">
      <t>フクロ</t>
    </rPh>
    <phoneticPr fontId="3"/>
  </si>
  <si>
    <t>味噌(/袋)</t>
    <phoneticPr fontId="3"/>
  </si>
  <si>
    <t>水(/袋)</t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</si>
  <si>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</si>
  <si>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</si>
  <si>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</si>
  <si>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人前（保存用）</t>
    <rPh sb="1" eb="2">
      <t>マエ</t>
    </rPh>
    <rPh sb="3" eb="5">
      <t>ホゾン</t>
    </rPh>
    <phoneticPr fontId="3"/>
  </si>
  <si>
    <t>人前（写真用）</t>
    <rPh sb="1" eb="2">
      <t>マエ</t>
    </rPh>
    <rPh sb="3" eb="5">
      <t>シャシン</t>
    </rPh>
    <phoneticPr fontId="3"/>
  </si>
  <si>
    <t>薄味</t>
    <rPh sb="0" eb="2">
      <t>ウスアジ</t>
    </rPh>
    <phoneticPr fontId="3"/>
  </si>
  <si>
    <t>人前（保存用50g）</t>
    <rPh sb="1" eb="2">
      <t>マエ</t>
    </rPh>
    <rPh sb="3" eb="5">
      <t>ホゾン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</si>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</sst>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9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6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16"/>
      <color theme="1"/>
      <name val="Meiryo UI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8" xfId="0" applyFont="1" applyFill="1" applyBorder="1" applyAlignment="1">
      <alignment horizontal="center" vertical="center" shrinkToFit="1"/>
    </xf>
    <xf numFmtId="1" fontId="9" fillId="0" borderId="10" xfId="0" applyNumberFormat="1" applyFont="1" applyBorder="1" applyAlignment="1">
      <alignment vertical="center" shrinkToFit="1"/>
    </xf>
    <xf numFmtId="0" fontId="1" fillId="4" borderId="47" xfId="0" applyFont="1" applyFill="1" applyBorder="1" applyAlignment="1">
      <alignment horizontal="center" vertical="center" shrinkToFit="1"/>
    </xf>
    <xf numFmtId="0" fontId="1" fillId="4" borderId="49" xfId="0" applyFont="1" applyFill="1" applyBorder="1" applyAlignment="1">
      <alignment horizontal="center" vertical="center" shrinkToFit="1"/>
    </xf>
    <xf numFmtId="1" fontId="1" fillId="4" borderId="49" xfId="0" applyNumberFormat="1" applyFont="1" applyFill="1" applyBorder="1" applyAlignment="1">
      <alignment horizontal="center" vertical="center" shrinkToFit="1"/>
    </xf>
    <xf numFmtId="176" fontId="1" fillId="0" borderId="0" xfId="0" applyNumberFormat="1" applyFont="1" applyAlignment="1">
      <alignment vertical="center" shrinkToFit="1"/>
    </xf>
    <xf numFmtId="0" fontId="2" fillId="0" borderId="10" xfId="0" applyFont="1" applyBorder="1" applyAlignment="1">
      <alignment horizontal="center" vertical="center" shrinkToFit="1"/>
    </xf>
    <xf numFmtId="1" fontId="9" fillId="0" borderId="7" xfId="0" applyNumberFormat="1" applyFont="1" applyBorder="1" applyAlignment="1">
      <alignment horizontal="right" vertical="center" shrinkToFit="1"/>
    </xf>
    <xf numFmtId="1" fontId="9" fillId="0" borderId="11" xfId="0" applyNumberFormat="1" applyFont="1" applyBorder="1" applyAlignment="1">
      <alignment vertical="center" shrinkToFit="1"/>
    </xf>
    <xf numFmtId="1" fontId="9" fillId="0" borderId="11" xfId="0" applyNumberFormat="1" applyFont="1" applyBorder="1" applyAlignment="1">
      <alignment horizontal="right" vertical="center" shrinkToFit="1"/>
    </xf>
    <xf numFmtId="1" fontId="9" fillId="0" borderId="10" xfId="0" applyNumberFormat="1" applyFont="1" applyBorder="1" applyAlignment="1">
      <alignment horizontal="right" vertical="center" shrinkToFit="1"/>
    </xf>
    <xf numFmtId="1" fontId="9" fillId="0" borderId="8" xfId="0" applyNumberFormat="1" applyFont="1" applyBorder="1" applyAlignment="1">
      <alignment horizontal="right" vertical="center" shrinkToFit="1"/>
    </xf>
    <xf numFmtId="1" fontId="1" fillId="0" borderId="0" xfId="0" applyNumberFormat="1" applyFont="1" applyAlignment="1">
      <alignment vertical="center" shrinkToFit="1"/>
    </xf>
    <xf numFmtId="176" fontId="1" fillId="0" borderId="20" xfId="0" applyNumberFormat="1" applyFont="1" applyBorder="1" applyAlignment="1">
      <alignment vertical="center" shrinkToFit="1"/>
    </xf>
    <xf numFmtId="0" fontId="1" fillId="0" borderId="20" xfId="0" applyFont="1" applyBorder="1" applyAlignment="1">
      <alignment vertical="center" shrinkToFit="1"/>
    </xf>
    <xf numFmtId="1" fontId="1" fillId="5" borderId="49" xfId="0" applyNumberFormat="1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horizontal="center" vertical="center" shrinkToFit="1"/>
    </xf>
    <xf numFmtId="1" fontId="9" fillId="0" borderId="7" xfId="0" applyNumberFormat="1" applyFont="1" applyBorder="1" applyAlignment="1">
      <alignment vertical="center" shrinkToFit="1"/>
    </xf>
    <xf numFmtId="1" fontId="9" fillId="0" borderId="8" xfId="0" applyNumberFormat="1" applyFont="1" applyBorder="1" applyAlignment="1">
      <alignment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0" fillId="0" borderId="61" xfId="0" applyBorder="1"/>
    <xf numFmtId="1" fontId="4" fillId="0" borderId="15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vertical="center" shrinkToFit="1"/>
    </xf>
    <xf numFmtId="1" fontId="4" fillId="0" borderId="68" xfId="0" applyNumberFormat="1" applyFont="1" applyBorder="1" applyAlignment="1">
      <alignment vertical="center" shrinkToFit="1"/>
    </xf>
    <xf numFmtId="0" fontId="4" fillId="0" borderId="51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1" fontId="4" fillId="0" borderId="69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horizontal="right" vertical="center" shrinkToFit="1"/>
    </xf>
    <xf numFmtId="1" fontId="4" fillId="0" borderId="68" xfId="0" applyNumberFormat="1" applyFont="1" applyBorder="1" applyAlignment="1">
      <alignment horizontal="right" vertical="center" shrinkToFit="1"/>
    </xf>
    <xf numFmtId="1" fontId="4" fillId="0" borderId="69" xfId="0" applyNumberFormat="1" applyFont="1" applyBorder="1" applyAlignment="1">
      <alignment horizontal="right" vertical="center" shrinkToFit="1"/>
    </xf>
    <xf numFmtId="1" fontId="4" fillId="0" borderId="15" xfId="0" applyNumberFormat="1" applyFont="1" applyBorder="1" applyAlignment="1">
      <alignment horizontal="right" vertical="center" shrinkToFit="1"/>
    </xf>
    <xf numFmtId="0" fontId="14" fillId="0" borderId="27" xfId="0" applyFont="1" applyBorder="1" applyAlignment="1">
      <alignment horizontal="right" vertical="center" shrinkToFit="1"/>
    </xf>
    <xf numFmtId="176" fontId="14" fillId="0" borderId="27" xfId="0" applyNumberFormat="1" applyFont="1" applyBorder="1" applyAlignment="1">
      <alignment horizontal="right" vertical="center" shrinkToFit="1"/>
    </xf>
    <xf numFmtId="0" fontId="11" fillId="2" borderId="11" xfId="0" applyFont="1" applyFill="1" applyBorder="1" applyAlignment="1">
      <alignment horizontal="center" vertical="center" shrinkToFit="1"/>
    </xf>
    <xf numFmtId="0" fontId="15" fillId="2" borderId="33" xfId="0" applyFont="1" applyFill="1" applyBorder="1" applyAlignment="1">
      <alignment horizontal="center" vertical="center" shrinkToFit="1"/>
    </xf>
    <xf numFmtId="0" fontId="15" fillId="0" borderId="10" xfId="0" applyFont="1" applyBorder="1" applyAlignment="1">
      <alignment vertical="center" shrinkToFit="1"/>
    </xf>
    <xf numFmtId="1" fontId="17" fillId="0" borderId="1" xfId="0" applyNumberFormat="1" applyFont="1" applyBorder="1" applyAlignment="1">
      <alignment vertical="center" shrinkToFit="1"/>
    </xf>
    <xf numFmtId="0" fontId="15" fillId="0" borderId="56" xfId="0" applyFont="1" applyBorder="1" applyAlignment="1">
      <alignment horizontal="right" vertical="center" shrinkToFit="1"/>
    </xf>
    <xf numFmtId="0" fontId="15" fillId="0" borderId="57" xfId="0" applyFont="1" applyBorder="1" applyAlignment="1">
      <alignment horizontal="left" vertical="center" shrinkToFit="1"/>
    </xf>
    <xf numFmtId="0" fontId="15" fillId="0" borderId="7" xfId="0" applyFont="1" applyBorder="1" applyAlignment="1">
      <alignment vertical="center" shrinkToFit="1"/>
    </xf>
    <xf numFmtId="1" fontId="17" fillId="0" borderId="3" xfId="0" applyNumberFormat="1" applyFont="1" applyBorder="1" applyAlignment="1">
      <alignment vertical="center" shrinkToFit="1"/>
    </xf>
    <xf numFmtId="0" fontId="15" fillId="0" borderId="11" xfId="0" applyFont="1" applyBorder="1" applyAlignment="1">
      <alignment vertical="center" shrinkToFit="1"/>
    </xf>
    <xf numFmtId="1" fontId="17" fillId="0" borderId="12" xfId="0" applyNumberFormat="1" applyFont="1" applyBorder="1" applyAlignment="1">
      <alignment vertical="center" shrinkToFit="1"/>
    </xf>
    <xf numFmtId="0" fontId="15" fillId="0" borderId="22" xfId="0" applyFont="1" applyBorder="1" applyAlignment="1">
      <alignment vertical="center" shrinkToFit="1"/>
    </xf>
    <xf numFmtId="0" fontId="15" fillId="0" borderId="2" xfId="0" applyFont="1" applyBorder="1" applyAlignment="1">
      <alignment vertical="center" shrinkToFit="1"/>
    </xf>
    <xf numFmtId="0" fontId="15" fillId="0" borderId="23" xfId="0" applyFont="1" applyBorder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5" fillId="0" borderId="24" xfId="0" applyFont="1" applyBorder="1" applyAlignment="1">
      <alignment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1" fontId="17" fillId="0" borderId="53" xfId="0" applyNumberFormat="1" applyFont="1" applyBorder="1" applyAlignment="1">
      <alignment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62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shrinkToFit="1"/>
    </xf>
    <xf numFmtId="0" fontId="18" fillId="0" borderId="52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 shrinkToFit="1"/>
    </xf>
    <xf numFmtId="0" fontId="15" fillId="0" borderId="21" xfId="0" applyFont="1" applyBorder="1" applyAlignment="1">
      <alignment horizontal="right" vertical="center" shrinkToFit="1"/>
    </xf>
    <xf numFmtId="0" fontId="15" fillId="0" borderId="18" xfId="0" applyFont="1" applyBorder="1" applyAlignment="1">
      <alignment horizontal="left" vertical="center" shrinkToFit="1"/>
    </xf>
    <xf numFmtId="0" fontId="15" fillId="0" borderId="21" xfId="0" applyFont="1" applyBorder="1" applyAlignment="1">
      <alignment vertical="center" shrinkToFit="1"/>
    </xf>
    <xf numFmtId="0" fontId="15" fillId="0" borderId="18" xfId="0" applyFont="1" applyBorder="1" applyAlignment="1">
      <alignment vertical="center" shrinkToFit="1"/>
    </xf>
    <xf numFmtId="1" fontId="18" fillId="0" borderId="1" xfId="0" applyNumberFormat="1" applyFont="1" applyBorder="1" applyAlignment="1">
      <alignment vertical="center" shrinkToFit="1"/>
    </xf>
    <xf numFmtId="1" fontId="18" fillId="0" borderId="3" xfId="0" applyNumberFormat="1" applyFont="1" applyBorder="1" applyAlignment="1">
      <alignment vertical="center" shrinkToFit="1"/>
    </xf>
    <xf numFmtId="1" fontId="18" fillId="0" borderId="12" xfId="0" applyNumberFormat="1" applyFont="1" applyBorder="1" applyAlignment="1">
      <alignment vertical="center" shrinkToFit="1"/>
    </xf>
    <xf numFmtId="1" fontId="18" fillId="0" borderId="13" xfId="0" applyNumberFormat="1" applyFont="1" applyBorder="1" applyAlignment="1">
      <alignment vertical="center" shrinkToFit="1"/>
    </xf>
    <xf numFmtId="0" fontId="16" fillId="0" borderId="25" xfId="0" applyFont="1" applyBorder="1" applyAlignment="1">
      <alignment horizontal="right" vertical="center" shrinkToFit="1"/>
    </xf>
    <xf numFmtId="0" fontId="16" fillId="0" borderId="26" xfId="0" applyFont="1" applyBorder="1" applyAlignment="1">
      <alignment horizontal="left" vertical="center" shrinkToFit="1"/>
    </xf>
    <xf numFmtId="1" fontId="17" fillId="0" borderId="1" xfId="0" applyNumberFormat="1" applyFont="1" applyBorder="1" applyAlignment="1">
      <alignment horizontal="right" vertical="center" shrinkToFit="1"/>
    </xf>
    <xf numFmtId="0" fontId="15" fillId="0" borderId="58" xfId="0" applyFont="1" applyBorder="1" applyAlignment="1">
      <alignment vertical="center" shrinkToFit="1"/>
    </xf>
    <xf numFmtId="1" fontId="17" fillId="0" borderId="55" xfId="0" applyNumberFormat="1" applyFont="1" applyBorder="1" applyAlignment="1">
      <alignment horizontal="right" vertical="center" shrinkToFit="1"/>
    </xf>
    <xf numFmtId="1" fontId="17" fillId="0" borderId="12" xfId="0" applyNumberFormat="1" applyFont="1" applyBorder="1" applyAlignment="1">
      <alignment horizontal="right" vertical="center" shrinkToFit="1"/>
    </xf>
    <xf numFmtId="1" fontId="17" fillId="0" borderId="13" xfId="0" applyNumberFormat="1" applyFont="1" applyBorder="1" applyAlignment="1">
      <alignment vertical="center" shrinkToFit="1"/>
    </xf>
    <xf numFmtId="0" fontId="16" fillId="0" borderId="60" xfId="0" applyFont="1" applyBorder="1" applyAlignment="1">
      <alignment horizontal="center" vertical="center" shrinkToFit="1"/>
    </xf>
    <xf numFmtId="0" fontId="16" fillId="0" borderId="61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5" fillId="0" borderId="43" xfId="0" applyFont="1" applyBorder="1" applyAlignment="1">
      <alignment vertical="center" shrinkToFit="1"/>
    </xf>
    <xf numFmtId="2" fontId="15" fillId="0" borderId="36" xfId="0" applyNumberFormat="1" applyFont="1" applyBorder="1" applyAlignment="1">
      <alignment vertical="center" shrinkToFit="1"/>
    </xf>
    <xf numFmtId="2" fontId="15" fillId="0" borderId="31" xfId="0" applyNumberFormat="1" applyFont="1" applyBorder="1" applyAlignment="1">
      <alignment vertical="center" shrinkToFit="1"/>
    </xf>
    <xf numFmtId="1" fontId="15" fillId="0" borderId="31" xfId="0" applyNumberFormat="1" applyFont="1" applyBorder="1" applyAlignment="1">
      <alignment vertical="center" shrinkToFit="1"/>
    </xf>
    <xf numFmtId="1" fontId="15" fillId="0" borderId="32" xfId="0" applyNumberFormat="1" applyFont="1" applyBorder="1" applyAlignment="1">
      <alignment vertical="center" shrinkToFit="1"/>
    </xf>
    <xf numFmtId="0" fontId="15" fillId="0" borderId="9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62" xfId="0" applyFont="1" applyBorder="1" applyAlignment="1">
      <alignment vertical="center" shrinkToFit="1"/>
    </xf>
    <xf numFmtId="1" fontId="15" fillId="0" borderId="4" xfId="0" applyNumberFormat="1" applyFont="1" applyBorder="1" applyAlignment="1">
      <alignment horizontal="right" vertical="center" shrinkToFit="1"/>
    </xf>
    <xf numFmtId="1" fontId="15" fillId="0" borderId="7" xfId="0" applyNumberFormat="1" applyFont="1" applyBorder="1" applyAlignment="1">
      <alignment horizontal="right" vertical="center" shrinkToFit="1"/>
    </xf>
    <xf numFmtId="1" fontId="15" fillId="0" borderId="62" xfId="0" applyNumberFormat="1" applyFont="1" applyBorder="1" applyAlignment="1">
      <alignment horizontal="right" vertical="center" shrinkToFit="1"/>
    </xf>
    <xf numFmtId="177" fontId="15" fillId="0" borderId="63" xfId="0" applyNumberFormat="1" applyFont="1" applyBorder="1" applyAlignment="1">
      <alignment horizontal="right" vertical="center" shrinkToFit="1"/>
    </xf>
    <xf numFmtId="0" fontId="15" fillId="0" borderId="33" xfId="0" applyFont="1" applyBorder="1" applyAlignment="1">
      <alignment vertical="center" shrinkToFit="1"/>
    </xf>
    <xf numFmtId="1" fontId="15" fillId="0" borderId="18" xfId="0" applyNumberFormat="1" applyFont="1" applyBorder="1" applyAlignment="1">
      <alignment vertical="center" shrinkToFit="1"/>
    </xf>
    <xf numFmtId="1" fontId="15" fillId="0" borderId="11" xfId="0" applyNumberFormat="1" applyFont="1" applyBorder="1" applyAlignment="1">
      <alignment vertical="center" shrinkToFit="1"/>
    </xf>
    <xf numFmtId="1" fontId="15" fillId="0" borderId="33" xfId="0" applyNumberFormat="1" applyFont="1" applyBorder="1" applyAlignment="1">
      <alignment vertical="center" shrinkToFit="1"/>
    </xf>
    <xf numFmtId="177" fontId="15" fillId="0" borderId="64" xfId="0" applyNumberFormat="1" applyFont="1" applyBorder="1" applyAlignment="1">
      <alignment horizontal="right" vertical="center" shrinkToFit="1"/>
    </xf>
    <xf numFmtId="1" fontId="15" fillId="0" borderId="33" xfId="0" applyNumberFormat="1" applyFont="1" applyBorder="1" applyAlignment="1">
      <alignment horizontal="right" vertical="center" shrinkToFit="1"/>
    </xf>
    <xf numFmtId="0" fontId="15" fillId="0" borderId="41" xfId="0" applyFont="1" applyBorder="1" applyAlignment="1">
      <alignment vertical="center" shrinkToFit="1"/>
    </xf>
    <xf numFmtId="0" fontId="15" fillId="0" borderId="44" xfId="0" applyFont="1" applyBorder="1" applyAlignment="1">
      <alignment vertical="center" shrinkToFit="1"/>
    </xf>
    <xf numFmtId="1" fontId="15" fillId="0" borderId="2" xfId="0" applyNumberFormat="1" applyFont="1" applyBorder="1" applyAlignment="1">
      <alignment vertical="center" shrinkToFit="1"/>
    </xf>
    <xf numFmtId="1" fontId="15" fillId="0" borderId="10" xfId="0" applyNumberFormat="1" applyFont="1" applyBorder="1" applyAlignment="1">
      <alignment vertical="center" shrinkToFit="1"/>
    </xf>
    <xf numFmtId="1" fontId="15" fillId="0" borderId="29" xfId="0" applyNumberFormat="1" applyFont="1" applyBorder="1" applyAlignment="1">
      <alignment vertical="center" shrinkToFit="1"/>
    </xf>
    <xf numFmtId="177" fontId="15" fillId="0" borderId="9" xfId="0" applyNumberFormat="1" applyFont="1" applyBorder="1" applyAlignment="1">
      <alignment horizontal="right" vertical="center" shrinkToFit="1"/>
    </xf>
    <xf numFmtId="1" fontId="15" fillId="0" borderId="29" xfId="0" applyNumberFormat="1" applyFont="1" applyBorder="1" applyAlignment="1">
      <alignment horizontal="right" vertical="center" shrinkToFit="1"/>
    </xf>
    <xf numFmtId="0" fontId="15" fillId="0" borderId="45" xfId="0" applyFont="1" applyBorder="1" applyAlignment="1">
      <alignment vertical="center" shrinkToFit="1"/>
    </xf>
    <xf numFmtId="0" fontId="15" fillId="0" borderId="42" xfId="0" applyFont="1" applyBorder="1" applyAlignment="1">
      <alignment vertical="center" shrinkToFit="1"/>
    </xf>
    <xf numFmtId="0" fontId="15" fillId="0" borderId="46" xfId="0" applyFont="1" applyBorder="1" applyAlignment="1">
      <alignment vertical="center" shrinkToFit="1"/>
    </xf>
    <xf numFmtId="1" fontId="15" fillId="0" borderId="37" xfId="0" applyNumberFormat="1" applyFont="1" applyBorder="1" applyAlignment="1">
      <alignment vertical="center" shrinkToFit="1"/>
    </xf>
    <xf numFmtId="1" fontId="15" fillId="0" borderId="34" xfId="0" applyNumberFormat="1" applyFont="1" applyBorder="1" applyAlignment="1">
      <alignment vertical="center" shrinkToFit="1"/>
    </xf>
    <xf numFmtId="1" fontId="15" fillId="0" borderId="35" xfId="0" applyNumberFormat="1" applyFont="1" applyBorder="1" applyAlignment="1">
      <alignment vertical="center" shrinkToFit="1"/>
    </xf>
    <xf numFmtId="177" fontId="15" fillId="0" borderId="65" xfId="0" applyNumberFormat="1" applyFont="1" applyBorder="1" applyAlignment="1">
      <alignment horizontal="right" vertical="center" shrinkToFit="1"/>
    </xf>
    <xf numFmtId="1" fontId="15" fillId="0" borderId="66" xfId="0" applyNumberFormat="1" applyFont="1" applyBorder="1" applyAlignment="1">
      <alignment horizontal="right" vertical="center" shrinkToFit="1"/>
    </xf>
    <xf numFmtId="0" fontId="15" fillId="0" borderId="67" xfId="0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vertical="center" shrinkToFit="1"/>
    </xf>
    <xf numFmtId="1" fontId="15" fillId="0" borderId="7" xfId="0" applyNumberFormat="1" applyFont="1" applyBorder="1" applyAlignment="1">
      <alignment vertical="center" shrinkToFit="1"/>
    </xf>
    <xf numFmtId="1" fontId="15" fillId="0" borderId="62" xfId="0" applyNumberFormat="1" applyFont="1" applyBorder="1" applyAlignment="1">
      <alignment vertical="center" shrinkToFit="1"/>
    </xf>
    <xf numFmtId="177" fontId="15" fillId="0" borderId="64" xfId="0" applyNumberFormat="1" applyFont="1" applyBorder="1" applyAlignment="1">
      <alignment vertical="center" shrinkToFit="1"/>
    </xf>
    <xf numFmtId="177" fontId="15" fillId="0" borderId="9" xfId="0" applyNumberFormat="1" applyFont="1" applyBorder="1" applyAlignment="1">
      <alignment vertical="center" shrinkToFit="1"/>
    </xf>
    <xf numFmtId="177" fontId="15" fillId="0" borderId="65" xfId="0" applyNumberFormat="1" applyFont="1" applyBorder="1" applyAlignment="1">
      <alignment vertical="center" shrinkToFit="1"/>
    </xf>
    <xf numFmtId="1" fontId="15" fillId="0" borderId="66" xfId="0" applyNumberFormat="1" applyFont="1" applyBorder="1" applyAlignment="1">
      <alignment vertical="center" shrinkToFit="1"/>
    </xf>
    <xf numFmtId="0" fontId="16" fillId="3" borderId="11" xfId="0" applyFont="1" applyFill="1" applyBorder="1" applyAlignment="1">
      <alignment horizontal="center" vertical="center" shrinkToFit="1"/>
    </xf>
    <xf numFmtId="0" fontId="16" fillId="2" borderId="21" xfId="0" applyFont="1" applyFill="1" applyBorder="1" applyAlignment="1">
      <alignment horizontal="center" vertical="center" shrinkToFit="1"/>
    </xf>
    <xf numFmtId="0" fontId="16" fillId="2" borderId="18" xfId="0" applyFont="1" applyFill="1" applyBorder="1" applyAlignment="1">
      <alignment horizontal="center" vertical="center" shrinkToFit="1"/>
    </xf>
    <xf numFmtId="0" fontId="16" fillId="2" borderId="11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 shrinkToFit="1"/>
    </xf>
    <xf numFmtId="0" fontId="15" fillId="4" borderId="49" xfId="0" applyFont="1" applyFill="1" applyBorder="1" applyAlignment="1">
      <alignment horizontal="center" vertical="center" shrinkToFit="1"/>
    </xf>
    <xf numFmtId="1" fontId="15" fillId="4" borderId="48" xfId="0" applyNumberFormat="1" applyFont="1" applyFill="1" applyBorder="1" applyAlignment="1">
      <alignment horizontal="center" vertical="center" shrinkToFit="1"/>
    </xf>
    <xf numFmtId="1" fontId="15" fillId="4" borderId="49" xfId="0" applyNumberFormat="1" applyFont="1" applyFill="1" applyBorder="1" applyAlignment="1">
      <alignment horizontal="center" vertical="center" shrinkToFit="1"/>
    </xf>
    <xf numFmtId="0" fontId="15" fillId="4" borderId="50" xfId="0" applyFont="1" applyFill="1" applyBorder="1" applyAlignment="1">
      <alignment horizontal="center" vertical="center"/>
    </xf>
    <xf numFmtId="0" fontId="15" fillId="4" borderId="49" xfId="0" applyFont="1" applyFill="1" applyBorder="1" applyAlignment="1">
      <alignment horizontal="center" vertical="center"/>
    </xf>
    <xf numFmtId="0" fontId="16" fillId="3" borderId="47" xfId="0" applyFont="1" applyFill="1" applyBorder="1" applyAlignment="1">
      <alignment horizontal="center" vertical="center" shrinkToFit="1"/>
    </xf>
    <xf numFmtId="0" fontId="16" fillId="3" borderId="48" xfId="0" applyFont="1" applyFill="1" applyBorder="1" applyAlignment="1">
      <alignment horizontal="center" vertical="center" shrinkToFit="1"/>
    </xf>
    <xf numFmtId="1" fontId="15" fillId="3" borderId="48" xfId="0" applyNumberFormat="1" applyFont="1" applyFill="1" applyBorder="1" applyAlignment="1">
      <alignment horizontal="center" vertical="center" shrinkToFit="1"/>
    </xf>
    <xf numFmtId="1" fontId="15" fillId="3" borderId="49" xfId="0" applyNumberFormat="1" applyFont="1" applyFill="1" applyBorder="1" applyAlignment="1">
      <alignment horizontal="center" vertical="center" shrinkToFit="1"/>
    </xf>
    <xf numFmtId="0" fontId="15" fillId="3" borderId="49" xfId="0" applyFont="1" applyFill="1" applyBorder="1" applyAlignment="1">
      <alignment horizontal="center" vertical="center" shrinkToFit="1"/>
    </xf>
    <xf numFmtId="1" fontId="15" fillId="5" borderId="49" xfId="0" applyNumberFormat="1" applyFont="1" applyFill="1" applyBorder="1" applyAlignment="1">
      <alignment horizontal="center" vertical="center" shrinkToFit="1"/>
    </xf>
    <xf numFmtId="0" fontId="16" fillId="3" borderId="49" xfId="0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0" fontId="8" fillId="0" borderId="70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8" fillId="0" borderId="59" xfId="0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8" fillId="0" borderId="6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0" fontId="15" fillId="0" borderId="40" xfId="0" applyFont="1" applyBorder="1" applyAlignment="1">
      <alignment vertical="center" shrinkToFit="1"/>
    </xf>
    <xf numFmtId="0" fontId="15" fillId="0" borderId="23" xfId="0" applyFont="1" applyBorder="1" applyAlignment="1">
      <alignment horizontal="right" vertical="center" shrinkToFit="1"/>
    </xf>
    <xf numFmtId="0" fontId="15" fillId="0" borderId="4" xfId="0" applyFont="1" applyBorder="1" applyAlignment="1">
      <alignment horizontal="left" vertical="center" shrinkToFit="1"/>
    </xf>
    <xf numFmtId="1" fontId="17" fillId="0" borderId="3" xfId="0" applyNumberFormat="1" applyFont="1" applyBorder="1" applyAlignment="1">
      <alignment horizontal="right" vertical="center" shrinkToFit="1"/>
    </xf>
    <xf numFmtId="0" fontId="18" fillId="0" borderId="62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shrinkToFit="1"/>
    </xf>
    <xf numFmtId="0" fontId="17" fillId="0" borderId="26" xfId="0" applyFont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6" fillId="0" borderId="25" xfId="0" applyFont="1" applyBorder="1" applyAlignment="1">
      <alignment horizontal="left" vertical="center" shrinkToFit="1"/>
    </xf>
    <xf numFmtId="0" fontId="15" fillId="0" borderId="26" xfId="0" applyFont="1" applyBorder="1" applyAlignment="1">
      <alignment horizontal="left" vertical="center" shrinkToFit="1"/>
    </xf>
    <xf numFmtId="0" fontId="12" fillId="0" borderId="20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1" fontId="15" fillId="2" borderId="12" xfId="0" applyNumberFormat="1" applyFont="1" applyFill="1" applyBorder="1" applyAlignment="1">
      <alignment horizontal="center" vertical="center" shrinkToFit="1"/>
    </xf>
    <xf numFmtId="1" fontId="15" fillId="2" borderId="18" xfId="0" applyNumberFormat="1" applyFont="1" applyFill="1" applyBorder="1" applyAlignment="1">
      <alignment horizontal="center" vertical="center" shrinkToFit="1"/>
    </xf>
    <xf numFmtId="1" fontId="15" fillId="3" borderId="12" xfId="0" applyNumberFormat="1" applyFont="1" applyFill="1" applyBorder="1" applyAlignment="1">
      <alignment horizontal="center" vertical="center" shrinkToFit="1"/>
    </xf>
    <xf numFmtId="1" fontId="15" fillId="3" borderId="18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1" fontId="15" fillId="2" borderId="39" xfId="0" applyNumberFormat="1" applyFont="1" applyFill="1" applyBorder="1" applyAlignment="1">
      <alignment horizontal="center" vertical="center" shrinkToFit="1"/>
    </xf>
    <xf numFmtId="1" fontId="15" fillId="2" borderId="15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6" fillId="0" borderId="30" xfId="0" applyFont="1" applyBorder="1" applyAlignment="1">
      <alignment horizontal="left" vertical="center" shrinkToFit="1"/>
    </xf>
    <xf numFmtId="0" fontId="15" fillId="0" borderId="38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Q97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82" t="s">
        <v>0</v>
      </c>
      <c r="C1" s="181"/>
      <c r="D1" s="181"/>
      <c r="E1" s="181"/>
      <c r="F1" s="181"/>
      <c r="G1" s="178"/>
      <c r="H1" s="178"/>
    </row>
    <row r="2" spans="2:17" ht="50.1" customHeight="1">
      <c r="B2" s="183"/>
      <c r="C2" s="184"/>
      <c r="D2" s="184"/>
      <c r="E2" s="44"/>
      <c r="F2" s="149" t="s">
        <v>2</v>
      </c>
      <c r="G2" s="36"/>
      <c r="H2" s="29"/>
    </row>
    <row r="3" spans="2:17" s="4" customFormat="1" ht="36" customHeight="1" thickBot="1">
      <c r="B3" s="7"/>
      <c r="C3" s="8"/>
      <c r="D3" s="46" t="s">
        <v>5</v>
      </c>
      <c r="E3" s="185" t="s">
        <v>0</v>
      </c>
      <c r="F3" s="186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79" t="s">
        <v>1</v>
      </c>
      <c r="C4" s="180"/>
      <c r="D4" s="48">
        <v>1</v>
      </c>
      <c r="E4" s="49">
        <f>D4*$E$2</f>
        <v>0</v>
      </c>
      <c r="F4" s="150" t="str">
        <f>$F$2</f>
        <v>g</v>
      </c>
      <c r="G4" s="64"/>
      <c r="H4" s="31"/>
    </row>
    <row r="5" spans="2:17" ht="36" customHeight="1">
      <c r="B5" s="50">
        <v>30</v>
      </c>
      <c r="C5" s="51" t="s">
        <v>32</v>
      </c>
      <c r="D5" s="52">
        <v>1</v>
      </c>
      <c r="E5" s="53">
        <f>B5*$E$2</f>
        <v>0</v>
      </c>
      <c r="F5" s="151" t="str">
        <f t="shared" ref="F5:F9" si="0">$F$2</f>
        <v>g</v>
      </c>
      <c r="G5" s="65">
        <v>2</v>
      </c>
      <c r="H5" s="37">
        <f>B5*G5*$E$2</f>
        <v>0</v>
      </c>
      <c r="I5"/>
      <c r="J5"/>
    </row>
    <row r="6" spans="2:17" ht="36" customHeight="1">
      <c r="B6" s="50">
        <v>10</v>
      </c>
      <c r="C6" s="51" t="s">
        <v>34</v>
      </c>
      <c r="D6" s="52">
        <v>1</v>
      </c>
      <c r="E6" s="53">
        <f t="shared" ref="E6:E9" si="1">B6*$E$2</f>
        <v>0</v>
      </c>
      <c r="F6" s="151" t="str">
        <f t="shared" si="0"/>
        <v>g</v>
      </c>
      <c r="G6" s="65">
        <v>3</v>
      </c>
      <c r="H6" s="37">
        <f t="shared" ref="H6:H9" si="2">B6*G6*$E$2</f>
        <v>0</v>
      </c>
      <c r="I6"/>
      <c r="J6"/>
    </row>
    <row r="7" spans="2:17" ht="36" customHeight="1">
      <c r="B7" s="50">
        <v>1</v>
      </c>
      <c r="C7" s="51" t="s">
        <v>37</v>
      </c>
      <c r="D7" s="52">
        <v>1</v>
      </c>
      <c r="E7" s="53">
        <v>50</v>
      </c>
      <c r="F7" s="151" t="str">
        <f t="shared" si="0"/>
        <v>g</v>
      </c>
      <c r="G7" s="65"/>
      <c r="H7" s="37">
        <f t="shared" si="2"/>
        <v>0</v>
      </c>
      <c r="I7"/>
      <c r="J7"/>
    </row>
    <row r="8" spans="2:17" ht="36" customHeight="1">
      <c r="B8" s="50">
        <v>1</v>
      </c>
      <c r="C8" s="51" t="s">
        <v>34</v>
      </c>
      <c r="D8" s="52">
        <v>1</v>
      </c>
      <c r="E8" s="53">
        <f t="shared" si="1"/>
        <v>0</v>
      </c>
      <c r="F8" s="151" t="str">
        <f t="shared" si="0"/>
        <v>g</v>
      </c>
      <c r="G8" s="65"/>
      <c r="H8" s="37">
        <f t="shared" si="2"/>
        <v>0</v>
      </c>
      <c r="I8"/>
      <c r="J8"/>
    </row>
    <row r="9" spans="2:17" ht="36" customHeight="1" thickBot="1">
      <c r="B9" s="50">
        <v>1</v>
      </c>
      <c r="C9" s="51" t="s">
        <v>35</v>
      </c>
      <c r="D9" s="54">
        <v>1</v>
      </c>
      <c r="E9" s="55">
        <f t="shared" si="1"/>
        <v>0</v>
      </c>
      <c r="F9" s="152" t="str">
        <f t="shared" si="0"/>
        <v>g</v>
      </c>
      <c r="G9" s="66"/>
      <c r="H9" s="38">
        <f t="shared" si="2"/>
        <v>0</v>
      </c>
      <c r="I9"/>
      <c r="J9"/>
    </row>
    <row r="10" spans="2:17" ht="36" customHeight="1" thickTop="1">
      <c r="B10" s="172" t="s">
        <v>18</v>
      </c>
      <c r="C10" s="173"/>
      <c r="D10" s="48">
        <f>具_ソフト!D8</f>
        <v>0</v>
      </c>
      <c r="E10" s="49">
        <f>D10*$E$2</f>
        <v>0</v>
      </c>
      <c r="F10" s="153" t="str">
        <f t="shared" ref="F10:F84" si="3">$F$2</f>
        <v>g</v>
      </c>
      <c r="G10" s="67"/>
      <c r="H10" s="39"/>
    </row>
    <row r="11" spans="2:17" ht="36" customHeight="1">
      <c r="B11" s="174" t="s">
        <v>19</v>
      </c>
      <c r="C11" s="175"/>
      <c r="D11" s="48">
        <f>具_ミキサー!D8</f>
        <v>0</v>
      </c>
      <c r="E11" s="53">
        <f t="shared" ref="E11:E12" si="4">D11*$E$2</f>
        <v>0</v>
      </c>
      <c r="F11" s="151" t="str">
        <f t="shared" si="3"/>
        <v>g</v>
      </c>
      <c r="G11" s="68"/>
      <c r="H11" s="34"/>
    </row>
    <row r="12" spans="2:17" ht="36" customHeight="1" thickBot="1">
      <c r="B12" s="176" t="s">
        <v>20</v>
      </c>
      <c r="C12" s="177"/>
      <c r="D12" s="54">
        <f>具_ゼリー!D8</f>
        <v>0</v>
      </c>
      <c r="E12" s="55">
        <f t="shared" si="4"/>
        <v>0</v>
      </c>
      <c r="F12" s="152" t="str">
        <f t="shared" si="3"/>
        <v>g</v>
      </c>
      <c r="G12" s="69"/>
      <c r="H12" s="33"/>
    </row>
    <row r="13" spans="2:17" ht="36" customHeight="1" thickTop="1">
      <c r="B13" s="56"/>
      <c r="C13" s="57"/>
      <c r="D13" s="48"/>
      <c r="E13" s="49" t="str">
        <f>IFERROR(H13/G13, IF(D13="", "", 0))</f>
        <v/>
      </c>
      <c r="F13" s="150" t="str">
        <f t="shared" si="3"/>
        <v>g</v>
      </c>
      <c r="G13" s="68">
        <f>IF(AND(D13="", B13&lt;&gt;""), 1, ROUNDUP(D13/30,0))</f>
        <v>0</v>
      </c>
      <c r="H13" s="40">
        <f>IF(AND(D13="", B13&lt;&gt;""), $E$2, D13*$E$2)</f>
        <v>0</v>
      </c>
    </row>
    <row r="14" spans="2:17" ht="36" customHeight="1">
      <c r="B14" s="58"/>
      <c r="C14" s="59"/>
      <c r="D14" s="52"/>
      <c r="E14" s="49" t="str">
        <f t="shared" ref="E14:E84" si="5">IFERROR(H14/G14, IF(D14="", "", 0))</f>
        <v/>
      </c>
      <c r="F14" s="151" t="str">
        <f t="shared" si="3"/>
        <v>g</v>
      </c>
      <c r="G14" s="68">
        <f t="shared" ref="G14:G84" si="6">IF(AND(D14="", B14&lt;&gt;""), 1, ROUNDUP(D14/30,0))</f>
        <v>0</v>
      </c>
      <c r="H14" s="40">
        <f t="shared" ref="H14:H84" si="7">IF(AND(D14="", B14&lt;&gt;""), $E$2, D14*$E$2)</f>
        <v>0</v>
      </c>
    </row>
    <row r="15" spans="2:17" ht="36" customHeight="1">
      <c r="B15" s="58"/>
      <c r="C15" s="59"/>
      <c r="D15" s="52"/>
      <c r="E15" s="49" t="str">
        <f t="shared" si="5"/>
        <v/>
      </c>
      <c r="F15" s="151" t="str">
        <f t="shared" si="3"/>
        <v>g</v>
      </c>
      <c r="G15" s="68">
        <f t="shared" si="6"/>
        <v>0</v>
      </c>
      <c r="H15" s="40">
        <f t="shared" si="7"/>
        <v>0</v>
      </c>
    </row>
    <row r="16" spans="2:17" ht="36" customHeight="1">
      <c r="B16" s="58"/>
      <c r="C16" s="59"/>
      <c r="D16" s="52"/>
      <c r="E16" s="49" t="str">
        <f t="shared" si="5"/>
        <v/>
      </c>
      <c r="F16" s="151" t="str">
        <f t="shared" si="3"/>
        <v>g</v>
      </c>
      <c r="G16" s="68">
        <f t="shared" si="6"/>
        <v>0</v>
      </c>
      <c r="H16" s="40">
        <f t="shared" si="7"/>
        <v>0</v>
      </c>
    </row>
    <row r="17" spans="2:8" ht="36" customHeight="1">
      <c r="B17" s="58"/>
      <c r="C17" s="59"/>
      <c r="D17" s="52"/>
      <c r="E17" s="49" t="str">
        <f t="shared" si="5"/>
        <v/>
      </c>
      <c r="F17" s="151" t="str">
        <f t="shared" si="3"/>
        <v>g</v>
      </c>
      <c r="G17" s="68">
        <f t="shared" si="6"/>
        <v>0</v>
      </c>
      <c r="H17" s="40">
        <f t="shared" si="7"/>
        <v>0</v>
      </c>
    </row>
    <row r="18" spans="2:8" ht="36" customHeight="1">
      <c r="B18" s="58"/>
      <c r="C18" s="59"/>
      <c r="D18" s="52"/>
      <c r="E18" s="49" t="str">
        <f t="shared" si="5"/>
        <v/>
      </c>
      <c r="F18" s="151" t="str">
        <f t="shared" si="3"/>
        <v>g</v>
      </c>
      <c r="G18" s="68">
        <f t="shared" si="6"/>
        <v>0</v>
      </c>
      <c r="H18" s="40">
        <f t="shared" si="7"/>
        <v>0</v>
      </c>
    </row>
    <row r="19" spans="2:8" ht="36" customHeight="1">
      <c r="B19" s="58"/>
      <c r="C19" s="59"/>
      <c r="D19" s="52"/>
      <c r="E19" s="49" t="str">
        <f t="shared" si="5"/>
        <v/>
      </c>
      <c r="F19" s="151" t="str">
        <f t="shared" si="3"/>
        <v>g</v>
      </c>
      <c r="G19" s="68">
        <f t="shared" si="6"/>
        <v>0</v>
      </c>
      <c r="H19" s="40">
        <f t="shared" si="7"/>
        <v>0</v>
      </c>
    </row>
    <row r="20" spans="2:8" ht="36" customHeight="1">
      <c r="B20" s="58"/>
      <c r="C20" s="59"/>
      <c r="D20" s="52"/>
      <c r="E20" s="49" t="str">
        <f t="shared" si="5"/>
        <v/>
      </c>
      <c r="F20" s="151" t="str">
        <f t="shared" si="3"/>
        <v>g</v>
      </c>
      <c r="G20" s="68">
        <f t="shared" si="6"/>
        <v>0</v>
      </c>
      <c r="H20" s="40">
        <f t="shared" si="7"/>
        <v>0</v>
      </c>
    </row>
    <row r="21" spans="2:8" ht="36" customHeight="1">
      <c r="B21" s="58"/>
      <c r="C21" s="59"/>
      <c r="D21" s="52"/>
      <c r="E21" s="49" t="str">
        <f t="shared" si="5"/>
        <v/>
      </c>
      <c r="F21" s="151" t="str">
        <f t="shared" si="3"/>
        <v>g</v>
      </c>
      <c r="G21" s="68">
        <f t="shared" si="6"/>
        <v>0</v>
      </c>
      <c r="H21" s="40">
        <f t="shared" si="7"/>
        <v>0</v>
      </c>
    </row>
    <row r="22" spans="2:8" ht="36" customHeight="1">
      <c r="B22" s="58"/>
      <c r="C22" s="59"/>
      <c r="D22" s="52"/>
      <c r="E22" s="49" t="str">
        <f t="shared" si="5"/>
        <v/>
      </c>
      <c r="F22" s="151" t="str">
        <f t="shared" si="3"/>
        <v>g</v>
      </c>
      <c r="G22" s="68">
        <f t="shared" si="6"/>
        <v>0</v>
      </c>
      <c r="H22" s="40">
        <f t="shared" si="7"/>
        <v>0</v>
      </c>
    </row>
    <row r="23" spans="2:8" ht="36" customHeight="1">
      <c r="B23" s="58"/>
      <c r="C23" s="59"/>
      <c r="D23" s="52"/>
      <c r="E23" s="49" t="str">
        <f t="shared" si="5"/>
        <v/>
      </c>
      <c r="F23" s="151" t="str">
        <f t="shared" si="3"/>
        <v>g</v>
      </c>
      <c r="G23" s="68">
        <f t="shared" si="6"/>
        <v>0</v>
      </c>
      <c r="H23" s="40">
        <f t="shared" si="7"/>
        <v>0</v>
      </c>
    </row>
    <row r="24" spans="2:8" ht="36" customHeight="1">
      <c r="B24" s="58"/>
      <c r="C24" s="59"/>
      <c r="D24" s="52"/>
      <c r="E24" s="49" t="str">
        <f t="shared" si="5"/>
        <v/>
      </c>
      <c r="F24" s="151" t="str">
        <f t="shared" si="3"/>
        <v>g</v>
      </c>
      <c r="G24" s="68">
        <f t="shared" si="6"/>
        <v>0</v>
      </c>
      <c r="H24" s="40">
        <f t="shared" si="7"/>
        <v>0</v>
      </c>
    </row>
    <row r="25" spans="2:8" ht="36" hidden="1" customHeight="1">
      <c r="B25" s="58"/>
      <c r="C25" s="59"/>
      <c r="D25" s="52"/>
      <c r="E25" s="49" t="str">
        <f t="shared" si="5"/>
        <v/>
      </c>
      <c r="F25" s="151" t="str">
        <f t="shared" si="3"/>
        <v>g</v>
      </c>
      <c r="G25" s="68">
        <f t="shared" si="6"/>
        <v>0</v>
      </c>
      <c r="H25" s="40">
        <f t="shared" si="7"/>
        <v>0</v>
      </c>
    </row>
    <row r="26" spans="2:8" ht="36" hidden="1" customHeight="1">
      <c r="B26" s="58"/>
      <c r="C26" s="59"/>
      <c r="D26" s="52"/>
      <c r="E26" s="49" t="str">
        <f t="shared" si="5"/>
        <v/>
      </c>
      <c r="F26" s="151" t="str">
        <f t="shared" si="3"/>
        <v>g</v>
      </c>
      <c r="G26" s="68">
        <f t="shared" si="6"/>
        <v>0</v>
      </c>
      <c r="H26" s="40">
        <f t="shared" si="7"/>
        <v>0</v>
      </c>
    </row>
    <row r="27" spans="2:8" ht="36" hidden="1" customHeight="1">
      <c r="B27" s="58"/>
      <c r="C27" s="59"/>
      <c r="D27" s="52"/>
      <c r="E27" s="49" t="str">
        <f t="shared" si="5"/>
        <v/>
      </c>
      <c r="F27" s="151" t="str">
        <f t="shared" si="3"/>
        <v>g</v>
      </c>
      <c r="G27" s="68">
        <f t="shared" si="6"/>
        <v>0</v>
      </c>
      <c r="H27" s="40">
        <f t="shared" si="7"/>
        <v>0</v>
      </c>
    </row>
    <row r="28" spans="2:8" ht="36" hidden="1" customHeight="1">
      <c r="B28" s="58"/>
      <c r="C28" s="59"/>
      <c r="D28" s="52"/>
      <c r="E28" s="49" t="str">
        <f t="shared" si="5"/>
        <v/>
      </c>
      <c r="F28" s="151" t="str">
        <f t="shared" si="3"/>
        <v>g</v>
      </c>
      <c r="G28" s="68">
        <f t="shared" si="6"/>
        <v>0</v>
      </c>
      <c r="H28" s="40">
        <f t="shared" si="7"/>
        <v>0</v>
      </c>
    </row>
    <row r="29" spans="2:8" ht="36" hidden="1" customHeight="1">
      <c r="B29" s="58"/>
      <c r="C29" s="59"/>
      <c r="D29" s="52"/>
      <c r="E29" s="49" t="str">
        <f t="shared" si="5"/>
        <v/>
      </c>
      <c r="F29" s="151" t="str">
        <f t="shared" si="3"/>
        <v>g</v>
      </c>
      <c r="G29" s="68">
        <f t="shared" si="6"/>
        <v>0</v>
      </c>
      <c r="H29" s="40">
        <f t="shared" si="7"/>
        <v>0</v>
      </c>
    </row>
    <row r="30" spans="2:8" ht="36" hidden="1" customHeight="1">
      <c r="B30" s="58"/>
      <c r="C30" s="59"/>
      <c r="D30" s="52"/>
      <c r="E30" s="49" t="str">
        <f t="shared" si="5"/>
        <v/>
      </c>
      <c r="F30" s="151" t="str">
        <f t="shared" si="3"/>
        <v>g</v>
      </c>
      <c r="G30" s="68">
        <f t="shared" si="6"/>
        <v>0</v>
      </c>
      <c r="H30" s="40">
        <f t="shared" si="7"/>
        <v>0</v>
      </c>
    </row>
    <row r="31" spans="2:8" ht="36" hidden="1" customHeight="1">
      <c r="B31" s="58"/>
      <c r="C31" s="59"/>
      <c r="D31" s="52"/>
      <c r="E31" s="49" t="str">
        <f t="shared" si="5"/>
        <v/>
      </c>
      <c r="F31" s="151" t="str">
        <f t="shared" si="3"/>
        <v>g</v>
      </c>
      <c r="G31" s="68">
        <f t="shared" si="6"/>
        <v>0</v>
      </c>
      <c r="H31" s="40">
        <f t="shared" si="7"/>
        <v>0</v>
      </c>
    </row>
    <row r="32" spans="2:8" ht="36" hidden="1" customHeight="1">
      <c r="B32" s="58"/>
      <c r="C32" s="59"/>
      <c r="D32" s="52"/>
      <c r="E32" s="49" t="str">
        <f t="shared" si="5"/>
        <v/>
      </c>
      <c r="F32" s="151" t="str">
        <f t="shared" si="3"/>
        <v>g</v>
      </c>
      <c r="G32" s="68">
        <f t="shared" si="6"/>
        <v>0</v>
      </c>
      <c r="H32" s="40">
        <f t="shared" si="7"/>
        <v>0</v>
      </c>
    </row>
    <row r="33" spans="2:8" ht="36" hidden="1" customHeight="1">
      <c r="B33" s="58"/>
      <c r="C33" s="59"/>
      <c r="D33" s="52"/>
      <c r="E33" s="49" t="str">
        <f t="shared" si="5"/>
        <v/>
      </c>
      <c r="F33" s="151" t="str">
        <f t="shared" si="3"/>
        <v>g</v>
      </c>
      <c r="G33" s="68">
        <f t="shared" si="6"/>
        <v>0</v>
      </c>
      <c r="H33" s="40">
        <f t="shared" si="7"/>
        <v>0</v>
      </c>
    </row>
    <row r="34" spans="2:8" ht="36" hidden="1" customHeight="1">
      <c r="B34" s="58"/>
      <c r="C34" s="59"/>
      <c r="D34" s="52"/>
      <c r="E34" s="49" t="str">
        <f t="shared" si="5"/>
        <v/>
      </c>
      <c r="F34" s="151" t="str">
        <f t="shared" si="3"/>
        <v>g</v>
      </c>
      <c r="G34" s="68">
        <f t="shared" si="6"/>
        <v>0</v>
      </c>
      <c r="H34" s="40">
        <f t="shared" si="7"/>
        <v>0</v>
      </c>
    </row>
    <row r="35" spans="2:8" ht="36" hidden="1" customHeight="1">
      <c r="B35" s="58"/>
      <c r="C35" s="59"/>
      <c r="D35" s="52"/>
      <c r="E35" s="49" t="str">
        <f t="shared" si="5"/>
        <v/>
      </c>
      <c r="F35" s="151" t="str">
        <f t="shared" si="3"/>
        <v>g</v>
      </c>
      <c r="G35" s="68">
        <f t="shared" si="6"/>
        <v>0</v>
      </c>
      <c r="H35" s="40">
        <f t="shared" si="7"/>
        <v>0</v>
      </c>
    </row>
    <row r="36" spans="2:8" ht="36" hidden="1" customHeight="1">
      <c r="B36" s="58"/>
      <c r="C36" s="59"/>
      <c r="D36" s="52"/>
      <c r="E36" s="49" t="str">
        <f t="shared" si="5"/>
        <v/>
      </c>
      <c r="F36" s="151" t="str">
        <f t="shared" si="3"/>
        <v>g</v>
      </c>
      <c r="G36" s="68">
        <f t="shared" si="6"/>
        <v>0</v>
      </c>
      <c r="H36" s="40">
        <f t="shared" si="7"/>
        <v>0</v>
      </c>
    </row>
    <row r="37" spans="2:8" ht="36" hidden="1" customHeight="1">
      <c r="B37" s="58"/>
      <c r="C37" s="59"/>
      <c r="D37" s="52"/>
      <c r="E37" s="49" t="str">
        <f t="shared" si="5"/>
        <v/>
      </c>
      <c r="F37" s="151" t="str">
        <f t="shared" si="3"/>
        <v>g</v>
      </c>
      <c r="G37" s="68">
        <f t="shared" si="6"/>
        <v>0</v>
      </c>
      <c r="H37" s="40">
        <f t="shared" si="7"/>
        <v>0</v>
      </c>
    </row>
    <row r="38" spans="2:8" ht="36" hidden="1" customHeight="1">
      <c r="B38" s="58"/>
      <c r="C38" s="59"/>
      <c r="D38" s="52"/>
      <c r="E38" s="49" t="str">
        <f t="shared" si="5"/>
        <v/>
      </c>
      <c r="F38" s="151" t="str">
        <f t="shared" si="3"/>
        <v>g</v>
      </c>
      <c r="G38" s="68">
        <f t="shared" si="6"/>
        <v>0</v>
      </c>
      <c r="H38" s="40">
        <f t="shared" si="7"/>
        <v>0</v>
      </c>
    </row>
    <row r="39" spans="2:8" ht="36" hidden="1" customHeight="1">
      <c r="B39" s="58"/>
      <c r="C39" s="59"/>
      <c r="D39" s="52"/>
      <c r="E39" s="49" t="str">
        <f t="shared" si="5"/>
        <v/>
      </c>
      <c r="F39" s="151" t="str">
        <f t="shared" si="3"/>
        <v>g</v>
      </c>
      <c r="G39" s="68">
        <f t="shared" si="6"/>
        <v>0</v>
      </c>
      <c r="H39" s="40">
        <f t="shared" si="7"/>
        <v>0</v>
      </c>
    </row>
    <row r="40" spans="2:8" ht="36" hidden="1" customHeight="1">
      <c r="B40" s="58"/>
      <c r="C40" s="59"/>
      <c r="D40" s="52"/>
      <c r="E40" s="49" t="str">
        <f t="shared" si="5"/>
        <v/>
      </c>
      <c r="F40" s="151" t="str">
        <f t="shared" si="3"/>
        <v>g</v>
      </c>
      <c r="G40" s="68">
        <f t="shared" si="6"/>
        <v>0</v>
      </c>
      <c r="H40" s="40">
        <f t="shared" si="7"/>
        <v>0</v>
      </c>
    </row>
    <row r="41" spans="2:8" ht="36" hidden="1" customHeight="1">
      <c r="B41" s="58"/>
      <c r="C41" s="59"/>
      <c r="D41" s="52"/>
      <c r="E41" s="49" t="str">
        <f t="shared" si="5"/>
        <v/>
      </c>
      <c r="F41" s="151" t="str">
        <f t="shared" si="3"/>
        <v>g</v>
      </c>
      <c r="G41" s="68">
        <f t="shared" si="6"/>
        <v>0</v>
      </c>
      <c r="H41" s="40">
        <f t="shared" si="7"/>
        <v>0</v>
      </c>
    </row>
    <row r="42" spans="2:8" ht="36" hidden="1" customHeight="1">
      <c r="B42" s="58"/>
      <c r="C42" s="59"/>
      <c r="D42" s="52"/>
      <c r="E42" s="49" t="str">
        <f t="shared" si="5"/>
        <v/>
      </c>
      <c r="F42" s="151" t="str">
        <f t="shared" si="3"/>
        <v>g</v>
      </c>
      <c r="G42" s="68">
        <f t="shared" si="6"/>
        <v>0</v>
      </c>
      <c r="H42" s="40">
        <f t="shared" si="7"/>
        <v>0</v>
      </c>
    </row>
    <row r="43" spans="2:8" ht="36" hidden="1" customHeight="1">
      <c r="B43" s="58"/>
      <c r="C43" s="59"/>
      <c r="D43" s="52"/>
      <c r="E43" s="49" t="str">
        <f t="shared" si="5"/>
        <v/>
      </c>
      <c r="F43" s="151" t="str">
        <f t="shared" si="3"/>
        <v>g</v>
      </c>
      <c r="G43" s="68">
        <f t="shared" si="6"/>
        <v>0</v>
      </c>
      <c r="H43" s="40">
        <f t="shared" si="7"/>
        <v>0</v>
      </c>
    </row>
    <row r="44" spans="2:8" ht="36" hidden="1" customHeight="1">
      <c r="B44" s="58"/>
      <c r="C44" s="59"/>
      <c r="D44" s="52"/>
      <c r="E44" s="49" t="str">
        <f t="shared" si="5"/>
        <v/>
      </c>
      <c r="F44" s="151" t="str">
        <f t="shared" si="3"/>
        <v>g</v>
      </c>
      <c r="G44" s="68">
        <f t="shared" si="6"/>
        <v>0</v>
      </c>
      <c r="H44" s="40">
        <f t="shared" si="7"/>
        <v>0</v>
      </c>
    </row>
    <row r="45" spans="2:8" ht="36" hidden="1" customHeight="1">
      <c r="B45" s="58"/>
      <c r="C45" s="59"/>
      <c r="D45" s="52"/>
      <c r="E45" s="49" t="str">
        <f t="shared" si="5"/>
        <v/>
      </c>
      <c r="F45" s="151" t="str">
        <f t="shared" si="3"/>
        <v>g</v>
      </c>
      <c r="G45" s="68">
        <f t="shared" si="6"/>
        <v>0</v>
      </c>
      <c r="H45" s="40">
        <f t="shared" si="7"/>
        <v>0</v>
      </c>
    </row>
    <row r="46" spans="2:8" ht="36" hidden="1" customHeight="1">
      <c r="B46" s="58"/>
      <c r="C46" s="59"/>
      <c r="D46" s="52"/>
      <c r="E46" s="49" t="str">
        <f t="shared" si="5"/>
        <v/>
      </c>
      <c r="F46" s="151" t="str">
        <f t="shared" si="3"/>
        <v>g</v>
      </c>
      <c r="G46" s="68">
        <f t="shared" si="6"/>
        <v>0</v>
      </c>
      <c r="H46" s="40">
        <f t="shared" si="7"/>
        <v>0</v>
      </c>
    </row>
    <row r="47" spans="2:8" ht="36" hidden="1" customHeight="1">
      <c r="B47" s="58"/>
      <c r="C47" s="59"/>
      <c r="D47" s="52"/>
      <c r="E47" s="49" t="str">
        <f t="shared" si="5"/>
        <v/>
      </c>
      <c r="F47" s="151" t="str">
        <f t="shared" si="3"/>
        <v>g</v>
      </c>
      <c r="G47" s="68">
        <f t="shared" si="6"/>
        <v>0</v>
      </c>
      <c r="H47" s="40">
        <f t="shared" si="7"/>
        <v>0</v>
      </c>
    </row>
    <row r="48" spans="2:8" ht="36" hidden="1" customHeight="1">
      <c r="B48" s="58"/>
      <c r="C48" s="59"/>
      <c r="D48" s="52"/>
      <c r="E48" s="49" t="str">
        <f t="shared" si="5"/>
        <v/>
      </c>
      <c r="F48" s="151" t="str">
        <f t="shared" si="3"/>
        <v>g</v>
      </c>
      <c r="G48" s="68">
        <f t="shared" si="6"/>
        <v>0</v>
      </c>
      <c r="H48" s="40">
        <f t="shared" si="7"/>
        <v>0</v>
      </c>
    </row>
    <row r="49" spans="2:8" ht="36" hidden="1" customHeight="1">
      <c r="B49" s="58"/>
      <c r="C49" s="59"/>
      <c r="D49" s="52"/>
      <c r="E49" s="49" t="str">
        <f t="shared" ref="E49:E71" si="8">IFERROR(H49/G49, IF(D49="", "", 0))</f>
        <v/>
      </c>
      <c r="F49" s="151" t="str">
        <f t="shared" si="3"/>
        <v>g</v>
      </c>
      <c r="G49" s="68">
        <f t="shared" ref="G49:G71" si="9">IF(AND(D49="", B49&lt;&gt;""), 1, ROUNDUP(D49/30,0))</f>
        <v>0</v>
      </c>
      <c r="H49" s="40">
        <f t="shared" ref="H49:H71" si="10">IF(AND(D49="", B49&lt;&gt;""), $E$2, D49*$E$2)</f>
        <v>0</v>
      </c>
    </row>
    <row r="50" spans="2:8" ht="36" hidden="1" customHeight="1">
      <c r="B50" s="58"/>
      <c r="C50" s="59"/>
      <c r="D50" s="52"/>
      <c r="E50" s="49" t="str">
        <f t="shared" si="8"/>
        <v/>
      </c>
      <c r="F50" s="151" t="str">
        <f t="shared" si="3"/>
        <v>g</v>
      </c>
      <c r="G50" s="68">
        <f t="shared" si="9"/>
        <v>0</v>
      </c>
      <c r="H50" s="40">
        <f t="shared" si="10"/>
        <v>0</v>
      </c>
    </row>
    <row r="51" spans="2:8" ht="36" hidden="1" customHeight="1">
      <c r="B51" s="58"/>
      <c r="C51" s="59"/>
      <c r="D51" s="52"/>
      <c r="E51" s="49" t="str">
        <f t="shared" si="8"/>
        <v/>
      </c>
      <c r="F51" s="151" t="str">
        <f t="shared" si="3"/>
        <v>g</v>
      </c>
      <c r="G51" s="68">
        <f t="shared" si="9"/>
        <v>0</v>
      </c>
      <c r="H51" s="40">
        <f t="shared" si="10"/>
        <v>0</v>
      </c>
    </row>
    <row r="52" spans="2:8" ht="36" hidden="1" customHeight="1">
      <c r="B52" s="58"/>
      <c r="C52" s="59"/>
      <c r="D52" s="52"/>
      <c r="E52" s="49" t="str">
        <f t="shared" si="8"/>
        <v/>
      </c>
      <c r="F52" s="151" t="str">
        <f t="shared" si="3"/>
        <v>g</v>
      </c>
      <c r="G52" s="68">
        <f t="shared" si="9"/>
        <v>0</v>
      </c>
      <c r="H52" s="40">
        <f t="shared" si="10"/>
        <v>0</v>
      </c>
    </row>
    <row r="53" spans="2:8" ht="36" hidden="1" customHeight="1">
      <c r="B53" s="58"/>
      <c r="C53" s="59"/>
      <c r="D53" s="52"/>
      <c r="E53" s="49" t="str">
        <f t="shared" si="8"/>
        <v/>
      </c>
      <c r="F53" s="151" t="str">
        <f t="shared" si="3"/>
        <v>g</v>
      </c>
      <c r="G53" s="68">
        <f t="shared" si="9"/>
        <v>0</v>
      </c>
      <c r="H53" s="40">
        <f t="shared" si="10"/>
        <v>0</v>
      </c>
    </row>
    <row r="54" spans="2:8" ht="36" hidden="1" customHeight="1">
      <c r="B54" s="58"/>
      <c r="C54" s="59"/>
      <c r="D54" s="52"/>
      <c r="E54" s="49" t="str">
        <f t="shared" si="8"/>
        <v/>
      </c>
      <c r="F54" s="151" t="str">
        <f t="shared" si="3"/>
        <v>g</v>
      </c>
      <c r="G54" s="68">
        <f t="shared" si="9"/>
        <v>0</v>
      </c>
      <c r="H54" s="40">
        <f t="shared" si="10"/>
        <v>0</v>
      </c>
    </row>
    <row r="55" spans="2:8" ht="36" hidden="1" customHeight="1">
      <c r="B55" s="58"/>
      <c r="C55" s="59"/>
      <c r="D55" s="52"/>
      <c r="E55" s="49" t="str">
        <f t="shared" si="8"/>
        <v/>
      </c>
      <c r="F55" s="151" t="str">
        <f t="shared" si="3"/>
        <v>g</v>
      </c>
      <c r="G55" s="68">
        <f t="shared" si="9"/>
        <v>0</v>
      </c>
      <c r="H55" s="40">
        <f t="shared" si="10"/>
        <v>0</v>
      </c>
    </row>
    <row r="56" spans="2:8" ht="36" hidden="1" customHeight="1">
      <c r="B56" s="58"/>
      <c r="C56" s="59"/>
      <c r="D56" s="52"/>
      <c r="E56" s="49" t="str">
        <f t="shared" si="8"/>
        <v/>
      </c>
      <c r="F56" s="151" t="str">
        <f t="shared" si="3"/>
        <v>g</v>
      </c>
      <c r="G56" s="68">
        <f t="shared" si="9"/>
        <v>0</v>
      </c>
      <c r="H56" s="40">
        <f t="shared" si="10"/>
        <v>0</v>
      </c>
    </row>
    <row r="57" spans="2:8" ht="36" hidden="1" customHeight="1">
      <c r="B57" s="58"/>
      <c r="C57" s="59"/>
      <c r="D57" s="52"/>
      <c r="E57" s="49" t="str">
        <f t="shared" si="8"/>
        <v/>
      </c>
      <c r="F57" s="151" t="str">
        <f t="shared" si="3"/>
        <v>g</v>
      </c>
      <c r="G57" s="68">
        <f t="shared" si="9"/>
        <v>0</v>
      </c>
      <c r="H57" s="40">
        <f t="shared" si="10"/>
        <v>0</v>
      </c>
    </row>
    <row r="58" spans="2:8" ht="36" hidden="1" customHeight="1">
      <c r="B58" s="58"/>
      <c r="C58" s="59"/>
      <c r="D58" s="52"/>
      <c r="E58" s="49" t="str">
        <f t="shared" si="8"/>
        <v/>
      </c>
      <c r="F58" s="151" t="str">
        <f t="shared" si="3"/>
        <v>g</v>
      </c>
      <c r="G58" s="68">
        <f t="shared" si="9"/>
        <v>0</v>
      </c>
      <c r="H58" s="40">
        <f t="shared" si="10"/>
        <v>0</v>
      </c>
    </row>
    <row r="59" spans="2:8" ht="36" hidden="1" customHeight="1">
      <c r="B59" s="58"/>
      <c r="C59" s="59"/>
      <c r="D59" s="52"/>
      <c r="E59" s="49" t="str">
        <f t="shared" si="8"/>
        <v/>
      </c>
      <c r="F59" s="151" t="str">
        <f t="shared" si="3"/>
        <v>g</v>
      </c>
      <c r="G59" s="68">
        <f t="shared" si="9"/>
        <v>0</v>
      </c>
      <c r="H59" s="40">
        <f t="shared" si="10"/>
        <v>0</v>
      </c>
    </row>
    <row r="60" spans="2:8" ht="36" hidden="1" customHeight="1">
      <c r="B60" s="58"/>
      <c r="C60" s="59"/>
      <c r="D60" s="52"/>
      <c r="E60" s="49" t="str">
        <f t="shared" si="8"/>
        <v/>
      </c>
      <c r="F60" s="151" t="str">
        <f t="shared" si="3"/>
        <v>g</v>
      </c>
      <c r="G60" s="68">
        <f t="shared" si="9"/>
        <v>0</v>
      </c>
      <c r="H60" s="40">
        <f t="shared" si="10"/>
        <v>0</v>
      </c>
    </row>
    <row r="61" spans="2:8" ht="36" hidden="1" customHeight="1">
      <c r="B61" s="58"/>
      <c r="C61" s="59"/>
      <c r="D61" s="52"/>
      <c r="E61" s="49" t="str">
        <f t="shared" si="8"/>
        <v/>
      </c>
      <c r="F61" s="151" t="str">
        <f t="shared" si="3"/>
        <v>g</v>
      </c>
      <c r="G61" s="68">
        <f t="shared" si="9"/>
        <v>0</v>
      </c>
      <c r="H61" s="40">
        <f t="shared" si="10"/>
        <v>0</v>
      </c>
    </row>
    <row r="62" spans="2:8" ht="36" hidden="1" customHeight="1">
      <c r="B62" s="58"/>
      <c r="C62" s="59"/>
      <c r="D62" s="52"/>
      <c r="E62" s="49" t="str">
        <f t="shared" si="8"/>
        <v/>
      </c>
      <c r="F62" s="151" t="str">
        <f t="shared" si="3"/>
        <v>g</v>
      </c>
      <c r="G62" s="68">
        <f t="shared" si="9"/>
        <v>0</v>
      </c>
      <c r="H62" s="40">
        <f t="shared" si="10"/>
        <v>0</v>
      </c>
    </row>
    <row r="63" spans="2:8" ht="36" hidden="1" customHeight="1">
      <c r="B63" s="58"/>
      <c r="C63" s="59"/>
      <c r="D63" s="52"/>
      <c r="E63" s="49" t="str">
        <f t="shared" si="8"/>
        <v/>
      </c>
      <c r="F63" s="151" t="str">
        <f t="shared" si="3"/>
        <v>g</v>
      </c>
      <c r="G63" s="68">
        <f t="shared" si="9"/>
        <v>0</v>
      </c>
      <c r="H63" s="40">
        <f t="shared" si="10"/>
        <v>0</v>
      </c>
    </row>
    <row r="64" spans="2:8" ht="36" hidden="1" customHeight="1">
      <c r="B64" s="58"/>
      <c r="C64" s="59"/>
      <c r="D64" s="52"/>
      <c r="E64" s="49" t="str">
        <f t="shared" si="8"/>
        <v/>
      </c>
      <c r="F64" s="151" t="str">
        <f t="shared" si="3"/>
        <v>g</v>
      </c>
      <c r="G64" s="68">
        <f t="shared" si="9"/>
        <v>0</v>
      </c>
      <c r="H64" s="40">
        <f t="shared" si="10"/>
        <v>0</v>
      </c>
    </row>
    <row r="65" spans="2:8" ht="36" hidden="1" customHeight="1">
      <c r="B65" s="58"/>
      <c r="C65" s="59"/>
      <c r="D65" s="52"/>
      <c r="E65" s="49" t="str">
        <f t="shared" si="8"/>
        <v/>
      </c>
      <c r="F65" s="151" t="str">
        <f t="shared" si="3"/>
        <v>g</v>
      </c>
      <c r="G65" s="68">
        <f t="shared" si="9"/>
        <v>0</v>
      </c>
      <c r="H65" s="40">
        <f t="shared" si="10"/>
        <v>0</v>
      </c>
    </row>
    <row r="66" spans="2:8" ht="36" hidden="1" customHeight="1">
      <c r="B66" s="58"/>
      <c r="C66" s="59"/>
      <c r="D66" s="52"/>
      <c r="E66" s="49" t="str">
        <f t="shared" si="8"/>
        <v/>
      </c>
      <c r="F66" s="151" t="str">
        <f t="shared" si="3"/>
        <v>g</v>
      </c>
      <c r="G66" s="68">
        <f t="shared" si="9"/>
        <v>0</v>
      </c>
      <c r="H66" s="40">
        <f t="shared" si="10"/>
        <v>0</v>
      </c>
    </row>
    <row r="67" spans="2:8" ht="36" hidden="1" customHeight="1">
      <c r="B67" s="58"/>
      <c r="C67" s="59"/>
      <c r="D67" s="52"/>
      <c r="E67" s="49" t="str">
        <f t="shared" si="8"/>
        <v/>
      </c>
      <c r="F67" s="151" t="str">
        <f t="shared" si="3"/>
        <v>g</v>
      </c>
      <c r="G67" s="68">
        <f t="shared" si="9"/>
        <v>0</v>
      </c>
      <c r="H67" s="40">
        <f t="shared" si="10"/>
        <v>0</v>
      </c>
    </row>
    <row r="68" spans="2:8" ht="36" hidden="1" customHeight="1">
      <c r="B68" s="58"/>
      <c r="C68" s="59"/>
      <c r="D68" s="52"/>
      <c r="E68" s="49" t="str">
        <f t="shared" si="8"/>
        <v/>
      </c>
      <c r="F68" s="151" t="str">
        <f t="shared" si="3"/>
        <v>g</v>
      </c>
      <c r="G68" s="68">
        <f t="shared" si="9"/>
        <v>0</v>
      </c>
      <c r="H68" s="40">
        <f t="shared" si="10"/>
        <v>0</v>
      </c>
    </row>
    <row r="69" spans="2:8" ht="36" hidden="1" customHeight="1">
      <c r="B69" s="58"/>
      <c r="C69" s="59"/>
      <c r="D69" s="52"/>
      <c r="E69" s="49" t="str">
        <f t="shared" si="8"/>
        <v/>
      </c>
      <c r="F69" s="151" t="str">
        <f t="shared" si="3"/>
        <v>g</v>
      </c>
      <c r="G69" s="68">
        <f t="shared" si="9"/>
        <v>0</v>
      </c>
      <c r="H69" s="40">
        <f t="shared" si="10"/>
        <v>0</v>
      </c>
    </row>
    <row r="70" spans="2:8" ht="36" hidden="1" customHeight="1">
      <c r="B70" s="58"/>
      <c r="C70" s="59"/>
      <c r="D70" s="52"/>
      <c r="E70" s="49" t="str">
        <f t="shared" si="8"/>
        <v/>
      </c>
      <c r="F70" s="151" t="str">
        <f t="shared" si="3"/>
        <v>g</v>
      </c>
      <c r="G70" s="68">
        <f t="shared" si="9"/>
        <v>0</v>
      </c>
      <c r="H70" s="40">
        <f t="shared" si="10"/>
        <v>0</v>
      </c>
    </row>
    <row r="71" spans="2:8" ht="36" hidden="1" customHeight="1">
      <c r="B71" s="58"/>
      <c r="C71" s="59"/>
      <c r="D71" s="52"/>
      <c r="E71" s="49" t="str">
        <f t="shared" si="8"/>
        <v/>
      </c>
      <c r="F71" s="151" t="str">
        <f t="shared" si="3"/>
        <v>g</v>
      </c>
      <c r="G71" s="68">
        <f t="shared" si="9"/>
        <v>0</v>
      </c>
      <c r="H71" s="40">
        <f t="shared" si="10"/>
        <v>0</v>
      </c>
    </row>
    <row r="72" spans="2:8" ht="36" hidden="1" customHeight="1">
      <c r="B72" s="58"/>
      <c r="C72" s="59"/>
      <c r="D72" s="52"/>
      <c r="E72" s="49" t="str">
        <f t="shared" si="5"/>
        <v/>
      </c>
      <c r="F72" s="151" t="str">
        <f t="shared" si="3"/>
        <v>g</v>
      </c>
      <c r="G72" s="68">
        <f t="shared" si="6"/>
        <v>0</v>
      </c>
      <c r="H72" s="40">
        <f t="shared" si="7"/>
        <v>0</v>
      </c>
    </row>
    <row r="73" spans="2:8" ht="36" hidden="1" customHeight="1">
      <c r="B73" s="58"/>
      <c r="C73" s="59"/>
      <c r="D73" s="52"/>
      <c r="E73" s="49" t="str">
        <f t="shared" si="5"/>
        <v/>
      </c>
      <c r="F73" s="151" t="str">
        <f t="shared" si="3"/>
        <v>g</v>
      </c>
      <c r="G73" s="68">
        <f t="shared" si="6"/>
        <v>0</v>
      </c>
      <c r="H73" s="40">
        <f t="shared" si="7"/>
        <v>0</v>
      </c>
    </row>
    <row r="74" spans="2:8" ht="36" hidden="1" customHeight="1">
      <c r="B74" s="58"/>
      <c r="C74" s="59"/>
      <c r="D74" s="52"/>
      <c r="E74" s="49" t="str">
        <f t="shared" si="5"/>
        <v/>
      </c>
      <c r="F74" s="151" t="str">
        <f t="shared" si="3"/>
        <v>g</v>
      </c>
      <c r="G74" s="68">
        <f t="shared" si="6"/>
        <v>0</v>
      </c>
      <c r="H74" s="40">
        <f t="shared" si="7"/>
        <v>0</v>
      </c>
    </row>
    <row r="75" spans="2:8" ht="36" hidden="1" customHeight="1">
      <c r="B75" s="58"/>
      <c r="C75" s="59"/>
      <c r="D75" s="52"/>
      <c r="E75" s="49" t="str">
        <f t="shared" si="5"/>
        <v/>
      </c>
      <c r="F75" s="151" t="str">
        <f t="shared" si="3"/>
        <v>g</v>
      </c>
      <c r="G75" s="68">
        <f t="shared" si="6"/>
        <v>0</v>
      </c>
      <c r="H75" s="40">
        <f t="shared" si="7"/>
        <v>0</v>
      </c>
    </row>
    <row r="76" spans="2:8" ht="36" hidden="1" customHeight="1">
      <c r="B76" s="58"/>
      <c r="C76" s="59"/>
      <c r="D76" s="52"/>
      <c r="E76" s="49" t="str">
        <f t="shared" si="5"/>
        <v/>
      </c>
      <c r="F76" s="151" t="str">
        <f t="shared" si="3"/>
        <v>g</v>
      </c>
      <c r="G76" s="68">
        <f t="shared" si="6"/>
        <v>0</v>
      </c>
      <c r="H76" s="40">
        <f t="shared" si="7"/>
        <v>0</v>
      </c>
    </row>
    <row r="77" spans="2:8" ht="36" hidden="1" customHeight="1">
      <c r="B77" s="58"/>
      <c r="C77" s="59"/>
      <c r="D77" s="52"/>
      <c r="E77" s="49" t="str">
        <f t="shared" si="5"/>
        <v/>
      </c>
      <c r="F77" s="151" t="str">
        <f t="shared" si="3"/>
        <v>g</v>
      </c>
      <c r="G77" s="68">
        <f t="shared" si="6"/>
        <v>0</v>
      </c>
      <c r="H77" s="40">
        <f t="shared" si="7"/>
        <v>0</v>
      </c>
    </row>
    <row r="78" spans="2:8" ht="36" hidden="1" customHeight="1">
      <c r="B78" s="58"/>
      <c r="C78" s="59"/>
      <c r="D78" s="52"/>
      <c r="E78" s="49" t="str">
        <f t="shared" si="5"/>
        <v/>
      </c>
      <c r="F78" s="151" t="str">
        <f t="shared" si="3"/>
        <v>g</v>
      </c>
      <c r="G78" s="68">
        <f t="shared" si="6"/>
        <v>0</v>
      </c>
      <c r="H78" s="40">
        <f t="shared" si="7"/>
        <v>0</v>
      </c>
    </row>
    <row r="79" spans="2:8" ht="36" hidden="1" customHeight="1">
      <c r="B79" s="58"/>
      <c r="C79" s="59"/>
      <c r="D79" s="52"/>
      <c r="E79" s="49" t="str">
        <f t="shared" si="5"/>
        <v/>
      </c>
      <c r="F79" s="151" t="str">
        <f t="shared" si="3"/>
        <v>g</v>
      </c>
      <c r="G79" s="68">
        <f t="shared" si="6"/>
        <v>0</v>
      </c>
      <c r="H79" s="40">
        <f t="shared" si="7"/>
        <v>0</v>
      </c>
    </row>
    <row r="80" spans="2:8" ht="36" hidden="1" customHeight="1">
      <c r="B80" s="58"/>
      <c r="C80" s="59"/>
      <c r="D80" s="52"/>
      <c r="E80" s="49" t="str">
        <f t="shared" si="5"/>
        <v/>
      </c>
      <c r="F80" s="151" t="str">
        <f t="shared" si="3"/>
        <v>g</v>
      </c>
      <c r="G80" s="68">
        <f t="shared" si="6"/>
        <v>0</v>
      </c>
      <c r="H80" s="40">
        <f t="shared" si="7"/>
        <v>0</v>
      </c>
    </row>
    <row r="81" spans="2:8" ht="36" hidden="1" customHeight="1">
      <c r="B81" s="58"/>
      <c r="C81" s="59"/>
      <c r="D81" s="52"/>
      <c r="E81" s="49" t="str">
        <f t="shared" si="5"/>
        <v/>
      </c>
      <c r="F81" s="151" t="str">
        <f t="shared" si="3"/>
        <v>g</v>
      </c>
      <c r="G81" s="68">
        <f t="shared" si="6"/>
        <v>0</v>
      </c>
      <c r="H81" s="40">
        <f t="shared" si="7"/>
        <v>0</v>
      </c>
    </row>
    <row r="82" spans="2:8" ht="36" hidden="1" customHeight="1">
      <c r="B82" s="58"/>
      <c r="C82" s="59"/>
      <c r="D82" s="52"/>
      <c r="E82" s="49" t="str">
        <f t="shared" si="5"/>
        <v/>
      </c>
      <c r="F82" s="151" t="str">
        <f t="shared" si="3"/>
        <v>g</v>
      </c>
      <c r="G82" s="68">
        <f t="shared" si="6"/>
        <v>0</v>
      </c>
      <c r="H82" s="40">
        <f t="shared" si="7"/>
        <v>0</v>
      </c>
    </row>
    <row r="83" spans="2:8" ht="36" hidden="1" customHeight="1">
      <c r="B83" s="58"/>
      <c r="C83" s="59"/>
      <c r="D83" s="52"/>
      <c r="E83" s="49" t="str">
        <f t="shared" si="5"/>
        <v/>
      </c>
      <c r="F83" s="151" t="str">
        <f t="shared" si="3"/>
        <v>g</v>
      </c>
      <c r="G83" s="68">
        <f t="shared" si="6"/>
        <v>0</v>
      </c>
      <c r="H83" s="40">
        <f t="shared" si="7"/>
        <v>0</v>
      </c>
    </row>
    <row r="84" spans="2:8" ht="36" customHeight="1" thickBot="1">
      <c r="B84" s="60"/>
      <c r="C84" s="61"/>
      <c r="D84" s="62"/>
      <c r="E84" s="63" t="str">
        <f t="shared" si="5"/>
        <v/>
      </c>
      <c r="F84" s="154" t="str">
        <f t="shared" si="3"/>
        <v>g</v>
      </c>
      <c r="G84" s="70">
        <f t="shared" si="6"/>
        <v>0</v>
      </c>
      <c r="H84" s="41">
        <f t="shared" si="7"/>
        <v>0</v>
      </c>
    </row>
    <row r="85" spans="2:8" ht="32.1" customHeight="1">
      <c r="B85" s="2"/>
      <c r="C85" s="2"/>
      <c r="D85" s="2"/>
    </row>
    <row r="86" spans="2:8" ht="32.1" customHeight="1">
      <c r="B86" s="2"/>
      <c r="C86" s="2"/>
      <c r="D86" s="2"/>
    </row>
    <row r="87" spans="2:8" ht="32.1" customHeight="1">
      <c r="B87" s="2"/>
      <c r="C87" s="2"/>
      <c r="D87" s="2"/>
    </row>
    <row r="88" spans="2:8" ht="32.1" customHeight="1">
      <c r="B88" s="2"/>
      <c r="C88" s="2"/>
      <c r="D88" s="2"/>
    </row>
    <row r="89" spans="2:8" ht="32.1" customHeight="1">
      <c r="B89" s="2"/>
      <c r="C89" s="2"/>
      <c r="D89" s="2"/>
    </row>
    <row r="90" spans="2:8" ht="32.1" customHeight="1">
      <c r="B90" s="2"/>
      <c r="C90" s="2"/>
      <c r="D90" s="2"/>
    </row>
    <row r="91" spans="2:8" ht="32.1" customHeight="1">
      <c r="B91" s="2"/>
      <c r="C91" s="2"/>
      <c r="D91" s="2"/>
    </row>
    <row r="92" spans="2:8" ht="32.1" customHeight="1">
      <c r="B92" s="2"/>
      <c r="C92" s="2"/>
      <c r="D92" s="2"/>
    </row>
    <row r="93" spans="2:8" ht="32.1" customHeight="1">
      <c r="B93" s="2"/>
      <c r="C93" s="2"/>
      <c r="D93" s="2"/>
    </row>
    <row r="94" spans="2:8" ht="32.1" customHeight="1">
      <c r="B94" s="2"/>
      <c r="C94" s="2"/>
      <c r="D94" s="2"/>
    </row>
    <row r="95" spans="2:8" ht="32.1" customHeight="1">
      <c r="B95" s="2"/>
      <c r="C95" s="2"/>
      <c r="D95" s="2"/>
    </row>
    <row r="96" spans="2:8" ht="32.1" customHeight="1">
      <c r="B96" s="2"/>
      <c r="C96" s="2"/>
      <c r="D96" s="2"/>
    </row>
    <row r="97" spans="2:4" ht="32.1" customHeight="1">
      <c r="B97" s="2"/>
      <c r="C97" s="2"/>
      <c r="D97" s="2"/>
    </row>
  </sheetData>
  <mergeCells count="9">
    <mergeCell ref="B10:C10"/>
    <mergeCell ref="B11:C11"/>
    <mergeCell ref="B12:C12"/>
    <mergeCell ref="G1:H1"/>
    <mergeCell ref="B4:C4"/>
    <mergeCell ref="E1:F1"/>
    <mergeCell ref="B1:D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Q7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3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57.75" thickBot="1">
      <c r="B1" s="182" t="s">
        <v>3</v>
      </c>
      <c r="C1" s="181"/>
      <c r="D1" s="181"/>
      <c r="E1" s="181"/>
      <c r="F1" s="181"/>
      <c r="G1" s="178"/>
      <c r="H1" s="178"/>
    </row>
    <row r="2" spans="2:17" ht="50.1" customHeight="1">
      <c r="B2" s="183"/>
      <c r="C2" s="184"/>
      <c r="D2" s="184"/>
      <c r="E2" s="45"/>
      <c r="F2" s="149" t="s">
        <v>2</v>
      </c>
      <c r="G2" s="36"/>
      <c r="H2" s="29"/>
    </row>
    <row r="3" spans="2:17" s="4" customFormat="1" ht="36" customHeight="1" thickBot="1">
      <c r="B3" s="9"/>
      <c r="C3" s="10"/>
      <c r="D3" s="131" t="s">
        <v>5</v>
      </c>
      <c r="E3" s="187" t="s">
        <v>3</v>
      </c>
      <c r="F3" s="188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79" t="s">
        <v>1</v>
      </c>
      <c r="C4" s="180"/>
      <c r="D4" s="48">
        <v>1</v>
      </c>
      <c r="E4" s="75">
        <f>D4*$E$2</f>
        <v>0</v>
      </c>
      <c r="F4" s="150" t="str">
        <f>$F$2</f>
        <v>g</v>
      </c>
      <c r="G4" s="64"/>
      <c r="H4" s="31"/>
    </row>
    <row r="5" spans="2:17" ht="36" customHeight="1">
      <c r="B5" s="50">
        <v>30</v>
      </c>
      <c r="C5" s="51" t="s">
        <v>32</v>
      </c>
      <c r="D5" s="52">
        <v>1</v>
      </c>
      <c r="E5" s="76">
        <f>B5*$E$2</f>
        <v>0</v>
      </c>
      <c r="F5" s="151" t="str">
        <f t="shared" ref="F5:F9" si="0">$F$2</f>
        <v>g</v>
      </c>
      <c r="G5" s="65">
        <v>0</v>
      </c>
      <c r="H5" s="37">
        <f>B5*G5*$E$2</f>
        <v>0</v>
      </c>
      <c r="I5"/>
      <c r="J5"/>
    </row>
    <row r="6" spans="2:17" ht="36" customHeight="1">
      <c r="B6" s="50">
        <v>10</v>
      </c>
      <c r="C6" s="51" t="s">
        <v>34</v>
      </c>
      <c r="D6" s="52">
        <v>1</v>
      </c>
      <c r="E6" s="76">
        <f t="shared" ref="E6:E9" si="1">B6*$E$2</f>
        <v>0</v>
      </c>
      <c r="F6" s="151" t="str">
        <f t="shared" si="0"/>
        <v>g</v>
      </c>
      <c r="G6" s="65">
        <v>2</v>
      </c>
      <c r="H6" s="37">
        <f t="shared" ref="H6:H9" si="2">B6*G6*$E$2</f>
        <v>0</v>
      </c>
      <c r="I6"/>
      <c r="J6"/>
    </row>
    <row r="7" spans="2:17" ht="36" customHeight="1">
      <c r="B7" s="50">
        <v>1</v>
      </c>
      <c r="C7" s="51" t="s">
        <v>37</v>
      </c>
      <c r="D7" s="52">
        <v>1</v>
      </c>
      <c r="E7" s="76">
        <v>50</v>
      </c>
      <c r="F7" s="151" t="str">
        <f t="shared" si="0"/>
        <v>g</v>
      </c>
      <c r="G7" s="65"/>
      <c r="H7" s="37">
        <f t="shared" si="2"/>
        <v>0</v>
      </c>
      <c r="I7"/>
      <c r="J7"/>
    </row>
    <row r="8" spans="2:17" ht="36" customHeight="1">
      <c r="B8" s="50">
        <v>1</v>
      </c>
      <c r="C8" s="51" t="s">
        <v>34</v>
      </c>
      <c r="D8" s="52">
        <v>1</v>
      </c>
      <c r="E8" s="76">
        <f t="shared" si="1"/>
        <v>0</v>
      </c>
      <c r="F8" s="151" t="str">
        <f t="shared" si="0"/>
        <v>g</v>
      </c>
      <c r="G8" s="65"/>
      <c r="H8" s="37">
        <f t="shared" si="2"/>
        <v>0</v>
      </c>
      <c r="I8"/>
      <c r="J8"/>
    </row>
    <row r="9" spans="2:17" ht="36" customHeight="1" thickBot="1">
      <c r="B9" s="71">
        <v>1</v>
      </c>
      <c r="C9" s="72" t="s">
        <v>35</v>
      </c>
      <c r="D9" s="54">
        <v>1</v>
      </c>
      <c r="E9" s="77">
        <f t="shared" si="1"/>
        <v>0</v>
      </c>
      <c r="F9" s="152" t="str">
        <f t="shared" si="0"/>
        <v>g</v>
      </c>
      <c r="G9" s="66"/>
      <c r="H9" s="38">
        <f t="shared" si="2"/>
        <v>0</v>
      </c>
      <c r="I9"/>
      <c r="J9"/>
    </row>
    <row r="10" spans="2:17" ht="36" customHeight="1" thickTop="1">
      <c r="B10" s="56"/>
      <c r="C10" s="57"/>
      <c r="D10" s="48"/>
      <c r="E10" s="75" t="str">
        <f>IFERROR(H10/G10, "")</f>
        <v/>
      </c>
      <c r="F10" s="150" t="str">
        <f t="shared" ref="F10:F61" si="3">$F$2</f>
        <v>g</v>
      </c>
      <c r="G10" s="67">
        <f>ROUNDUP(D10/30,0)</f>
        <v>0</v>
      </c>
      <c r="H10" s="42">
        <f>D10*$E$2</f>
        <v>0</v>
      </c>
    </row>
    <row r="11" spans="2:17" ht="36" customHeight="1">
      <c r="B11" s="58"/>
      <c r="C11" s="59"/>
      <c r="D11" s="52"/>
      <c r="E11" s="75" t="str">
        <f>IFERROR(H11/G11, "")</f>
        <v/>
      </c>
      <c r="F11" s="151" t="str">
        <f t="shared" si="3"/>
        <v>g</v>
      </c>
      <c r="G11" s="68">
        <f t="shared" ref="G11:G12" si="4">ROUNDUP(D11/30,0)</f>
        <v>0</v>
      </c>
      <c r="H11" s="40">
        <f t="shared" ref="H11:H12" si="5">D11*$E$2</f>
        <v>0</v>
      </c>
    </row>
    <row r="12" spans="2:17" ht="36" customHeight="1" thickBot="1">
      <c r="B12" s="73"/>
      <c r="C12" s="74"/>
      <c r="D12" s="54"/>
      <c r="E12" s="77" t="str">
        <f t="shared" ref="E12" si="6">IFERROR(H12/G12, "")</f>
        <v/>
      </c>
      <c r="F12" s="152" t="str">
        <f t="shared" si="3"/>
        <v>g</v>
      </c>
      <c r="G12" s="69">
        <f t="shared" si="4"/>
        <v>0</v>
      </c>
      <c r="H12" s="43">
        <f t="shared" si="5"/>
        <v>0</v>
      </c>
    </row>
    <row r="13" spans="2:17" ht="36" customHeight="1" thickTop="1">
      <c r="B13" s="56"/>
      <c r="C13" s="57"/>
      <c r="D13" s="48"/>
      <c r="E13" s="75" t="str">
        <f t="shared" ref="E13:E44" si="7">IFERROR(H13/G13, IF(D13="", "", 0))</f>
        <v/>
      </c>
      <c r="F13" s="150" t="str">
        <f t="shared" si="3"/>
        <v>g</v>
      </c>
      <c r="G13" s="68">
        <f>IF(AND(D13="", B13&lt;&gt;""), 1, ROUNDUP(D13/30,0))</f>
        <v>0</v>
      </c>
      <c r="H13" s="40">
        <f t="shared" ref="H13:H44" si="8">IF(AND(D13="", B13&lt;&gt;""), $E$2, D13*$E$2)</f>
        <v>0</v>
      </c>
    </row>
    <row r="14" spans="2:17" ht="36" customHeight="1">
      <c r="B14" s="58"/>
      <c r="C14" s="59"/>
      <c r="D14" s="52"/>
      <c r="E14" s="75" t="str">
        <f t="shared" si="7"/>
        <v/>
      </c>
      <c r="F14" s="151" t="str">
        <f t="shared" si="3"/>
        <v>g</v>
      </c>
      <c r="G14" s="68">
        <f t="shared" ref="G14:G61" si="9">IF(AND(D14="", B14&lt;&gt;""), 1, ROUNDUP(D14/30,0))</f>
        <v>0</v>
      </c>
      <c r="H14" s="40">
        <f t="shared" si="8"/>
        <v>0</v>
      </c>
    </row>
    <row r="15" spans="2:17" ht="36" customHeight="1">
      <c r="B15" s="58"/>
      <c r="C15" s="59"/>
      <c r="D15" s="52"/>
      <c r="E15" s="75" t="str">
        <f t="shared" si="7"/>
        <v/>
      </c>
      <c r="F15" s="151" t="str">
        <f t="shared" si="3"/>
        <v>g</v>
      </c>
      <c r="G15" s="68">
        <f t="shared" si="9"/>
        <v>0</v>
      </c>
      <c r="H15" s="40">
        <f t="shared" si="8"/>
        <v>0</v>
      </c>
    </row>
    <row r="16" spans="2:17" ht="36" customHeight="1">
      <c r="B16" s="58"/>
      <c r="C16" s="59"/>
      <c r="D16" s="52"/>
      <c r="E16" s="75" t="str">
        <f t="shared" si="7"/>
        <v/>
      </c>
      <c r="F16" s="151" t="str">
        <f t="shared" si="3"/>
        <v>g</v>
      </c>
      <c r="G16" s="68">
        <f t="shared" si="9"/>
        <v>0</v>
      </c>
      <c r="H16" s="40">
        <f t="shared" si="8"/>
        <v>0</v>
      </c>
    </row>
    <row r="17" spans="2:8" ht="36" customHeight="1">
      <c r="B17" s="58"/>
      <c r="C17" s="59"/>
      <c r="D17" s="52"/>
      <c r="E17" s="75" t="str">
        <f t="shared" si="7"/>
        <v/>
      </c>
      <c r="F17" s="151" t="str">
        <f t="shared" si="3"/>
        <v>g</v>
      </c>
      <c r="G17" s="68">
        <f t="shared" si="9"/>
        <v>0</v>
      </c>
      <c r="H17" s="40">
        <f t="shared" si="8"/>
        <v>0</v>
      </c>
    </row>
    <row r="18" spans="2:8" ht="36" customHeight="1">
      <c r="B18" s="58"/>
      <c r="C18" s="59"/>
      <c r="D18" s="52"/>
      <c r="E18" s="75" t="str">
        <f t="shared" si="7"/>
        <v/>
      </c>
      <c r="F18" s="151" t="str">
        <f t="shared" si="3"/>
        <v>g</v>
      </c>
      <c r="G18" s="68">
        <f t="shared" si="9"/>
        <v>0</v>
      </c>
      <c r="H18" s="40">
        <f t="shared" si="8"/>
        <v>0</v>
      </c>
    </row>
    <row r="19" spans="2:8" ht="36" customHeight="1">
      <c r="B19" s="58"/>
      <c r="C19" s="59"/>
      <c r="D19" s="52"/>
      <c r="E19" s="75" t="str">
        <f t="shared" si="7"/>
        <v/>
      </c>
      <c r="F19" s="151" t="str">
        <f t="shared" si="3"/>
        <v>g</v>
      </c>
      <c r="G19" s="68">
        <f t="shared" si="9"/>
        <v>0</v>
      </c>
      <c r="H19" s="40">
        <f t="shared" si="8"/>
        <v>0</v>
      </c>
    </row>
    <row r="20" spans="2:8" ht="36" customHeight="1">
      <c r="B20" s="58"/>
      <c r="C20" s="59"/>
      <c r="D20" s="52"/>
      <c r="E20" s="75" t="str">
        <f t="shared" si="7"/>
        <v/>
      </c>
      <c r="F20" s="151" t="str">
        <f t="shared" si="3"/>
        <v>g</v>
      </c>
      <c r="G20" s="68">
        <f t="shared" si="9"/>
        <v>0</v>
      </c>
      <c r="H20" s="40">
        <f t="shared" si="8"/>
        <v>0</v>
      </c>
    </row>
    <row r="21" spans="2:8" ht="36" customHeight="1">
      <c r="B21" s="58"/>
      <c r="C21" s="59"/>
      <c r="D21" s="52"/>
      <c r="E21" s="75" t="str">
        <f t="shared" si="7"/>
        <v/>
      </c>
      <c r="F21" s="151" t="str">
        <f t="shared" si="3"/>
        <v>g</v>
      </c>
      <c r="G21" s="68">
        <f t="shared" si="9"/>
        <v>0</v>
      </c>
      <c r="H21" s="40">
        <f t="shared" si="8"/>
        <v>0</v>
      </c>
    </row>
    <row r="22" spans="2:8" ht="36" customHeight="1">
      <c r="B22" s="58"/>
      <c r="C22" s="59"/>
      <c r="D22" s="52"/>
      <c r="E22" s="75" t="str">
        <f t="shared" si="7"/>
        <v/>
      </c>
      <c r="F22" s="151" t="str">
        <f t="shared" si="3"/>
        <v>g</v>
      </c>
      <c r="G22" s="68">
        <f t="shared" si="9"/>
        <v>0</v>
      </c>
      <c r="H22" s="40">
        <f t="shared" si="8"/>
        <v>0</v>
      </c>
    </row>
    <row r="23" spans="2:8" ht="36" customHeight="1">
      <c r="B23" s="58"/>
      <c r="C23" s="59"/>
      <c r="D23" s="52"/>
      <c r="E23" s="75" t="str">
        <f t="shared" si="7"/>
        <v/>
      </c>
      <c r="F23" s="151" t="str">
        <f t="shared" si="3"/>
        <v>g</v>
      </c>
      <c r="G23" s="68">
        <f t="shared" si="9"/>
        <v>0</v>
      </c>
      <c r="H23" s="40">
        <f t="shared" si="8"/>
        <v>0</v>
      </c>
    </row>
    <row r="24" spans="2:8" ht="36" hidden="1" customHeight="1">
      <c r="B24" s="58"/>
      <c r="C24" s="59"/>
      <c r="D24" s="52"/>
      <c r="E24" s="75" t="str">
        <f t="shared" si="7"/>
        <v/>
      </c>
      <c r="F24" s="151" t="str">
        <f t="shared" si="3"/>
        <v>g</v>
      </c>
      <c r="G24" s="68">
        <f t="shared" si="9"/>
        <v>0</v>
      </c>
      <c r="H24" s="40">
        <f t="shared" si="8"/>
        <v>0</v>
      </c>
    </row>
    <row r="25" spans="2:8" ht="36" hidden="1" customHeight="1">
      <c r="B25" s="58"/>
      <c r="C25" s="59"/>
      <c r="D25" s="52"/>
      <c r="E25" s="75" t="str">
        <f t="shared" si="7"/>
        <v/>
      </c>
      <c r="F25" s="151" t="str">
        <f t="shared" si="3"/>
        <v>g</v>
      </c>
      <c r="G25" s="68">
        <f t="shared" si="9"/>
        <v>0</v>
      </c>
      <c r="H25" s="40">
        <f t="shared" si="8"/>
        <v>0</v>
      </c>
    </row>
    <row r="26" spans="2:8" ht="36" hidden="1" customHeight="1">
      <c r="B26" s="58"/>
      <c r="C26" s="59"/>
      <c r="D26" s="52"/>
      <c r="E26" s="75" t="str">
        <f t="shared" si="7"/>
        <v/>
      </c>
      <c r="F26" s="151" t="str">
        <f t="shared" si="3"/>
        <v>g</v>
      </c>
      <c r="G26" s="68">
        <f t="shared" si="9"/>
        <v>0</v>
      </c>
      <c r="H26" s="40">
        <f t="shared" si="8"/>
        <v>0</v>
      </c>
    </row>
    <row r="27" spans="2:8" ht="36" hidden="1" customHeight="1">
      <c r="B27" s="58"/>
      <c r="C27" s="59"/>
      <c r="D27" s="52"/>
      <c r="E27" s="75" t="str">
        <f t="shared" si="7"/>
        <v/>
      </c>
      <c r="F27" s="151" t="str">
        <f t="shared" si="3"/>
        <v>g</v>
      </c>
      <c r="G27" s="68">
        <f t="shared" si="9"/>
        <v>0</v>
      </c>
      <c r="H27" s="40">
        <f t="shared" si="8"/>
        <v>0</v>
      </c>
    </row>
    <row r="28" spans="2:8" ht="36" hidden="1" customHeight="1">
      <c r="B28" s="58"/>
      <c r="C28" s="59"/>
      <c r="D28" s="52"/>
      <c r="E28" s="75" t="str">
        <f t="shared" si="7"/>
        <v/>
      </c>
      <c r="F28" s="151" t="str">
        <f t="shared" si="3"/>
        <v>g</v>
      </c>
      <c r="G28" s="68">
        <f t="shared" si="9"/>
        <v>0</v>
      </c>
      <c r="H28" s="40">
        <f t="shared" si="8"/>
        <v>0</v>
      </c>
    </row>
    <row r="29" spans="2:8" ht="36" hidden="1" customHeight="1">
      <c r="B29" s="58"/>
      <c r="C29" s="59"/>
      <c r="D29" s="52"/>
      <c r="E29" s="75" t="str">
        <f t="shared" si="7"/>
        <v/>
      </c>
      <c r="F29" s="151" t="str">
        <f t="shared" si="3"/>
        <v>g</v>
      </c>
      <c r="G29" s="68">
        <f t="shared" si="9"/>
        <v>0</v>
      </c>
      <c r="H29" s="40">
        <f t="shared" si="8"/>
        <v>0</v>
      </c>
    </row>
    <row r="30" spans="2:8" ht="36" hidden="1" customHeight="1">
      <c r="B30" s="58"/>
      <c r="C30" s="59"/>
      <c r="D30" s="52"/>
      <c r="E30" s="75" t="str">
        <f t="shared" si="7"/>
        <v/>
      </c>
      <c r="F30" s="151" t="str">
        <f t="shared" si="3"/>
        <v>g</v>
      </c>
      <c r="G30" s="68">
        <f t="shared" si="9"/>
        <v>0</v>
      </c>
      <c r="H30" s="40">
        <f t="shared" si="8"/>
        <v>0</v>
      </c>
    </row>
    <row r="31" spans="2:8" ht="36" hidden="1" customHeight="1">
      <c r="B31" s="58"/>
      <c r="C31" s="59"/>
      <c r="D31" s="52"/>
      <c r="E31" s="75" t="str">
        <f t="shared" si="7"/>
        <v/>
      </c>
      <c r="F31" s="151" t="str">
        <f t="shared" si="3"/>
        <v>g</v>
      </c>
      <c r="G31" s="68">
        <f t="shared" si="9"/>
        <v>0</v>
      </c>
      <c r="H31" s="40">
        <f t="shared" si="8"/>
        <v>0</v>
      </c>
    </row>
    <row r="32" spans="2:8" ht="36" hidden="1" customHeight="1">
      <c r="B32" s="58"/>
      <c r="C32" s="59"/>
      <c r="D32" s="52"/>
      <c r="E32" s="75" t="str">
        <f t="shared" si="7"/>
        <v/>
      </c>
      <c r="F32" s="151" t="str">
        <f t="shared" si="3"/>
        <v>g</v>
      </c>
      <c r="G32" s="68">
        <f t="shared" si="9"/>
        <v>0</v>
      </c>
      <c r="H32" s="40">
        <f t="shared" si="8"/>
        <v>0</v>
      </c>
    </row>
    <row r="33" spans="2:8" ht="36" hidden="1" customHeight="1">
      <c r="B33" s="58"/>
      <c r="C33" s="59"/>
      <c r="D33" s="52"/>
      <c r="E33" s="75" t="str">
        <f t="shared" si="7"/>
        <v/>
      </c>
      <c r="F33" s="151" t="str">
        <f t="shared" si="3"/>
        <v>g</v>
      </c>
      <c r="G33" s="68">
        <f t="shared" si="9"/>
        <v>0</v>
      </c>
      <c r="H33" s="40">
        <f t="shared" si="8"/>
        <v>0</v>
      </c>
    </row>
    <row r="34" spans="2:8" ht="36" hidden="1" customHeight="1">
      <c r="B34" s="58"/>
      <c r="C34" s="59"/>
      <c r="D34" s="52"/>
      <c r="E34" s="75" t="str">
        <f t="shared" si="7"/>
        <v/>
      </c>
      <c r="F34" s="151" t="str">
        <f t="shared" si="3"/>
        <v>g</v>
      </c>
      <c r="G34" s="68">
        <f t="shared" si="9"/>
        <v>0</v>
      </c>
      <c r="H34" s="40">
        <f t="shared" si="8"/>
        <v>0</v>
      </c>
    </row>
    <row r="35" spans="2:8" ht="36" hidden="1" customHeight="1">
      <c r="B35" s="58"/>
      <c r="C35" s="59"/>
      <c r="D35" s="52"/>
      <c r="E35" s="75" t="str">
        <f t="shared" si="7"/>
        <v/>
      </c>
      <c r="F35" s="151" t="str">
        <f t="shared" si="3"/>
        <v>g</v>
      </c>
      <c r="G35" s="68">
        <f t="shared" si="9"/>
        <v>0</v>
      </c>
      <c r="H35" s="40">
        <f t="shared" si="8"/>
        <v>0</v>
      </c>
    </row>
    <row r="36" spans="2:8" ht="36" hidden="1" customHeight="1">
      <c r="B36" s="58"/>
      <c r="C36" s="59"/>
      <c r="D36" s="52"/>
      <c r="E36" s="75" t="str">
        <f t="shared" si="7"/>
        <v/>
      </c>
      <c r="F36" s="151" t="str">
        <f t="shared" si="3"/>
        <v>g</v>
      </c>
      <c r="G36" s="68">
        <f t="shared" si="9"/>
        <v>0</v>
      </c>
      <c r="H36" s="40">
        <f t="shared" si="8"/>
        <v>0</v>
      </c>
    </row>
    <row r="37" spans="2:8" ht="36" hidden="1" customHeight="1">
      <c r="B37" s="58"/>
      <c r="C37" s="59"/>
      <c r="D37" s="52"/>
      <c r="E37" s="75" t="str">
        <f t="shared" si="7"/>
        <v/>
      </c>
      <c r="F37" s="151" t="str">
        <f t="shared" si="3"/>
        <v>g</v>
      </c>
      <c r="G37" s="68">
        <f t="shared" si="9"/>
        <v>0</v>
      </c>
      <c r="H37" s="40">
        <f t="shared" si="8"/>
        <v>0</v>
      </c>
    </row>
    <row r="38" spans="2:8" ht="36" hidden="1" customHeight="1">
      <c r="B38" s="58"/>
      <c r="C38" s="59"/>
      <c r="D38" s="52"/>
      <c r="E38" s="75" t="str">
        <f t="shared" si="7"/>
        <v/>
      </c>
      <c r="F38" s="151" t="str">
        <f t="shared" si="3"/>
        <v>g</v>
      </c>
      <c r="G38" s="68">
        <f t="shared" si="9"/>
        <v>0</v>
      </c>
      <c r="H38" s="40">
        <f t="shared" si="8"/>
        <v>0</v>
      </c>
    </row>
    <row r="39" spans="2:8" ht="36" hidden="1" customHeight="1">
      <c r="B39" s="58"/>
      <c r="C39" s="59"/>
      <c r="D39" s="52"/>
      <c r="E39" s="75" t="str">
        <f t="shared" si="7"/>
        <v/>
      </c>
      <c r="F39" s="151" t="str">
        <f t="shared" si="3"/>
        <v>g</v>
      </c>
      <c r="G39" s="68">
        <f t="shared" si="9"/>
        <v>0</v>
      </c>
      <c r="H39" s="40">
        <f t="shared" si="8"/>
        <v>0</v>
      </c>
    </row>
    <row r="40" spans="2:8" ht="36" hidden="1" customHeight="1">
      <c r="B40" s="58"/>
      <c r="C40" s="59"/>
      <c r="D40" s="52"/>
      <c r="E40" s="75" t="str">
        <f t="shared" si="7"/>
        <v/>
      </c>
      <c r="F40" s="151" t="str">
        <f t="shared" si="3"/>
        <v>g</v>
      </c>
      <c r="G40" s="68">
        <f t="shared" si="9"/>
        <v>0</v>
      </c>
      <c r="H40" s="40">
        <f t="shared" si="8"/>
        <v>0</v>
      </c>
    </row>
    <row r="41" spans="2:8" ht="36" hidden="1" customHeight="1">
      <c r="B41" s="58"/>
      <c r="C41" s="59"/>
      <c r="D41" s="52"/>
      <c r="E41" s="75" t="str">
        <f t="shared" si="7"/>
        <v/>
      </c>
      <c r="F41" s="151" t="str">
        <f t="shared" si="3"/>
        <v>g</v>
      </c>
      <c r="G41" s="68">
        <f t="shared" si="9"/>
        <v>0</v>
      </c>
      <c r="H41" s="40">
        <f t="shared" si="8"/>
        <v>0</v>
      </c>
    </row>
    <row r="42" spans="2:8" ht="36" hidden="1" customHeight="1">
      <c r="B42" s="58"/>
      <c r="C42" s="59"/>
      <c r="D42" s="52"/>
      <c r="E42" s="75" t="str">
        <f t="shared" si="7"/>
        <v/>
      </c>
      <c r="F42" s="151" t="str">
        <f t="shared" si="3"/>
        <v>g</v>
      </c>
      <c r="G42" s="68">
        <f t="shared" si="9"/>
        <v>0</v>
      </c>
      <c r="H42" s="40">
        <f t="shared" si="8"/>
        <v>0</v>
      </c>
    </row>
    <row r="43" spans="2:8" ht="36" hidden="1" customHeight="1">
      <c r="B43" s="58"/>
      <c r="C43" s="59"/>
      <c r="D43" s="52"/>
      <c r="E43" s="75" t="str">
        <f t="shared" si="7"/>
        <v/>
      </c>
      <c r="F43" s="151" t="str">
        <f t="shared" si="3"/>
        <v>g</v>
      </c>
      <c r="G43" s="68">
        <f t="shared" si="9"/>
        <v>0</v>
      </c>
      <c r="H43" s="40">
        <f t="shared" si="8"/>
        <v>0</v>
      </c>
    </row>
    <row r="44" spans="2:8" ht="36" hidden="1" customHeight="1">
      <c r="B44" s="58"/>
      <c r="C44" s="59"/>
      <c r="D44" s="52"/>
      <c r="E44" s="75" t="str">
        <f t="shared" si="7"/>
        <v/>
      </c>
      <c r="F44" s="151" t="str">
        <f t="shared" si="3"/>
        <v>g</v>
      </c>
      <c r="G44" s="68">
        <f t="shared" si="9"/>
        <v>0</v>
      </c>
      <c r="H44" s="40">
        <f t="shared" si="8"/>
        <v>0</v>
      </c>
    </row>
    <row r="45" spans="2:8" ht="36" hidden="1" customHeight="1">
      <c r="B45" s="58"/>
      <c r="C45" s="59"/>
      <c r="D45" s="52"/>
      <c r="E45" s="75" t="str">
        <f t="shared" ref="E45:E61" si="10">IFERROR(H45/G45, IF(D45="", "", 0))</f>
        <v/>
      </c>
      <c r="F45" s="151" t="str">
        <f t="shared" si="3"/>
        <v>g</v>
      </c>
      <c r="G45" s="68">
        <f t="shared" si="9"/>
        <v>0</v>
      </c>
      <c r="H45" s="40">
        <f t="shared" ref="H45:H61" si="11">IF(AND(D45="", B45&lt;&gt;""), $E$2, D45*$E$2)</f>
        <v>0</v>
      </c>
    </row>
    <row r="46" spans="2:8" ht="36" hidden="1" customHeight="1">
      <c r="B46" s="58"/>
      <c r="C46" s="59"/>
      <c r="D46" s="52"/>
      <c r="E46" s="75" t="str">
        <f t="shared" si="10"/>
        <v/>
      </c>
      <c r="F46" s="151" t="str">
        <f t="shared" si="3"/>
        <v>g</v>
      </c>
      <c r="G46" s="68">
        <f t="shared" si="9"/>
        <v>0</v>
      </c>
      <c r="H46" s="40">
        <f t="shared" si="11"/>
        <v>0</v>
      </c>
    </row>
    <row r="47" spans="2:8" ht="36" hidden="1" customHeight="1">
      <c r="B47" s="58"/>
      <c r="C47" s="59"/>
      <c r="D47" s="52"/>
      <c r="E47" s="75" t="str">
        <f t="shared" si="10"/>
        <v/>
      </c>
      <c r="F47" s="151" t="str">
        <f t="shared" si="3"/>
        <v>g</v>
      </c>
      <c r="G47" s="68">
        <f t="shared" si="9"/>
        <v>0</v>
      </c>
      <c r="H47" s="40">
        <f t="shared" si="11"/>
        <v>0</v>
      </c>
    </row>
    <row r="48" spans="2:8" ht="36" hidden="1" customHeight="1">
      <c r="B48" s="58"/>
      <c r="C48" s="59"/>
      <c r="D48" s="52"/>
      <c r="E48" s="75" t="str">
        <f t="shared" si="10"/>
        <v/>
      </c>
      <c r="F48" s="151" t="str">
        <f t="shared" si="3"/>
        <v>g</v>
      </c>
      <c r="G48" s="68">
        <f t="shared" si="9"/>
        <v>0</v>
      </c>
      <c r="H48" s="40">
        <f t="shared" si="11"/>
        <v>0</v>
      </c>
    </row>
    <row r="49" spans="2:8" ht="36" hidden="1" customHeight="1">
      <c r="B49" s="58"/>
      <c r="C49" s="59"/>
      <c r="D49" s="52"/>
      <c r="E49" s="75" t="str">
        <f t="shared" si="10"/>
        <v/>
      </c>
      <c r="F49" s="151" t="str">
        <f t="shared" si="3"/>
        <v>g</v>
      </c>
      <c r="G49" s="68">
        <f t="shared" si="9"/>
        <v>0</v>
      </c>
      <c r="H49" s="40">
        <f t="shared" si="11"/>
        <v>0</v>
      </c>
    </row>
    <row r="50" spans="2:8" ht="36" hidden="1" customHeight="1">
      <c r="B50" s="58"/>
      <c r="C50" s="59"/>
      <c r="D50" s="52"/>
      <c r="E50" s="75" t="str">
        <f t="shared" si="10"/>
        <v/>
      </c>
      <c r="F50" s="151" t="str">
        <f t="shared" si="3"/>
        <v>g</v>
      </c>
      <c r="G50" s="68">
        <f t="shared" si="9"/>
        <v>0</v>
      </c>
      <c r="H50" s="40">
        <f t="shared" si="11"/>
        <v>0</v>
      </c>
    </row>
    <row r="51" spans="2:8" ht="36" hidden="1" customHeight="1">
      <c r="B51" s="58"/>
      <c r="C51" s="59"/>
      <c r="D51" s="52"/>
      <c r="E51" s="75" t="str">
        <f t="shared" si="10"/>
        <v/>
      </c>
      <c r="F51" s="151" t="str">
        <f t="shared" si="3"/>
        <v>g</v>
      </c>
      <c r="G51" s="68">
        <f t="shared" si="9"/>
        <v>0</v>
      </c>
      <c r="H51" s="40">
        <f t="shared" si="11"/>
        <v>0</v>
      </c>
    </row>
    <row r="52" spans="2:8" ht="36" hidden="1" customHeight="1">
      <c r="B52" s="58"/>
      <c r="C52" s="59"/>
      <c r="D52" s="52"/>
      <c r="E52" s="75" t="str">
        <f t="shared" si="10"/>
        <v/>
      </c>
      <c r="F52" s="151" t="str">
        <f t="shared" si="3"/>
        <v>g</v>
      </c>
      <c r="G52" s="68">
        <f t="shared" si="9"/>
        <v>0</v>
      </c>
      <c r="H52" s="40">
        <f t="shared" si="11"/>
        <v>0</v>
      </c>
    </row>
    <row r="53" spans="2:8" ht="36" hidden="1" customHeight="1">
      <c r="B53" s="58"/>
      <c r="C53" s="59"/>
      <c r="D53" s="52"/>
      <c r="E53" s="75" t="str">
        <f t="shared" si="10"/>
        <v/>
      </c>
      <c r="F53" s="151" t="str">
        <f t="shared" si="3"/>
        <v>g</v>
      </c>
      <c r="G53" s="68">
        <f t="shared" si="9"/>
        <v>0</v>
      </c>
      <c r="H53" s="40">
        <f t="shared" si="11"/>
        <v>0</v>
      </c>
    </row>
    <row r="54" spans="2:8" ht="36" hidden="1" customHeight="1">
      <c r="B54" s="58"/>
      <c r="C54" s="59"/>
      <c r="D54" s="52"/>
      <c r="E54" s="75" t="str">
        <f t="shared" si="10"/>
        <v/>
      </c>
      <c r="F54" s="151" t="str">
        <f t="shared" si="3"/>
        <v>g</v>
      </c>
      <c r="G54" s="68">
        <f t="shared" si="9"/>
        <v>0</v>
      </c>
      <c r="H54" s="40">
        <f t="shared" si="11"/>
        <v>0</v>
      </c>
    </row>
    <row r="55" spans="2:8" ht="36" hidden="1" customHeight="1">
      <c r="B55" s="58"/>
      <c r="C55" s="59"/>
      <c r="D55" s="52"/>
      <c r="E55" s="75" t="str">
        <f t="shared" si="10"/>
        <v/>
      </c>
      <c r="F55" s="151" t="str">
        <f t="shared" si="3"/>
        <v>g</v>
      </c>
      <c r="G55" s="68">
        <f t="shared" si="9"/>
        <v>0</v>
      </c>
      <c r="H55" s="40">
        <f t="shared" si="11"/>
        <v>0</v>
      </c>
    </row>
    <row r="56" spans="2:8" ht="36" hidden="1" customHeight="1">
      <c r="B56" s="58"/>
      <c r="C56" s="59"/>
      <c r="D56" s="52"/>
      <c r="E56" s="75" t="str">
        <f t="shared" si="10"/>
        <v/>
      </c>
      <c r="F56" s="151" t="str">
        <f t="shared" si="3"/>
        <v>g</v>
      </c>
      <c r="G56" s="68">
        <f t="shared" si="9"/>
        <v>0</v>
      </c>
      <c r="H56" s="40">
        <f t="shared" si="11"/>
        <v>0</v>
      </c>
    </row>
    <row r="57" spans="2:8" ht="36" hidden="1" customHeight="1">
      <c r="B57" s="58"/>
      <c r="C57" s="59"/>
      <c r="D57" s="52"/>
      <c r="E57" s="75" t="str">
        <f t="shared" si="10"/>
        <v/>
      </c>
      <c r="F57" s="151" t="str">
        <f t="shared" si="3"/>
        <v>g</v>
      </c>
      <c r="G57" s="68">
        <f t="shared" si="9"/>
        <v>0</v>
      </c>
      <c r="H57" s="40">
        <f t="shared" si="11"/>
        <v>0</v>
      </c>
    </row>
    <row r="58" spans="2:8" ht="36" hidden="1" customHeight="1">
      <c r="B58" s="58"/>
      <c r="C58" s="59"/>
      <c r="D58" s="52"/>
      <c r="E58" s="75" t="str">
        <f t="shared" si="10"/>
        <v/>
      </c>
      <c r="F58" s="151" t="str">
        <f t="shared" si="3"/>
        <v>g</v>
      </c>
      <c r="G58" s="68">
        <f t="shared" si="9"/>
        <v>0</v>
      </c>
      <c r="H58" s="40">
        <f t="shared" si="11"/>
        <v>0</v>
      </c>
    </row>
    <row r="59" spans="2:8" ht="36" hidden="1" customHeight="1">
      <c r="B59" s="58"/>
      <c r="C59" s="59"/>
      <c r="D59" s="52"/>
      <c r="E59" s="75" t="str">
        <f t="shared" si="10"/>
        <v/>
      </c>
      <c r="F59" s="151" t="str">
        <f t="shared" si="3"/>
        <v>g</v>
      </c>
      <c r="G59" s="68">
        <f t="shared" si="9"/>
        <v>0</v>
      </c>
      <c r="H59" s="40">
        <f t="shared" si="11"/>
        <v>0</v>
      </c>
    </row>
    <row r="60" spans="2:8" ht="36" hidden="1" customHeight="1">
      <c r="B60" s="58"/>
      <c r="C60" s="59"/>
      <c r="D60" s="52"/>
      <c r="E60" s="75" t="str">
        <f t="shared" si="10"/>
        <v/>
      </c>
      <c r="F60" s="151" t="str">
        <f t="shared" si="3"/>
        <v>g</v>
      </c>
      <c r="G60" s="68">
        <f t="shared" si="9"/>
        <v>0</v>
      </c>
      <c r="H60" s="40">
        <f t="shared" si="11"/>
        <v>0</v>
      </c>
    </row>
    <row r="61" spans="2:8" ht="36" customHeight="1" thickBot="1">
      <c r="B61" s="60"/>
      <c r="C61" s="61"/>
      <c r="D61" s="62"/>
      <c r="E61" s="78" t="str">
        <f t="shared" si="10"/>
        <v/>
      </c>
      <c r="F61" s="154" t="str">
        <f t="shared" si="3"/>
        <v>g</v>
      </c>
      <c r="G61" s="70">
        <f t="shared" si="9"/>
        <v>0</v>
      </c>
      <c r="H61" s="41">
        <f t="shared" si="11"/>
        <v>0</v>
      </c>
    </row>
    <row r="62" spans="2:8" ht="32.1" customHeight="1">
      <c r="B62" s="2"/>
      <c r="C62" s="2"/>
      <c r="D62" s="2"/>
    </row>
    <row r="63" spans="2:8" ht="32.1" customHeight="1">
      <c r="B63" s="2"/>
      <c r="C63" s="2"/>
      <c r="D63" s="2"/>
    </row>
    <row r="64" spans="2:8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s="5" customFormat="1" ht="32.1" customHeight="1">
      <c r="B69" s="2"/>
      <c r="C69" s="2"/>
      <c r="D69" s="2"/>
      <c r="F69" s="6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s="5" customFormat="1" ht="32.1" customHeight="1">
      <c r="B73" s="2"/>
      <c r="C73" s="2"/>
      <c r="D73" s="2"/>
      <c r="F73" s="6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s="5" customFormat="1" ht="32.1" customHeight="1">
      <c r="B74" s="2"/>
      <c r="C74" s="2"/>
      <c r="D74" s="2"/>
      <c r="F74" s="6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6">
    <mergeCell ref="G1:H1"/>
    <mergeCell ref="B4:C4"/>
    <mergeCell ref="E1:F1"/>
    <mergeCell ref="B1:D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82" t="s">
        <v>15</v>
      </c>
      <c r="C1" s="181"/>
      <c r="D1" s="181"/>
      <c r="E1" s="181"/>
      <c r="F1" s="181"/>
      <c r="G1" s="178"/>
      <c r="H1" s="178"/>
    </row>
    <row r="2" spans="2:17" ht="50.1" customHeight="1">
      <c r="B2" s="183"/>
      <c r="C2" s="184"/>
      <c r="D2" s="184"/>
      <c r="E2" s="45"/>
      <c r="F2" s="155" t="s">
        <v>2</v>
      </c>
      <c r="G2" s="36"/>
      <c r="H2" s="29"/>
      <c r="I2" s="1">
        <v>0</v>
      </c>
    </row>
    <row r="3" spans="2:17" s="4" customFormat="1" ht="36" customHeight="1" thickBot="1">
      <c r="B3" s="132"/>
      <c r="C3" s="133"/>
      <c r="D3" s="134" t="s">
        <v>4</v>
      </c>
      <c r="E3" s="185" t="s">
        <v>0</v>
      </c>
      <c r="F3" s="191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56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57" t="str">
        <f t="shared" ref="F5:F59" si="0">$F$2</f>
        <v>g</v>
      </c>
      <c r="G5" s="86"/>
      <c r="H5" s="32"/>
      <c r="I5" s="1">
        <f>D5*$I$2</f>
        <v>0</v>
      </c>
    </row>
    <row r="6" spans="2:17" ht="36" customHeight="1" thickBot="1">
      <c r="B6" s="168">
        <f>D6</f>
        <v>1</v>
      </c>
      <c r="C6" s="169" t="s">
        <v>38</v>
      </c>
      <c r="D6" s="52">
        <v>1</v>
      </c>
      <c r="E6" s="170">
        <v>50</v>
      </c>
      <c r="F6" s="159" t="str">
        <f t="shared" si="0"/>
        <v>g</v>
      </c>
      <c r="G6" s="171"/>
      <c r="H6" s="33">
        <f>G6*$E$2</f>
        <v>0</v>
      </c>
    </row>
    <row r="7" spans="2:17" ht="36" customHeight="1" thickTop="1" thickBot="1">
      <c r="B7" s="71">
        <f>D7</f>
        <v>1</v>
      </c>
      <c r="C7" s="72" t="s">
        <v>24</v>
      </c>
      <c r="D7" s="54">
        <v>1</v>
      </c>
      <c r="E7" s="84"/>
      <c r="F7" s="158" t="str">
        <f t="shared" si="0"/>
        <v>g</v>
      </c>
      <c r="G7" s="69"/>
      <c r="H7" s="33">
        <f>G7*$E$2</f>
        <v>0</v>
      </c>
    </row>
    <row r="8" spans="2:17" ht="36" customHeight="1" thickTop="1">
      <c r="B8" s="189" t="s">
        <v>18</v>
      </c>
      <c r="C8" s="190"/>
      <c r="D8" s="48">
        <f>D5+G6+G7+SUM(D10:D59)</f>
        <v>0</v>
      </c>
      <c r="E8" s="49"/>
      <c r="F8" s="156" t="str">
        <f t="shared" si="0"/>
        <v>g</v>
      </c>
      <c r="G8" s="68"/>
      <c r="H8" s="34"/>
    </row>
    <row r="9" spans="2:17" ht="36" customHeight="1">
      <c r="B9" s="58"/>
      <c r="C9" s="59"/>
      <c r="D9" s="52"/>
      <c r="E9" s="49"/>
      <c r="F9" s="159"/>
      <c r="G9" s="68"/>
      <c r="H9" s="34"/>
    </row>
    <row r="10" spans="2:17" ht="36" customHeight="1">
      <c r="B10" s="58"/>
      <c r="C10" s="59"/>
      <c r="D10" s="52"/>
      <c r="E10" s="49"/>
      <c r="F10" s="159" t="str">
        <f t="shared" si="0"/>
        <v>g</v>
      </c>
      <c r="G10" s="68">
        <f t="shared" ref="G10:G59" si="1">ROUNDUP(D10/30,0)</f>
        <v>0</v>
      </c>
      <c r="H10" s="34">
        <f t="shared" ref="H10:H59" si="2">D10*$E$2</f>
        <v>0</v>
      </c>
    </row>
    <row r="11" spans="2:17" ht="36" customHeight="1">
      <c r="B11" s="58"/>
      <c r="C11" s="59"/>
      <c r="D11" s="52"/>
      <c r="E11" s="49"/>
      <c r="F11" s="159" t="str">
        <f t="shared" si="0"/>
        <v>g</v>
      </c>
      <c r="G11" s="68">
        <f t="shared" si="1"/>
        <v>0</v>
      </c>
      <c r="H11" s="34">
        <f t="shared" si="2"/>
        <v>0</v>
      </c>
    </row>
    <row r="12" spans="2:17" ht="36" customHeight="1">
      <c r="B12" s="58"/>
      <c r="C12" s="59"/>
      <c r="D12" s="52"/>
      <c r="E12" s="49"/>
      <c r="F12" s="159" t="str">
        <f t="shared" si="0"/>
        <v>g</v>
      </c>
      <c r="G12" s="68">
        <f t="shared" si="1"/>
        <v>0</v>
      </c>
      <c r="H12" s="34">
        <f t="shared" si="2"/>
        <v>0</v>
      </c>
    </row>
    <row r="13" spans="2:17" ht="36" customHeight="1">
      <c r="B13" s="58"/>
      <c r="C13" s="59"/>
      <c r="D13" s="52"/>
      <c r="E13" s="49"/>
      <c r="F13" s="159" t="str">
        <f t="shared" si="0"/>
        <v>g</v>
      </c>
      <c r="G13" s="68">
        <f t="shared" si="1"/>
        <v>0</v>
      </c>
      <c r="H13" s="34">
        <f t="shared" si="2"/>
        <v>0</v>
      </c>
    </row>
    <row r="14" spans="2:17" ht="36" customHeight="1">
      <c r="B14" s="58"/>
      <c r="C14" s="59"/>
      <c r="D14" s="52"/>
      <c r="E14" s="49"/>
      <c r="F14" s="159" t="str">
        <f t="shared" si="0"/>
        <v>g</v>
      </c>
      <c r="G14" s="68">
        <f t="shared" si="1"/>
        <v>0</v>
      </c>
      <c r="H14" s="34">
        <f t="shared" si="2"/>
        <v>0</v>
      </c>
    </row>
    <row r="15" spans="2:17" ht="36" customHeight="1">
      <c r="B15" s="58"/>
      <c r="C15" s="59"/>
      <c r="D15" s="52"/>
      <c r="E15" s="49"/>
      <c r="F15" s="159" t="str">
        <f t="shared" si="0"/>
        <v>g</v>
      </c>
      <c r="G15" s="68">
        <f t="shared" si="1"/>
        <v>0</v>
      </c>
      <c r="H15" s="34">
        <f t="shared" si="2"/>
        <v>0</v>
      </c>
    </row>
    <row r="16" spans="2:17" ht="36" customHeight="1">
      <c r="B16" s="58"/>
      <c r="C16" s="59"/>
      <c r="D16" s="52"/>
      <c r="E16" s="49"/>
      <c r="F16" s="159" t="str">
        <f t="shared" si="0"/>
        <v>g</v>
      </c>
      <c r="G16" s="68">
        <f t="shared" si="1"/>
        <v>0</v>
      </c>
      <c r="H16" s="34">
        <f t="shared" si="2"/>
        <v>0</v>
      </c>
    </row>
    <row r="17" spans="2:8" ht="36" customHeight="1">
      <c r="B17" s="58"/>
      <c r="C17" s="59"/>
      <c r="D17" s="52"/>
      <c r="E17" s="49"/>
      <c r="F17" s="159" t="str">
        <f t="shared" si="0"/>
        <v>g</v>
      </c>
      <c r="G17" s="68">
        <f t="shared" si="1"/>
        <v>0</v>
      </c>
      <c r="H17" s="34">
        <f t="shared" si="2"/>
        <v>0</v>
      </c>
    </row>
    <row r="18" spans="2:8" ht="36" customHeight="1">
      <c r="B18" s="58"/>
      <c r="C18" s="59"/>
      <c r="D18" s="52"/>
      <c r="E18" s="49"/>
      <c r="F18" s="159" t="str">
        <f t="shared" si="0"/>
        <v>g</v>
      </c>
      <c r="G18" s="68">
        <f t="shared" si="1"/>
        <v>0</v>
      </c>
      <c r="H18" s="34">
        <f t="shared" si="2"/>
        <v>0</v>
      </c>
    </row>
    <row r="19" spans="2:8" ht="36" customHeight="1">
      <c r="B19" s="58"/>
      <c r="C19" s="59"/>
      <c r="D19" s="52"/>
      <c r="E19" s="49"/>
      <c r="F19" s="159" t="str">
        <f t="shared" si="0"/>
        <v>g</v>
      </c>
      <c r="G19" s="68">
        <f t="shared" si="1"/>
        <v>0</v>
      </c>
      <c r="H19" s="34">
        <f t="shared" si="2"/>
        <v>0</v>
      </c>
    </row>
    <row r="20" spans="2:8" ht="36" customHeight="1">
      <c r="B20" s="58"/>
      <c r="C20" s="59"/>
      <c r="D20" s="52"/>
      <c r="E20" s="49"/>
      <c r="F20" s="159" t="str">
        <f t="shared" si="0"/>
        <v>g</v>
      </c>
      <c r="G20" s="68">
        <f t="shared" si="1"/>
        <v>0</v>
      </c>
      <c r="H20" s="34">
        <f t="shared" si="2"/>
        <v>0</v>
      </c>
    </row>
    <row r="21" spans="2:8" ht="36" customHeight="1">
      <c r="B21" s="58"/>
      <c r="C21" s="59"/>
      <c r="D21" s="52"/>
      <c r="E21" s="49"/>
      <c r="F21" s="159" t="str">
        <f t="shared" si="0"/>
        <v>g</v>
      </c>
      <c r="G21" s="68">
        <f t="shared" si="1"/>
        <v>0</v>
      </c>
      <c r="H21" s="34">
        <f t="shared" si="2"/>
        <v>0</v>
      </c>
    </row>
    <row r="22" spans="2:8" ht="36" customHeight="1">
      <c r="B22" s="58"/>
      <c r="C22" s="59"/>
      <c r="D22" s="52"/>
      <c r="E22" s="49"/>
      <c r="F22" s="159" t="str">
        <f t="shared" si="0"/>
        <v>g</v>
      </c>
      <c r="G22" s="68">
        <f t="shared" si="1"/>
        <v>0</v>
      </c>
      <c r="H22" s="34">
        <f t="shared" si="2"/>
        <v>0</v>
      </c>
    </row>
    <row r="23" spans="2:8" ht="36" customHeight="1">
      <c r="B23" s="58"/>
      <c r="C23" s="59"/>
      <c r="D23" s="52"/>
      <c r="E23" s="49"/>
      <c r="F23" s="159" t="str">
        <f t="shared" si="0"/>
        <v>g</v>
      </c>
      <c r="G23" s="68">
        <f t="shared" si="1"/>
        <v>0</v>
      </c>
      <c r="H23" s="34">
        <f t="shared" si="2"/>
        <v>0</v>
      </c>
    </row>
    <row r="24" spans="2:8" ht="36" customHeight="1">
      <c r="B24" s="58"/>
      <c r="C24" s="59"/>
      <c r="D24" s="52"/>
      <c r="E24" s="49"/>
      <c r="F24" s="159" t="str">
        <f t="shared" si="0"/>
        <v>g</v>
      </c>
      <c r="G24" s="68">
        <f t="shared" si="1"/>
        <v>0</v>
      </c>
      <c r="H24" s="34">
        <f t="shared" si="2"/>
        <v>0</v>
      </c>
    </row>
    <row r="25" spans="2:8" ht="36" customHeight="1">
      <c r="B25" s="58"/>
      <c r="C25" s="59"/>
      <c r="D25" s="52"/>
      <c r="E25" s="49"/>
      <c r="F25" s="159" t="str">
        <f t="shared" si="0"/>
        <v>g</v>
      </c>
      <c r="G25" s="68">
        <f t="shared" ref="G25:G32" si="3">ROUNDUP(D25/30,0)</f>
        <v>0</v>
      </c>
      <c r="H25" s="34">
        <f t="shared" ref="H25:H32" si="4">D25*$E$2</f>
        <v>0</v>
      </c>
    </row>
    <row r="26" spans="2:8" ht="36" customHeight="1">
      <c r="B26" s="58"/>
      <c r="C26" s="59"/>
      <c r="D26" s="52"/>
      <c r="E26" s="49"/>
      <c r="F26" s="159" t="str">
        <f t="shared" si="0"/>
        <v>g</v>
      </c>
      <c r="G26" s="68">
        <f t="shared" si="3"/>
        <v>0</v>
      </c>
      <c r="H26" s="34">
        <f t="shared" si="4"/>
        <v>0</v>
      </c>
    </row>
    <row r="27" spans="2:8" ht="36" customHeight="1">
      <c r="B27" s="58"/>
      <c r="C27" s="59"/>
      <c r="D27" s="52"/>
      <c r="E27" s="49"/>
      <c r="F27" s="159" t="str">
        <f t="shared" si="0"/>
        <v>g</v>
      </c>
      <c r="G27" s="68">
        <f t="shared" si="3"/>
        <v>0</v>
      </c>
      <c r="H27" s="34">
        <f t="shared" si="4"/>
        <v>0</v>
      </c>
    </row>
    <row r="28" spans="2:8" ht="36" hidden="1" customHeight="1">
      <c r="B28" s="58"/>
      <c r="C28" s="59"/>
      <c r="D28" s="52"/>
      <c r="E28" s="49"/>
      <c r="F28" s="159" t="str">
        <f t="shared" si="0"/>
        <v>g</v>
      </c>
      <c r="G28" s="68">
        <f t="shared" si="3"/>
        <v>0</v>
      </c>
      <c r="H28" s="34">
        <f t="shared" si="4"/>
        <v>0</v>
      </c>
    </row>
    <row r="29" spans="2:8" ht="36" hidden="1" customHeight="1">
      <c r="B29" s="58"/>
      <c r="C29" s="59"/>
      <c r="D29" s="52"/>
      <c r="E29" s="49"/>
      <c r="F29" s="159" t="str">
        <f t="shared" si="0"/>
        <v>g</v>
      </c>
      <c r="G29" s="68">
        <f t="shared" si="3"/>
        <v>0</v>
      </c>
      <c r="H29" s="34">
        <f t="shared" si="4"/>
        <v>0</v>
      </c>
    </row>
    <row r="30" spans="2:8" ht="36" hidden="1" customHeight="1">
      <c r="B30" s="58"/>
      <c r="C30" s="59"/>
      <c r="D30" s="52"/>
      <c r="E30" s="49"/>
      <c r="F30" s="159" t="str">
        <f t="shared" si="0"/>
        <v>g</v>
      </c>
      <c r="G30" s="68">
        <f t="shared" si="3"/>
        <v>0</v>
      </c>
      <c r="H30" s="34">
        <f t="shared" si="4"/>
        <v>0</v>
      </c>
    </row>
    <row r="31" spans="2:8" ht="36" hidden="1" customHeight="1">
      <c r="B31" s="58"/>
      <c r="C31" s="59"/>
      <c r="D31" s="52"/>
      <c r="E31" s="49"/>
      <c r="F31" s="159" t="str">
        <f t="shared" si="0"/>
        <v>g</v>
      </c>
      <c r="G31" s="68">
        <f t="shared" si="3"/>
        <v>0</v>
      </c>
      <c r="H31" s="34">
        <f t="shared" si="4"/>
        <v>0</v>
      </c>
    </row>
    <row r="32" spans="2:8" ht="36" hidden="1" customHeight="1">
      <c r="B32" s="58"/>
      <c r="C32" s="59"/>
      <c r="D32" s="52"/>
      <c r="E32" s="49"/>
      <c r="F32" s="159" t="str">
        <f t="shared" si="0"/>
        <v>g</v>
      </c>
      <c r="G32" s="68">
        <f t="shared" si="3"/>
        <v>0</v>
      </c>
      <c r="H32" s="34">
        <f t="shared" si="4"/>
        <v>0</v>
      </c>
    </row>
    <row r="33" spans="2:8" ht="36" hidden="1" customHeight="1">
      <c r="B33" s="58"/>
      <c r="C33" s="59"/>
      <c r="D33" s="52"/>
      <c r="E33" s="49"/>
      <c r="F33" s="159" t="str">
        <f t="shared" si="0"/>
        <v>g</v>
      </c>
      <c r="G33" s="68">
        <f t="shared" si="1"/>
        <v>0</v>
      </c>
      <c r="H33" s="34">
        <f t="shared" si="2"/>
        <v>0</v>
      </c>
    </row>
    <row r="34" spans="2:8" ht="36" hidden="1" customHeight="1">
      <c r="B34" s="58"/>
      <c r="C34" s="59"/>
      <c r="D34" s="52"/>
      <c r="E34" s="49"/>
      <c r="F34" s="159" t="str">
        <f t="shared" si="0"/>
        <v>g</v>
      </c>
      <c r="G34" s="68">
        <f t="shared" si="1"/>
        <v>0</v>
      </c>
      <c r="H34" s="34">
        <f t="shared" si="2"/>
        <v>0</v>
      </c>
    </row>
    <row r="35" spans="2:8" ht="36" hidden="1" customHeight="1">
      <c r="B35" s="58"/>
      <c r="C35" s="59"/>
      <c r="D35" s="52"/>
      <c r="E35" s="49"/>
      <c r="F35" s="159" t="str">
        <f t="shared" si="0"/>
        <v>g</v>
      </c>
      <c r="G35" s="68">
        <f t="shared" si="1"/>
        <v>0</v>
      </c>
      <c r="H35" s="34">
        <f t="shared" si="2"/>
        <v>0</v>
      </c>
    </row>
    <row r="36" spans="2:8" ht="36" hidden="1" customHeight="1">
      <c r="B36" s="58"/>
      <c r="C36" s="59"/>
      <c r="D36" s="52"/>
      <c r="E36" s="49"/>
      <c r="F36" s="159" t="str">
        <f t="shared" si="0"/>
        <v>g</v>
      </c>
      <c r="G36" s="68">
        <f t="shared" si="1"/>
        <v>0</v>
      </c>
      <c r="H36" s="34">
        <f t="shared" si="2"/>
        <v>0</v>
      </c>
    </row>
    <row r="37" spans="2:8" ht="36" hidden="1" customHeight="1">
      <c r="B37" s="58"/>
      <c r="C37" s="59"/>
      <c r="D37" s="52"/>
      <c r="E37" s="49"/>
      <c r="F37" s="159" t="str">
        <f t="shared" si="0"/>
        <v>g</v>
      </c>
      <c r="G37" s="68">
        <f t="shared" si="1"/>
        <v>0</v>
      </c>
      <c r="H37" s="34">
        <f t="shared" si="2"/>
        <v>0</v>
      </c>
    </row>
    <row r="38" spans="2:8" ht="36" hidden="1" customHeight="1">
      <c r="B38" s="58"/>
      <c r="C38" s="59"/>
      <c r="D38" s="52"/>
      <c r="E38" s="49"/>
      <c r="F38" s="159" t="str">
        <f t="shared" si="0"/>
        <v>g</v>
      </c>
      <c r="G38" s="68">
        <f t="shared" si="1"/>
        <v>0</v>
      </c>
      <c r="H38" s="34">
        <f t="shared" si="2"/>
        <v>0</v>
      </c>
    </row>
    <row r="39" spans="2:8" ht="36" hidden="1" customHeight="1">
      <c r="B39" s="58"/>
      <c r="C39" s="59"/>
      <c r="D39" s="52"/>
      <c r="E39" s="49"/>
      <c r="F39" s="159" t="str">
        <f t="shared" si="0"/>
        <v>g</v>
      </c>
      <c r="G39" s="68">
        <f t="shared" si="1"/>
        <v>0</v>
      </c>
      <c r="H39" s="34">
        <f t="shared" si="2"/>
        <v>0</v>
      </c>
    </row>
    <row r="40" spans="2:8" ht="36" hidden="1" customHeight="1">
      <c r="B40" s="58"/>
      <c r="C40" s="59"/>
      <c r="D40" s="52"/>
      <c r="E40" s="49"/>
      <c r="F40" s="159" t="str">
        <f t="shared" si="0"/>
        <v>g</v>
      </c>
      <c r="G40" s="68">
        <f t="shared" si="1"/>
        <v>0</v>
      </c>
      <c r="H40" s="34">
        <f t="shared" si="2"/>
        <v>0</v>
      </c>
    </row>
    <row r="41" spans="2:8" ht="36" hidden="1" customHeight="1">
      <c r="B41" s="58"/>
      <c r="C41" s="59"/>
      <c r="D41" s="52"/>
      <c r="E41" s="49"/>
      <c r="F41" s="159" t="str">
        <f t="shared" si="0"/>
        <v>g</v>
      </c>
      <c r="G41" s="68">
        <f t="shared" si="1"/>
        <v>0</v>
      </c>
      <c r="H41" s="34">
        <f t="shared" si="2"/>
        <v>0</v>
      </c>
    </row>
    <row r="42" spans="2:8" ht="36" hidden="1" customHeight="1">
      <c r="B42" s="58"/>
      <c r="C42" s="59"/>
      <c r="D42" s="52"/>
      <c r="E42" s="49"/>
      <c r="F42" s="159" t="str">
        <f t="shared" si="0"/>
        <v>g</v>
      </c>
      <c r="G42" s="68">
        <f t="shared" si="1"/>
        <v>0</v>
      </c>
      <c r="H42" s="34">
        <f t="shared" si="2"/>
        <v>0</v>
      </c>
    </row>
    <row r="43" spans="2:8" ht="36" hidden="1" customHeight="1">
      <c r="B43" s="58"/>
      <c r="C43" s="59"/>
      <c r="D43" s="52"/>
      <c r="E43" s="49"/>
      <c r="F43" s="159" t="str">
        <f t="shared" si="0"/>
        <v>g</v>
      </c>
      <c r="G43" s="68">
        <f t="shared" si="1"/>
        <v>0</v>
      </c>
      <c r="H43" s="34">
        <f t="shared" si="2"/>
        <v>0</v>
      </c>
    </row>
    <row r="44" spans="2:8" ht="36" hidden="1" customHeight="1">
      <c r="B44" s="58"/>
      <c r="C44" s="59"/>
      <c r="D44" s="52"/>
      <c r="E44" s="49"/>
      <c r="F44" s="159" t="str">
        <f t="shared" si="0"/>
        <v>g</v>
      </c>
      <c r="G44" s="68">
        <f t="shared" si="1"/>
        <v>0</v>
      </c>
      <c r="H44" s="34">
        <f t="shared" si="2"/>
        <v>0</v>
      </c>
    </row>
    <row r="45" spans="2:8" ht="36" hidden="1" customHeight="1">
      <c r="B45" s="58"/>
      <c r="C45" s="59"/>
      <c r="D45" s="52"/>
      <c r="E45" s="49"/>
      <c r="F45" s="159" t="str">
        <f t="shared" si="0"/>
        <v>g</v>
      </c>
      <c r="G45" s="68">
        <f t="shared" si="1"/>
        <v>0</v>
      </c>
      <c r="H45" s="34">
        <f t="shared" si="2"/>
        <v>0</v>
      </c>
    </row>
    <row r="46" spans="2:8" ht="36" hidden="1" customHeight="1">
      <c r="B46" s="58"/>
      <c r="C46" s="59"/>
      <c r="D46" s="52"/>
      <c r="E46" s="49"/>
      <c r="F46" s="159" t="str">
        <f t="shared" si="0"/>
        <v>g</v>
      </c>
      <c r="G46" s="68">
        <f t="shared" si="1"/>
        <v>0</v>
      </c>
      <c r="H46" s="34">
        <f t="shared" si="2"/>
        <v>0</v>
      </c>
    </row>
    <row r="47" spans="2:8" ht="36" hidden="1" customHeight="1">
      <c r="B47" s="58"/>
      <c r="C47" s="59"/>
      <c r="D47" s="52"/>
      <c r="E47" s="49"/>
      <c r="F47" s="159" t="str">
        <f t="shared" si="0"/>
        <v>g</v>
      </c>
      <c r="G47" s="68">
        <f t="shared" si="1"/>
        <v>0</v>
      </c>
      <c r="H47" s="34">
        <f t="shared" si="2"/>
        <v>0</v>
      </c>
    </row>
    <row r="48" spans="2:8" ht="36" hidden="1" customHeight="1">
      <c r="B48" s="58"/>
      <c r="C48" s="59"/>
      <c r="D48" s="52"/>
      <c r="E48" s="49"/>
      <c r="F48" s="159" t="str">
        <f t="shared" si="0"/>
        <v>g</v>
      </c>
      <c r="G48" s="68">
        <f t="shared" si="1"/>
        <v>0</v>
      </c>
      <c r="H48" s="34">
        <f t="shared" si="2"/>
        <v>0</v>
      </c>
    </row>
    <row r="49" spans="2:17" ht="36" hidden="1" customHeight="1">
      <c r="B49" s="58"/>
      <c r="C49" s="59"/>
      <c r="D49" s="52"/>
      <c r="E49" s="49"/>
      <c r="F49" s="159" t="str">
        <f t="shared" si="0"/>
        <v>g</v>
      </c>
      <c r="G49" s="68">
        <f t="shared" ref="G49:G56" si="5">ROUNDUP(D49/30,0)</f>
        <v>0</v>
      </c>
      <c r="H49" s="34">
        <f t="shared" ref="H49:H56" si="6">D49*$E$2</f>
        <v>0</v>
      </c>
    </row>
    <row r="50" spans="2:17" ht="36" hidden="1" customHeight="1">
      <c r="B50" s="58"/>
      <c r="C50" s="59"/>
      <c r="D50" s="52"/>
      <c r="E50" s="49"/>
      <c r="F50" s="159" t="str">
        <f t="shared" si="0"/>
        <v>g</v>
      </c>
      <c r="G50" s="68">
        <f t="shared" si="5"/>
        <v>0</v>
      </c>
      <c r="H50" s="34">
        <f t="shared" si="6"/>
        <v>0</v>
      </c>
    </row>
    <row r="51" spans="2:17" ht="36" hidden="1" customHeight="1">
      <c r="B51" s="58"/>
      <c r="C51" s="59"/>
      <c r="D51" s="52"/>
      <c r="E51" s="49"/>
      <c r="F51" s="159" t="str">
        <f t="shared" si="0"/>
        <v>g</v>
      </c>
      <c r="G51" s="68">
        <f t="shared" si="5"/>
        <v>0</v>
      </c>
      <c r="H51" s="34">
        <f t="shared" si="6"/>
        <v>0</v>
      </c>
    </row>
    <row r="52" spans="2:17" ht="36" hidden="1" customHeight="1">
      <c r="B52" s="58"/>
      <c r="C52" s="59"/>
      <c r="D52" s="52"/>
      <c r="E52" s="49"/>
      <c r="F52" s="159" t="str">
        <f t="shared" si="0"/>
        <v>g</v>
      </c>
      <c r="G52" s="68">
        <f t="shared" si="5"/>
        <v>0</v>
      </c>
      <c r="H52" s="34">
        <f t="shared" si="6"/>
        <v>0</v>
      </c>
    </row>
    <row r="53" spans="2:17" ht="36" hidden="1" customHeight="1">
      <c r="B53" s="58"/>
      <c r="C53" s="59"/>
      <c r="D53" s="52"/>
      <c r="E53" s="49"/>
      <c r="F53" s="159" t="str">
        <f t="shared" si="0"/>
        <v>g</v>
      </c>
      <c r="G53" s="68">
        <f t="shared" si="5"/>
        <v>0</v>
      </c>
      <c r="H53" s="34">
        <f t="shared" si="6"/>
        <v>0</v>
      </c>
    </row>
    <row r="54" spans="2:17" ht="36" hidden="1" customHeight="1">
      <c r="B54" s="58"/>
      <c r="C54" s="59"/>
      <c r="D54" s="52"/>
      <c r="E54" s="49"/>
      <c r="F54" s="159" t="str">
        <f t="shared" si="0"/>
        <v>g</v>
      </c>
      <c r="G54" s="68">
        <f t="shared" si="5"/>
        <v>0</v>
      </c>
      <c r="H54" s="34">
        <f t="shared" si="6"/>
        <v>0</v>
      </c>
    </row>
    <row r="55" spans="2:17" ht="36" hidden="1" customHeight="1">
      <c r="B55" s="58"/>
      <c r="C55" s="59"/>
      <c r="D55" s="52"/>
      <c r="E55" s="49"/>
      <c r="F55" s="159" t="str">
        <f t="shared" si="0"/>
        <v>g</v>
      </c>
      <c r="G55" s="68">
        <f t="shared" si="5"/>
        <v>0</v>
      </c>
      <c r="H55" s="34">
        <f t="shared" si="6"/>
        <v>0</v>
      </c>
    </row>
    <row r="56" spans="2:17" ht="36" hidden="1" customHeight="1">
      <c r="B56" s="58"/>
      <c r="C56" s="59"/>
      <c r="D56" s="52"/>
      <c r="E56" s="49"/>
      <c r="F56" s="159" t="str">
        <f t="shared" si="0"/>
        <v>g</v>
      </c>
      <c r="G56" s="68">
        <f t="shared" si="5"/>
        <v>0</v>
      </c>
      <c r="H56" s="34">
        <f t="shared" si="6"/>
        <v>0</v>
      </c>
    </row>
    <row r="57" spans="2:17" ht="36" hidden="1" customHeight="1">
      <c r="B57" s="58"/>
      <c r="C57" s="59"/>
      <c r="D57" s="52"/>
      <c r="E57" s="49"/>
      <c r="F57" s="159" t="str">
        <f t="shared" si="0"/>
        <v>g</v>
      </c>
      <c r="G57" s="68">
        <f t="shared" si="1"/>
        <v>0</v>
      </c>
      <c r="H57" s="34">
        <f t="shared" si="2"/>
        <v>0</v>
      </c>
    </row>
    <row r="58" spans="2:17" ht="36" hidden="1" customHeight="1">
      <c r="B58" s="58"/>
      <c r="C58" s="59"/>
      <c r="D58" s="52"/>
      <c r="E58" s="49"/>
      <c r="F58" s="159" t="str">
        <f t="shared" si="0"/>
        <v>g</v>
      </c>
      <c r="G58" s="68">
        <f t="shared" si="1"/>
        <v>0</v>
      </c>
      <c r="H58" s="34">
        <f t="shared" si="2"/>
        <v>0</v>
      </c>
    </row>
    <row r="59" spans="2:17" ht="36" customHeight="1" thickBot="1">
      <c r="B59" s="60"/>
      <c r="C59" s="61"/>
      <c r="D59" s="62"/>
      <c r="E59" s="85"/>
      <c r="F59" s="160" t="str">
        <f t="shared" si="0"/>
        <v>g</v>
      </c>
      <c r="G59" s="70">
        <f t="shared" si="1"/>
        <v>0</v>
      </c>
      <c r="H59" s="35">
        <f t="shared" si="2"/>
        <v>0</v>
      </c>
    </row>
    <row r="60" spans="2:17" s="4" customFormat="1" ht="32.1" customHeight="1">
      <c r="B60" s="2"/>
      <c r="C60" s="2"/>
      <c r="D60" s="2">
        <f>D8</f>
        <v>0</v>
      </c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6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G1:H1"/>
    <mergeCell ref="B1:D1"/>
    <mergeCell ref="E1:F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82" t="s">
        <v>16</v>
      </c>
      <c r="C1" s="181"/>
      <c r="D1" s="181"/>
      <c r="E1" s="181"/>
      <c r="F1" s="181"/>
      <c r="G1" s="178"/>
      <c r="H1" s="178"/>
    </row>
    <row r="2" spans="2:17" ht="50.1" customHeight="1">
      <c r="B2" s="183"/>
      <c r="C2" s="184"/>
      <c r="D2" s="184"/>
      <c r="E2" s="45"/>
      <c r="F2" s="161" t="s">
        <v>2</v>
      </c>
      <c r="G2" s="36"/>
      <c r="H2" s="29"/>
      <c r="I2" s="1">
        <v>0</v>
      </c>
    </row>
    <row r="3" spans="2:17" s="4" customFormat="1" ht="36" customHeight="1" thickBot="1">
      <c r="B3" s="7"/>
      <c r="C3" s="8"/>
      <c r="D3" s="134" t="s">
        <v>4</v>
      </c>
      <c r="E3" s="185" t="s">
        <v>0</v>
      </c>
      <c r="F3" s="192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62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63" t="str">
        <f t="shared" ref="F5:F8" si="0">$F$2</f>
        <v>g</v>
      </c>
      <c r="G5" s="87"/>
      <c r="H5" s="32"/>
      <c r="I5" s="1">
        <f>D5*$I$2</f>
        <v>0</v>
      </c>
    </row>
    <row r="6" spans="2:17" ht="36" customHeight="1" thickBot="1">
      <c r="B6" s="168">
        <f>D6</f>
        <v>1</v>
      </c>
      <c r="C6" s="169" t="s">
        <v>38</v>
      </c>
      <c r="D6" s="52">
        <v>1</v>
      </c>
      <c r="E6" s="170">
        <v>50</v>
      </c>
      <c r="F6" s="159" t="str">
        <f t="shared" si="0"/>
        <v>g</v>
      </c>
      <c r="G6" s="171"/>
      <c r="H6" s="33">
        <f>G6*$E$2</f>
        <v>0</v>
      </c>
    </row>
    <row r="7" spans="2:17" ht="36" customHeight="1" thickTop="1" thickBot="1">
      <c r="B7" s="71">
        <f>D7</f>
        <v>1</v>
      </c>
      <c r="C7" s="72" t="s">
        <v>21</v>
      </c>
      <c r="D7" s="54">
        <v>1</v>
      </c>
      <c r="E7" s="84"/>
      <c r="F7" s="164" t="str">
        <f t="shared" si="0"/>
        <v>g</v>
      </c>
      <c r="G7" s="88"/>
      <c r="H7" s="33">
        <f>G7*$I$2</f>
        <v>0</v>
      </c>
    </row>
    <row r="8" spans="2:17" ht="36" customHeight="1" thickTop="1">
      <c r="B8" s="189" t="s">
        <v>23</v>
      </c>
      <c r="C8" s="190"/>
      <c r="D8" s="48">
        <f>D5+G6+G7+SUM(D10:D59)</f>
        <v>0</v>
      </c>
      <c r="E8" s="49"/>
      <c r="F8" s="162" t="str">
        <f t="shared" si="0"/>
        <v>g</v>
      </c>
      <c r="G8" s="89"/>
      <c r="H8" s="34"/>
    </row>
    <row r="9" spans="2:17" ht="36" customHeight="1">
      <c r="B9" s="58"/>
      <c r="C9" s="59"/>
      <c r="D9" s="52"/>
      <c r="E9" s="49"/>
      <c r="F9" s="165"/>
      <c r="G9" s="68"/>
      <c r="H9" s="34"/>
    </row>
    <row r="10" spans="2:17" ht="36" customHeight="1">
      <c r="B10" s="58"/>
      <c r="C10" s="59"/>
      <c r="D10" s="52"/>
      <c r="E10" s="49"/>
      <c r="F10" s="165" t="str">
        <f t="shared" ref="F10:F59" si="1">$F$2</f>
        <v>g</v>
      </c>
      <c r="G10" s="68">
        <f t="shared" ref="G10:G59" si="2">ROUNDUP(D10/30,0)</f>
        <v>0</v>
      </c>
      <c r="H10" s="34">
        <f t="shared" ref="H10:H59" si="3">D10*$E$2</f>
        <v>0</v>
      </c>
    </row>
    <row r="11" spans="2:17" ht="36" customHeight="1">
      <c r="B11" s="58"/>
      <c r="C11" s="59"/>
      <c r="D11" s="52"/>
      <c r="E11" s="49"/>
      <c r="F11" s="165" t="str">
        <f t="shared" si="1"/>
        <v>g</v>
      </c>
      <c r="G11" s="68">
        <f t="shared" si="2"/>
        <v>0</v>
      </c>
      <c r="H11" s="34">
        <f t="shared" si="3"/>
        <v>0</v>
      </c>
    </row>
    <row r="12" spans="2:17" ht="36" customHeight="1">
      <c r="B12" s="58"/>
      <c r="C12" s="59"/>
      <c r="D12" s="52"/>
      <c r="E12" s="49"/>
      <c r="F12" s="165" t="str">
        <f t="shared" si="1"/>
        <v>g</v>
      </c>
      <c r="G12" s="68">
        <f t="shared" si="2"/>
        <v>0</v>
      </c>
      <c r="H12" s="34">
        <f t="shared" si="3"/>
        <v>0</v>
      </c>
    </row>
    <row r="13" spans="2:17" ht="36" customHeight="1">
      <c r="B13" s="58"/>
      <c r="C13" s="59"/>
      <c r="D13" s="52"/>
      <c r="E13" s="49"/>
      <c r="F13" s="165" t="str">
        <f t="shared" si="1"/>
        <v>g</v>
      </c>
      <c r="G13" s="68">
        <f t="shared" si="2"/>
        <v>0</v>
      </c>
      <c r="H13" s="34">
        <f t="shared" si="3"/>
        <v>0</v>
      </c>
    </row>
    <row r="14" spans="2:17" ht="36" customHeight="1">
      <c r="B14" s="58"/>
      <c r="C14" s="59"/>
      <c r="D14" s="52"/>
      <c r="E14" s="49"/>
      <c r="F14" s="165" t="str">
        <f t="shared" si="1"/>
        <v>g</v>
      </c>
      <c r="G14" s="68">
        <f t="shared" si="2"/>
        <v>0</v>
      </c>
      <c r="H14" s="34">
        <f t="shared" si="3"/>
        <v>0</v>
      </c>
    </row>
    <row r="15" spans="2:17" ht="36" customHeight="1">
      <c r="B15" s="58"/>
      <c r="C15" s="59"/>
      <c r="D15" s="52"/>
      <c r="E15" s="49"/>
      <c r="F15" s="165" t="str">
        <f t="shared" si="1"/>
        <v>g</v>
      </c>
      <c r="G15" s="68">
        <f t="shared" ref="G15:G24" si="4">ROUNDUP(D15/30,0)</f>
        <v>0</v>
      </c>
      <c r="H15" s="34">
        <f t="shared" ref="H15:H24" si="5">D15*$E$2</f>
        <v>0</v>
      </c>
    </row>
    <row r="16" spans="2:17" ht="36" customHeight="1">
      <c r="B16" s="58"/>
      <c r="C16" s="59"/>
      <c r="D16" s="52"/>
      <c r="E16" s="49"/>
      <c r="F16" s="165" t="str">
        <f t="shared" si="1"/>
        <v>g</v>
      </c>
      <c r="G16" s="68">
        <f t="shared" si="4"/>
        <v>0</v>
      </c>
      <c r="H16" s="34">
        <f t="shared" si="5"/>
        <v>0</v>
      </c>
    </row>
    <row r="17" spans="2:8" ht="36" customHeight="1">
      <c r="B17" s="58"/>
      <c r="C17" s="59"/>
      <c r="D17" s="52"/>
      <c r="E17" s="49"/>
      <c r="F17" s="165" t="str">
        <f t="shared" si="1"/>
        <v>g</v>
      </c>
      <c r="G17" s="68">
        <f t="shared" si="4"/>
        <v>0</v>
      </c>
      <c r="H17" s="34">
        <f t="shared" si="5"/>
        <v>0</v>
      </c>
    </row>
    <row r="18" spans="2:8" ht="36" customHeight="1">
      <c r="B18" s="58"/>
      <c r="C18" s="59"/>
      <c r="D18" s="52"/>
      <c r="E18" s="49"/>
      <c r="F18" s="165" t="str">
        <f t="shared" si="1"/>
        <v>g</v>
      </c>
      <c r="G18" s="68">
        <f t="shared" si="4"/>
        <v>0</v>
      </c>
      <c r="H18" s="34">
        <f t="shared" si="5"/>
        <v>0</v>
      </c>
    </row>
    <row r="19" spans="2:8" ht="36" customHeight="1">
      <c r="B19" s="58"/>
      <c r="C19" s="59"/>
      <c r="D19" s="52"/>
      <c r="E19" s="49"/>
      <c r="F19" s="165" t="str">
        <f t="shared" si="1"/>
        <v>g</v>
      </c>
      <c r="G19" s="68">
        <f t="shared" si="4"/>
        <v>0</v>
      </c>
      <c r="H19" s="34">
        <f t="shared" si="5"/>
        <v>0</v>
      </c>
    </row>
    <row r="20" spans="2:8" ht="36" customHeight="1">
      <c r="B20" s="58"/>
      <c r="C20" s="59"/>
      <c r="D20" s="52"/>
      <c r="E20" s="49"/>
      <c r="F20" s="165" t="str">
        <f t="shared" si="1"/>
        <v>g</v>
      </c>
      <c r="G20" s="68">
        <f t="shared" si="4"/>
        <v>0</v>
      </c>
      <c r="H20" s="34">
        <f t="shared" si="5"/>
        <v>0</v>
      </c>
    </row>
    <row r="21" spans="2:8" ht="36" customHeight="1">
      <c r="B21" s="58"/>
      <c r="C21" s="59"/>
      <c r="D21" s="52"/>
      <c r="E21" s="49"/>
      <c r="F21" s="165" t="str">
        <f t="shared" si="1"/>
        <v>g</v>
      </c>
      <c r="G21" s="68">
        <f t="shared" si="4"/>
        <v>0</v>
      </c>
      <c r="H21" s="34">
        <f t="shared" si="5"/>
        <v>0</v>
      </c>
    </row>
    <row r="22" spans="2:8" ht="36" customHeight="1">
      <c r="B22" s="58"/>
      <c r="C22" s="59"/>
      <c r="D22" s="52"/>
      <c r="E22" s="49"/>
      <c r="F22" s="165" t="str">
        <f t="shared" si="1"/>
        <v>g</v>
      </c>
      <c r="G22" s="68">
        <f t="shared" si="4"/>
        <v>0</v>
      </c>
      <c r="H22" s="34">
        <f t="shared" si="5"/>
        <v>0</v>
      </c>
    </row>
    <row r="23" spans="2:8" ht="36" customHeight="1">
      <c r="B23" s="58"/>
      <c r="C23" s="59"/>
      <c r="D23" s="52"/>
      <c r="E23" s="49"/>
      <c r="F23" s="165" t="str">
        <f t="shared" si="1"/>
        <v>g</v>
      </c>
      <c r="G23" s="68">
        <f t="shared" si="4"/>
        <v>0</v>
      </c>
      <c r="H23" s="34">
        <f t="shared" si="5"/>
        <v>0</v>
      </c>
    </row>
    <row r="24" spans="2:8" ht="36" customHeight="1">
      <c r="B24" s="58"/>
      <c r="C24" s="59"/>
      <c r="D24" s="52"/>
      <c r="E24" s="49"/>
      <c r="F24" s="165" t="str">
        <f t="shared" si="1"/>
        <v>g</v>
      </c>
      <c r="G24" s="68">
        <f t="shared" si="4"/>
        <v>0</v>
      </c>
      <c r="H24" s="34">
        <f t="shared" si="5"/>
        <v>0</v>
      </c>
    </row>
    <row r="25" spans="2:8" ht="36" customHeight="1">
      <c r="B25" s="58"/>
      <c r="C25" s="59"/>
      <c r="D25" s="52"/>
      <c r="E25" s="49"/>
      <c r="F25" s="165" t="str">
        <f t="shared" si="1"/>
        <v>g</v>
      </c>
      <c r="G25" s="68">
        <f t="shared" si="2"/>
        <v>0</v>
      </c>
      <c r="H25" s="34">
        <f t="shared" si="3"/>
        <v>0</v>
      </c>
    </row>
    <row r="26" spans="2:8" ht="36" customHeight="1">
      <c r="B26" s="58"/>
      <c r="C26" s="59"/>
      <c r="D26" s="52"/>
      <c r="E26" s="49"/>
      <c r="F26" s="165" t="str">
        <f t="shared" si="1"/>
        <v>g</v>
      </c>
      <c r="G26" s="68">
        <f t="shared" si="2"/>
        <v>0</v>
      </c>
      <c r="H26" s="34">
        <f t="shared" si="3"/>
        <v>0</v>
      </c>
    </row>
    <row r="27" spans="2:8" ht="36" customHeight="1">
      <c r="B27" s="58"/>
      <c r="C27" s="59"/>
      <c r="D27" s="52"/>
      <c r="E27" s="49"/>
      <c r="F27" s="165" t="str">
        <f t="shared" si="1"/>
        <v>g</v>
      </c>
      <c r="G27" s="68">
        <f t="shared" si="2"/>
        <v>0</v>
      </c>
      <c r="H27" s="34">
        <f t="shared" si="3"/>
        <v>0</v>
      </c>
    </row>
    <row r="28" spans="2:8" ht="36" hidden="1" customHeight="1">
      <c r="B28" s="58"/>
      <c r="C28" s="59"/>
      <c r="D28" s="52"/>
      <c r="E28" s="49"/>
      <c r="F28" s="165" t="str">
        <f t="shared" si="1"/>
        <v>g</v>
      </c>
      <c r="G28" s="68">
        <f t="shared" si="2"/>
        <v>0</v>
      </c>
      <c r="H28" s="34">
        <f t="shared" si="3"/>
        <v>0</v>
      </c>
    </row>
    <row r="29" spans="2:8" ht="36" hidden="1" customHeight="1">
      <c r="B29" s="58"/>
      <c r="C29" s="59"/>
      <c r="D29" s="52"/>
      <c r="E29" s="49"/>
      <c r="F29" s="165" t="str">
        <f t="shared" si="1"/>
        <v>g</v>
      </c>
      <c r="G29" s="68">
        <f t="shared" si="2"/>
        <v>0</v>
      </c>
      <c r="H29" s="34">
        <f t="shared" si="3"/>
        <v>0</v>
      </c>
    </row>
    <row r="30" spans="2:8" ht="36" hidden="1" customHeight="1">
      <c r="B30" s="58"/>
      <c r="C30" s="59"/>
      <c r="D30" s="52"/>
      <c r="E30" s="49"/>
      <c r="F30" s="165" t="str">
        <f t="shared" si="1"/>
        <v>g</v>
      </c>
      <c r="G30" s="68">
        <f t="shared" si="2"/>
        <v>0</v>
      </c>
      <c r="H30" s="34">
        <f t="shared" si="3"/>
        <v>0</v>
      </c>
    </row>
    <row r="31" spans="2:8" ht="36" hidden="1" customHeight="1">
      <c r="B31" s="58"/>
      <c r="C31" s="59"/>
      <c r="D31" s="52"/>
      <c r="E31" s="49"/>
      <c r="F31" s="165" t="str">
        <f t="shared" si="1"/>
        <v>g</v>
      </c>
      <c r="G31" s="68">
        <f t="shared" si="2"/>
        <v>0</v>
      </c>
      <c r="H31" s="34">
        <f t="shared" si="3"/>
        <v>0</v>
      </c>
    </row>
    <row r="32" spans="2:8" ht="36" hidden="1" customHeight="1">
      <c r="B32" s="58"/>
      <c r="C32" s="59"/>
      <c r="D32" s="52"/>
      <c r="E32" s="49"/>
      <c r="F32" s="165" t="str">
        <f t="shared" si="1"/>
        <v>g</v>
      </c>
      <c r="G32" s="68">
        <f t="shared" si="2"/>
        <v>0</v>
      </c>
      <c r="H32" s="34">
        <f t="shared" si="3"/>
        <v>0</v>
      </c>
    </row>
    <row r="33" spans="2:8" ht="36" hidden="1" customHeight="1">
      <c r="B33" s="58"/>
      <c r="C33" s="59"/>
      <c r="D33" s="52"/>
      <c r="E33" s="49"/>
      <c r="F33" s="165" t="str">
        <f t="shared" si="1"/>
        <v>g</v>
      </c>
      <c r="G33" s="68">
        <f t="shared" si="2"/>
        <v>0</v>
      </c>
      <c r="H33" s="34">
        <f t="shared" si="3"/>
        <v>0</v>
      </c>
    </row>
    <row r="34" spans="2:8" ht="36" hidden="1" customHeight="1">
      <c r="B34" s="58"/>
      <c r="C34" s="59"/>
      <c r="D34" s="52"/>
      <c r="E34" s="49"/>
      <c r="F34" s="165" t="str">
        <f t="shared" si="1"/>
        <v>g</v>
      </c>
      <c r="G34" s="68">
        <f t="shared" si="2"/>
        <v>0</v>
      </c>
      <c r="H34" s="34">
        <f t="shared" si="3"/>
        <v>0</v>
      </c>
    </row>
    <row r="35" spans="2:8" ht="36" hidden="1" customHeight="1">
      <c r="B35" s="58"/>
      <c r="C35" s="59"/>
      <c r="D35" s="52"/>
      <c r="E35" s="49"/>
      <c r="F35" s="165" t="str">
        <f t="shared" si="1"/>
        <v>g</v>
      </c>
      <c r="G35" s="68">
        <f t="shared" ref="G35:G44" si="6">ROUNDUP(D35/30,0)</f>
        <v>0</v>
      </c>
      <c r="H35" s="34">
        <f t="shared" ref="H35:H44" si="7">D35*$E$2</f>
        <v>0</v>
      </c>
    </row>
    <row r="36" spans="2:8" ht="36" hidden="1" customHeight="1">
      <c r="B36" s="58"/>
      <c r="C36" s="59"/>
      <c r="D36" s="52"/>
      <c r="E36" s="49"/>
      <c r="F36" s="165" t="str">
        <f t="shared" si="1"/>
        <v>g</v>
      </c>
      <c r="G36" s="68">
        <f t="shared" si="6"/>
        <v>0</v>
      </c>
      <c r="H36" s="34">
        <f t="shared" si="7"/>
        <v>0</v>
      </c>
    </row>
    <row r="37" spans="2:8" ht="36" hidden="1" customHeight="1">
      <c r="B37" s="58"/>
      <c r="C37" s="59"/>
      <c r="D37" s="52"/>
      <c r="E37" s="49"/>
      <c r="F37" s="165" t="str">
        <f t="shared" si="1"/>
        <v>g</v>
      </c>
      <c r="G37" s="68">
        <f t="shared" si="6"/>
        <v>0</v>
      </c>
      <c r="H37" s="34">
        <f t="shared" si="7"/>
        <v>0</v>
      </c>
    </row>
    <row r="38" spans="2:8" ht="36" hidden="1" customHeight="1">
      <c r="B38" s="58"/>
      <c r="C38" s="59"/>
      <c r="D38" s="52"/>
      <c r="E38" s="49"/>
      <c r="F38" s="165" t="str">
        <f t="shared" si="1"/>
        <v>g</v>
      </c>
      <c r="G38" s="68">
        <f t="shared" si="6"/>
        <v>0</v>
      </c>
      <c r="H38" s="34">
        <f t="shared" si="7"/>
        <v>0</v>
      </c>
    </row>
    <row r="39" spans="2:8" ht="36" hidden="1" customHeight="1">
      <c r="B39" s="58"/>
      <c r="C39" s="59"/>
      <c r="D39" s="52"/>
      <c r="E39" s="49"/>
      <c r="F39" s="165" t="str">
        <f t="shared" si="1"/>
        <v>g</v>
      </c>
      <c r="G39" s="68">
        <f t="shared" si="6"/>
        <v>0</v>
      </c>
      <c r="H39" s="34">
        <f t="shared" si="7"/>
        <v>0</v>
      </c>
    </row>
    <row r="40" spans="2:8" ht="36" hidden="1" customHeight="1">
      <c r="B40" s="58"/>
      <c r="C40" s="59"/>
      <c r="D40" s="52"/>
      <c r="E40" s="49"/>
      <c r="F40" s="165" t="str">
        <f t="shared" si="1"/>
        <v>g</v>
      </c>
      <c r="G40" s="68">
        <f t="shared" si="6"/>
        <v>0</v>
      </c>
      <c r="H40" s="34">
        <f t="shared" si="7"/>
        <v>0</v>
      </c>
    </row>
    <row r="41" spans="2:8" ht="36" hidden="1" customHeight="1">
      <c r="B41" s="58"/>
      <c r="C41" s="59"/>
      <c r="D41" s="52"/>
      <c r="E41" s="49"/>
      <c r="F41" s="165" t="str">
        <f t="shared" si="1"/>
        <v>g</v>
      </c>
      <c r="G41" s="68">
        <f t="shared" si="6"/>
        <v>0</v>
      </c>
      <c r="H41" s="34">
        <f t="shared" si="7"/>
        <v>0</v>
      </c>
    </row>
    <row r="42" spans="2:8" ht="36" hidden="1" customHeight="1">
      <c r="B42" s="58"/>
      <c r="C42" s="59"/>
      <c r="D42" s="52"/>
      <c r="E42" s="49"/>
      <c r="F42" s="165" t="str">
        <f t="shared" si="1"/>
        <v>g</v>
      </c>
      <c r="G42" s="68">
        <f t="shared" si="6"/>
        <v>0</v>
      </c>
      <c r="H42" s="34">
        <f t="shared" si="7"/>
        <v>0</v>
      </c>
    </row>
    <row r="43" spans="2:8" ht="36" hidden="1" customHeight="1">
      <c r="B43" s="58"/>
      <c r="C43" s="59"/>
      <c r="D43" s="52"/>
      <c r="E43" s="49"/>
      <c r="F43" s="165" t="str">
        <f t="shared" si="1"/>
        <v>g</v>
      </c>
      <c r="G43" s="68">
        <f t="shared" si="6"/>
        <v>0</v>
      </c>
      <c r="H43" s="34">
        <f t="shared" si="7"/>
        <v>0</v>
      </c>
    </row>
    <row r="44" spans="2:8" ht="36" hidden="1" customHeight="1">
      <c r="B44" s="58"/>
      <c r="C44" s="59"/>
      <c r="D44" s="52"/>
      <c r="E44" s="49"/>
      <c r="F44" s="165" t="str">
        <f t="shared" si="1"/>
        <v>g</v>
      </c>
      <c r="G44" s="68">
        <f t="shared" si="6"/>
        <v>0</v>
      </c>
      <c r="H44" s="34">
        <f t="shared" si="7"/>
        <v>0</v>
      </c>
    </row>
    <row r="45" spans="2:8" ht="36" hidden="1" customHeight="1">
      <c r="B45" s="58"/>
      <c r="C45" s="59"/>
      <c r="D45" s="52"/>
      <c r="E45" s="49"/>
      <c r="F45" s="165" t="str">
        <f t="shared" si="1"/>
        <v>g</v>
      </c>
      <c r="G45" s="68">
        <f t="shared" si="2"/>
        <v>0</v>
      </c>
      <c r="H45" s="34">
        <f t="shared" si="3"/>
        <v>0</v>
      </c>
    </row>
    <row r="46" spans="2:8" ht="36" hidden="1" customHeight="1">
      <c r="B46" s="58"/>
      <c r="C46" s="59"/>
      <c r="D46" s="52"/>
      <c r="E46" s="49"/>
      <c r="F46" s="165" t="str">
        <f t="shared" si="1"/>
        <v>g</v>
      </c>
      <c r="G46" s="68">
        <f t="shared" si="2"/>
        <v>0</v>
      </c>
      <c r="H46" s="34">
        <f t="shared" si="3"/>
        <v>0</v>
      </c>
    </row>
    <row r="47" spans="2:8" ht="36" hidden="1" customHeight="1">
      <c r="B47" s="58"/>
      <c r="C47" s="59"/>
      <c r="D47" s="52"/>
      <c r="E47" s="49"/>
      <c r="F47" s="165" t="str">
        <f t="shared" si="1"/>
        <v>g</v>
      </c>
      <c r="G47" s="68">
        <f t="shared" si="2"/>
        <v>0</v>
      </c>
      <c r="H47" s="34">
        <f t="shared" si="3"/>
        <v>0</v>
      </c>
    </row>
    <row r="48" spans="2:8" ht="36" hidden="1" customHeight="1">
      <c r="B48" s="58"/>
      <c r="C48" s="59"/>
      <c r="D48" s="52"/>
      <c r="E48" s="49"/>
      <c r="F48" s="165" t="str">
        <f t="shared" si="1"/>
        <v>g</v>
      </c>
      <c r="G48" s="68">
        <f t="shared" si="2"/>
        <v>0</v>
      </c>
      <c r="H48" s="34">
        <f t="shared" si="3"/>
        <v>0</v>
      </c>
    </row>
    <row r="49" spans="2:17" ht="36" hidden="1" customHeight="1">
      <c r="B49" s="58"/>
      <c r="C49" s="59"/>
      <c r="D49" s="52"/>
      <c r="E49" s="49"/>
      <c r="F49" s="165" t="str">
        <f t="shared" si="1"/>
        <v>g</v>
      </c>
      <c r="G49" s="68">
        <f t="shared" si="2"/>
        <v>0</v>
      </c>
      <c r="H49" s="34">
        <f t="shared" si="3"/>
        <v>0</v>
      </c>
    </row>
    <row r="50" spans="2:17" ht="36" hidden="1" customHeight="1">
      <c r="B50" s="58"/>
      <c r="C50" s="59"/>
      <c r="D50" s="52"/>
      <c r="E50" s="49"/>
      <c r="F50" s="165" t="str">
        <f t="shared" si="1"/>
        <v>g</v>
      </c>
      <c r="G50" s="68">
        <f t="shared" si="2"/>
        <v>0</v>
      </c>
      <c r="H50" s="34">
        <f t="shared" si="3"/>
        <v>0</v>
      </c>
    </row>
    <row r="51" spans="2:17" ht="36" hidden="1" customHeight="1">
      <c r="B51" s="58"/>
      <c r="C51" s="59"/>
      <c r="D51" s="52"/>
      <c r="E51" s="49"/>
      <c r="F51" s="165" t="str">
        <f t="shared" si="1"/>
        <v>g</v>
      </c>
      <c r="G51" s="68">
        <f t="shared" ref="G51" si="8">ROUNDUP(D51/30,0)</f>
        <v>0</v>
      </c>
      <c r="H51" s="34">
        <f t="shared" ref="H51" si="9">D51*$E$2</f>
        <v>0</v>
      </c>
    </row>
    <row r="52" spans="2:17" ht="36" hidden="1" customHeight="1">
      <c r="B52" s="58"/>
      <c r="C52" s="59"/>
      <c r="D52" s="52"/>
      <c r="E52" s="49"/>
      <c r="F52" s="165" t="str">
        <f t="shared" si="1"/>
        <v>g</v>
      </c>
      <c r="G52" s="68">
        <f t="shared" si="2"/>
        <v>0</v>
      </c>
      <c r="H52" s="34">
        <f t="shared" si="3"/>
        <v>0</v>
      </c>
    </row>
    <row r="53" spans="2:17" ht="36" hidden="1" customHeight="1">
      <c r="B53" s="58"/>
      <c r="C53" s="59"/>
      <c r="D53" s="52"/>
      <c r="E53" s="49"/>
      <c r="F53" s="165" t="str">
        <f t="shared" si="1"/>
        <v>g</v>
      </c>
      <c r="G53" s="68">
        <f t="shared" si="2"/>
        <v>0</v>
      </c>
      <c r="H53" s="34">
        <f t="shared" si="3"/>
        <v>0</v>
      </c>
    </row>
    <row r="54" spans="2:17" ht="36" hidden="1" customHeight="1">
      <c r="B54" s="58"/>
      <c r="C54" s="59"/>
      <c r="D54" s="52"/>
      <c r="E54" s="49"/>
      <c r="F54" s="165" t="str">
        <f t="shared" si="1"/>
        <v>g</v>
      </c>
      <c r="G54" s="68">
        <f t="shared" si="2"/>
        <v>0</v>
      </c>
      <c r="H54" s="34">
        <f t="shared" si="3"/>
        <v>0</v>
      </c>
    </row>
    <row r="55" spans="2:17" ht="36" hidden="1" customHeight="1">
      <c r="B55" s="58"/>
      <c r="C55" s="59"/>
      <c r="D55" s="52"/>
      <c r="E55" s="49"/>
      <c r="F55" s="165" t="str">
        <f t="shared" si="1"/>
        <v>g</v>
      </c>
      <c r="G55" s="68">
        <f t="shared" si="2"/>
        <v>0</v>
      </c>
      <c r="H55" s="34">
        <f t="shared" si="3"/>
        <v>0</v>
      </c>
    </row>
    <row r="56" spans="2:17" ht="36" hidden="1" customHeight="1">
      <c r="B56" s="58"/>
      <c r="C56" s="59"/>
      <c r="D56" s="52"/>
      <c r="E56" s="49"/>
      <c r="F56" s="165" t="str">
        <f t="shared" si="1"/>
        <v>g</v>
      </c>
      <c r="G56" s="68">
        <f t="shared" si="2"/>
        <v>0</v>
      </c>
      <c r="H56" s="34">
        <f t="shared" si="3"/>
        <v>0</v>
      </c>
    </row>
    <row r="57" spans="2:17" ht="36" hidden="1" customHeight="1">
      <c r="B57" s="58"/>
      <c r="C57" s="59"/>
      <c r="D57" s="52"/>
      <c r="E57" s="49"/>
      <c r="F57" s="165" t="str">
        <f t="shared" si="1"/>
        <v>g</v>
      </c>
      <c r="G57" s="68">
        <f t="shared" si="2"/>
        <v>0</v>
      </c>
      <c r="H57" s="34">
        <f t="shared" si="3"/>
        <v>0</v>
      </c>
    </row>
    <row r="58" spans="2:17" ht="36" hidden="1" customHeight="1">
      <c r="B58" s="58"/>
      <c r="C58" s="59"/>
      <c r="D58" s="52"/>
      <c r="E58" s="49"/>
      <c r="F58" s="165" t="str">
        <f t="shared" si="1"/>
        <v>g</v>
      </c>
      <c r="G58" s="68">
        <f t="shared" si="2"/>
        <v>0</v>
      </c>
      <c r="H58" s="34">
        <f t="shared" si="3"/>
        <v>0</v>
      </c>
    </row>
    <row r="59" spans="2:17" ht="36" customHeight="1" thickBot="1">
      <c r="B59" s="60"/>
      <c r="C59" s="61"/>
      <c r="D59" s="62"/>
      <c r="E59" s="85"/>
      <c r="F59" s="166" t="str">
        <f t="shared" si="1"/>
        <v>g</v>
      </c>
      <c r="G59" s="70">
        <f t="shared" si="2"/>
        <v>0</v>
      </c>
      <c r="H59" s="35">
        <f t="shared" si="3"/>
        <v>0</v>
      </c>
    </row>
    <row r="60" spans="2:17" s="4" customFormat="1" ht="32.1" customHeight="1">
      <c r="B60" s="2"/>
      <c r="C60" s="2"/>
      <c r="D60" s="2">
        <f>D8</f>
        <v>0</v>
      </c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6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82" t="s">
        <v>17</v>
      </c>
      <c r="C1" s="181"/>
      <c r="D1" s="181"/>
      <c r="E1" s="181"/>
      <c r="F1" s="181"/>
      <c r="G1" s="178"/>
      <c r="H1" s="178"/>
    </row>
    <row r="2" spans="2:17" ht="50.1" customHeight="1">
      <c r="B2" s="183"/>
      <c r="C2" s="184"/>
      <c r="D2" s="184"/>
      <c r="E2" s="45"/>
      <c r="F2" s="161" t="s">
        <v>2</v>
      </c>
      <c r="G2" s="36"/>
      <c r="H2" s="29"/>
      <c r="I2" s="1">
        <v>0</v>
      </c>
    </row>
    <row r="3" spans="2:17" s="4" customFormat="1" ht="36" customHeight="1" thickBot="1">
      <c r="B3" s="7"/>
      <c r="C3" s="8"/>
      <c r="D3" s="134" t="s">
        <v>4</v>
      </c>
      <c r="E3" s="185" t="s">
        <v>0</v>
      </c>
      <c r="F3" s="192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62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63" t="str">
        <f t="shared" ref="F5:F8" si="0">$F$2</f>
        <v>g</v>
      </c>
      <c r="G5" s="87"/>
      <c r="H5" s="32"/>
      <c r="I5" s="1">
        <f>D5*$I$2</f>
        <v>0</v>
      </c>
    </row>
    <row r="6" spans="2:17" ht="36" customHeight="1" thickBot="1">
      <c r="B6" s="168">
        <f>D6</f>
        <v>1</v>
      </c>
      <c r="C6" s="169" t="s">
        <v>38</v>
      </c>
      <c r="D6" s="52">
        <v>1</v>
      </c>
      <c r="E6" s="170">
        <v>50</v>
      </c>
      <c r="F6" s="159" t="str">
        <f t="shared" si="0"/>
        <v>g</v>
      </c>
      <c r="G6" s="171"/>
      <c r="H6" s="33">
        <f>G6*$E$2</f>
        <v>0</v>
      </c>
    </row>
    <row r="7" spans="2:17" ht="36" customHeight="1" thickTop="1" thickBot="1">
      <c r="B7" s="71">
        <f>D7</f>
        <v>1</v>
      </c>
      <c r="C7" s="72" t="s">
        <v>21</v>
      </c>
      <c r="D7" s="54">
        <v>1</v>
      </c>
      <c r="E7" s="84"/>
      <c r="F7" s="164" t="str">
        <f t="shared" si="0"/>
        <v>g</v>
      </c>
      <c r="G7" s="88"/>
      <c r="H7" s="33">
        <f>G7*$I$2</f>
        <v>0</v>
      </c>
    </row>
    <row r="8" spans="2:17" ht="36" customHeight="1" thickTop="1">
      <c r="B8" s="189" t="s">
        <v>22</v>
      </c>
      <c r="C8" s="190"/>
      <c r="D8" s="48">
        <f>D5+G6+G7+SUM(D10:D59)</f>
        <v>0</v>
      </c>
      <c r="E8" s="49"/>
      <c r="F8" s="162" t="str">
        <f t="shared" si="0"/>
        <v>g</v>
      </c>
      <c r="G8" s="89"/>
      <c r="H8" s="34"/>
    </row>
    <row r="9" spans="2:17" ht="36" customHeight="1">
      <c r="B9" s="58"/>
      <c r="C9" s="59"/>
      <c r="D9" s="52"/>
      <c r="E9" s="49"/>
      <c r="F9" s="165"/>
      <c r="G9" s="68"/>
      <c r="H9" s="34"/>
    </row>
    <row r="10" spans="2:17" ht="36" customHeight="1">
      <c r="B10" s="58"/>
      <c r="C10" s="59"/>
      <c r="D10" s="52"/>
      <c r="E10" s="49"/>
      <c r="F10" s="165" t="str">
        <f t="shared" ref="F10:F59" si="1">$F$2</f>
        <v>g</v>
      </c>
      <c r="G10" s="68">
        <f t="shared" ref="G10:G59" si="2">ROUNDUP(D10/30,0)</f>
        <v>0</v>
      </c>
      <c r="H10" s="34">
        <f t="shared" ref="H10:H59" si="3">D10*$E$2</f>
        <v>0</v>
      </c>
    </row>
    <row r="11" spans="2:17" ht="36" customHeight="1">
      <c r="B11" s="58"/>
      <c r="C11" s="59"/>
      <c r="D11" s="52"/>
      <c r="E11" s="49"/>
      <c r="F11" s="165" t="str">
        <f t="shared" si="1"/>
        <v>g</v>
      </c>
      <c r="G11" s="68">
        <f t="shared" si="2"/>
        <v>0</v>
      </c>
      <c r="H11" s="34">
        <f t="shared" si="3"/>
        <v>0</v>
      </c>
    </row>
    <row r="12" spans="2:17" ht="36" customHeight="1">
      <c r="B12" s="58"/>
      <c r="C12" s="59"/>
      <c r="D12" s="52"/>
      <c r="E12" s="49"/>
      <c r="F12" s="165" t="str">
        <f t="shared" si="1"/>
        <v>g</v>
      </c>
      <c r="G12" s="68">
        <f t="shared" si="2"/>
        <v>0</v>
      </c>
      <c r="H12" s="34">
        <f t="shared" si="3"/>
        <v>0</v>
      </c>
    </row>
    <row r="13" spans="2:17" ht="36" customHeight="1">
      <c r="B13" s="58"/>
      <c r="C13" s="59"/>
      <c r="D13" s="52"/>
      <c r="E13" s="49"/>
      <c r="F13" s="165" t="str">
        <f t="shared" si="1"/>
        <v>g</v>
      </c>
      <c r="G13" s="68">
        <f t="shared" si="2"/>
        <v>0</v>
      </c>
      <c r="H13" s="34">
        <f t="shared" si="3"/>
        <v>0</v>
      </c>
    </row>
    <row r="14" spans="2:17" ht="36" customHeight="1">
      <c r="B14" s="58"/>
      <c r="C14" s="59"/>
      <c r="D14" s="52"/>
      <c r="E14" s="49"/>
      <c r="F14" s="165" t="str">
        <f t="shared" si="1"/>
        <v>g</v>
      </c>
      <c r="G14" s="68">
        <f t="shared" si="2"/>
        <v>0</v>
      </c>
      <c r="H14" s="34">
        <f t="shared" si="3"/>
        <v>0</v>
      </c>
    </row>
    <row r="15" spans="2:17" ht="36" customHeight="1">
      <c r="B15" s="58"/>
      <c r="C15" s="59"/>
      <c r="D15" s="52"/>
      <c r="E15" s="49"/>
      <c r="F15" s="165" t="str">
        <f t="shared" si="1"/>
        <v>g</v>
      </c>
      <c r="G15" s="68">
        <f t="shared" si="2"/>
        <v>0</v>
      </c>
      <c r="H15" s="34">
        <f t="shared" si="3"/>
        <v>0</v>
      </c>
    </row>
    <row r="16" spans="2:17" ht="36" customHeight="1">
      <c r="B16" s="58"/>
      <c r="C16" s="59"/>
      <c r="D16" s="52"/>
      <c r="E16" s="49"/>
      <c r="F16" s="165" t="str">
        <f t="shared" si="1"/>
        <v>g</v>
      </c>
      <c r="G16" s="68">
        <f t="shared" si="2"/>
        <v>0</v>
      </c>
      <c r="H16" s="34">
        <f t="shared" si="3"/>
        <v>0</v>
      </c>
    </row>
    <row r="17" spans="2:8" ht="36" customHeight="1">
      <c r="B17" s="58"/>
      <c r="C17" s="59"/>
      <c r="D17" s="52"/>
      <c r="E17" s="49"/>
      <c r="F17" s="165" t="str">
        <f t="shared" si="1"/>
        <v>g</v>
      </c>
      <c r="G17" s="68">
        <f t="shared" si="2"/>
        <v>0</v>
      </c>
      <c r="H17" s="34">
        <f t="shared" si="3"/>
        <v>0</v>
      </c>
    </row>
    <row r="18" spans="2:8" ht="36" customHeight="1">
      <c r="B18" s="58"/>
      <c r="C18" s="59"/>
      <c r="D18" s="52"/>
      <c r="E18" s="49"/>
      <c r="F18" s="165" t="str">
        <f t="shared" si="1"/>
        <v>g</v>
      </c>
      <c r="G18" s="68">
        <f t="shared" si="2"/>
        <v>0</v>
      </c>
      <c r="H18" s="34">
        <f t="shared" si="3"/>
        <v>0</v>
      </c>
    </row>
    <row r="19" spans="2:8" ht="36" customHeight="1">
      <c r="B19" s="58"/>
      <c r="C19" s="59"/>
      <c r="D19" s="52"/>
      <c r="E19" s="49"/>
      <c r="F19" s="165" t="str">
        <f t="shared" si="1"/>
        <v>g</v>
      </c>
      <c r="G19" s="68">
        <f t="shared" si="2"/>
        <v>0</v>
      </c>
      <c r="H19" s="34">
        <f t="shared" si="3"/>
        <v>0</v>
      </c>
    </row>
    <row r="20" spans="2:8" ht="36" customHeight="1">
      <c r="B20" s="58"/>
      <c r="C20" s="59"/>
      <c r="D20" s="52"/>
      <c r="E20" s="49"/>
      <c r="F20" s="165" t="str">
        <f t="shared" si="1"/>
        <v>g</v>
      </c>
      <c r="G20" s="68">
        <f t="shared" si="2"/>
        <v>0</v>
      </c>
      <c r="H20" s="34">
        <f t="shared" si="3"/>
        <v>0</v>
      </c>
    </row>
    <row r="21" spans="2:8" ht="36" customHeight="1">
      <c r="B21" s="58"/>
      <c r="C21" s="59"/>
      <c r="D21" s="52"/>
      <c r="E21" s="49"/>
      <c r="F21" s="165" t="str">
        <f t="shared" si="1"/>
        <v>g</v>
      </c>
      <c r="G21" s="68">
        <f t="shared" si="2"/>
        <v>0</v>
      </c>
      <c r="H21" s="34">
        <f t="shared" si="3"/>
        <v>0</v>
      </c>
    </row>
    <row r="22" spans="2:8" ht="36" customHeight="1">
      <c r="B22" s="58"/>
      <c r="C22" s="59"/>
      <c r="D22" s="52"/>
      <c r="E22" s="49"/>
      <c r="F22" s="165" t="str">
        <f t="shared" si="1"/>
        <v>g</v>
      </c>
      <c r="G22" s="68">
        <f t="shared" si="2"/>
        <v>0</v>
      </c>
      <c r="H22" s="34">
        <f t="shared" si="3"/>
        <v>0</v>
      </c>
    </row>
    <row r="23" spans="2:8" ht="36" customHeight="1">
      <c r="B23" s="58"/>
      <c r="C23" s="59"/>
      <c r="D23" s="52"/>
      <c r="E23" s="49"/>
      <c r="F23" s="165" t="str">
        <f t="shared" si="1"/>
        <v>g</v>
      </c>
      <c r="G23" s="68">
        <f t="shared" si="2"/>
        <v>0</v>
      </c>
      <c r="H23" s="34">
        <f t="shared" si="3"/>
        <v>0</v>
      </c>
    </row>
    <row r="24" spans="2:8" ht="36" customHeight="1">
      <c r="B24" s="58"/>
      <c r="C24" s="59"/>
      <c r="D24" s="52"/>
      <c r="E24" s="49"/>
      <c r="F24" s="165" t="str">
        <f t="shared" si="1"/>
        <v>g</v>
      </c>
      <c r="G24" s="68">
        <f t="shared" si="2"/>
        <v>0</v>
      </c>
      <c r="H24" s="34">
        <f t="shared" si="3"/>
        <v>0</v>
      </c>
    </row>
    <row r="25" spans="2:8" ht="36" customHeight="1">
      <c r="B25" s="58"/>
      <c r="C25" s="59"/>
      <c r="D25" s="52"/>
      <c r="E25" s="49"/>
      <c r="F25" s="165" t="str">
        <f t="shared" si="1"/>
        <v>g</v>
      </c>
      <c r="G25" s="68">
        <f t="shared" si="2"/>
        <v>0</v>
      </c>
      <c r="H25" s="34">
        <f t="shared" si="3"/>
        <v>0</v>
      </c>
    </row>
    <row r="26" spans="2:8" ht="36" customHeight="1">
      <c r="B26" s="58"/>
      <c r="C26" s="59"/>
      <c r="D26" s="52"/>
      <c r="E26" s="49"/>
      <c r="F26" s="165" t="str">
        <f t="shared" si="1"/>
        <v>g</v>
      </c>
      <c r="G26" s="68">
        <f t="shared" si="2"/>
        <v>0</v>
      </c>
      <c r="H26" s="34">
        <f t="shared" si="3"/>
        <v>0</v>
      </c>
    </row>
    <row r="27" spans="2:8" ht="36" customHeight="1">
      <c r="B27" s="58"/>
      <c r="C27" s="59"/>
      <c r="D27" s="52"/>
      <c r="E27" s="49"/>
      <c r="F27" s="165" t="str">
        <f t="shared" si="1"/>
        <v>g</v>
      </c>
      <c r="G27" s="68">
        <f t="shared" si="2"/>
        <v>0</v>
      </c>
      <c r="H27" s="34">
        <f t="shared" si="3"/>
        <v>0</v>
      </c>
    </row>
    <row r="28" spans="2:8" ht="36" hidden="1" customHeight="1">
      <c r="B28" s="58"/>
      <c r="C28" s="59"/>
      <c r="D28" s="52"/>
      <c r="E28" s="49"/>
      <c r="F28" s="165" t="str">
        <f t="shared" si="1"/>
        <v>g</v>
      </c>
      <c r="G28" s="68">
        <f t="shared" ref="G28:G35" si="4">ROUNDUP(D28/30,0)</f>
        <v>0</v>
      </c>
      <c r="H28" s="34">
        <f t="shared" ref="H28:H35" si="5">D28*$E$2</f>
        <v>0</v>
      </c>
    </row>
    <row r="29" spans="2:8" ht="36" hidden="1" customHeight="1">
      <c r="B29" s="58"/>
      <c r="C29" s="59"/>
      <c r="D29" s="52"/>
      <c r="E29" s="49"/>
      <c r="F29" s="165" t="str">
        <f t="shared" si="1"/>
        <v>g</v>
      </c>
      <c r="G29" s="68">
        <f t="shared" si="4"/>
        <v>0</v>
      </c>
      <c r="H29" s="34">
        <f t="shared" si="5"/>
        <v>0</v>
      </c>
    </row>
    <row r="30" spans="2:8" ht="36" hidden="1" customHeight="1">
      <c r="B30" s="58"/>
      <c r="C30" s="59"/>
      <c r="D30" s="52"/>
      <c r="E30" s="49"/>
      <c r="F30" s="165" t="str">
        <f t="shared" si="1"/>
        <v>g</v>
      </c>
      <c r="G30" s="68">
        <f t="shared" si="4"/>
        <v>0</v>
      </c>
      <c r="H30" s="34">
        <f t="shared" si="5"/>
        <v>0</v>
      </c>
    </row>
    <row r="31" spans="2:8" ht="36" hidden="1" customHeight="1">
      <c r="B31" s="58"/>
      <c r="C31" s="59"/>
      <c r="D31" s="52"/>
      <c r="E31" s="49"/>
      <c r="F31" s="165" t="str">
        <f t="shared" si="1"/>
        <v>g</v>
      </c>
      <c r="G31" s="68">
        <f t="shared" si="4"/>
        <v>0</v>
      </c>
      <c r="H31" s="34">
        <f t="shared" si="5"/>
        <v>0</v>
      </c>
    </row>
    <row r="32" spans="2:8" ht="36" hidden="1" customHeight="1">
      <c r="B32" s="58"/>
      <c r="C32" s="59"/>
      <c r="D32" s="52"/>
      <c r="E32" s="49"/>
      <c r="F32" s="165" t="str">
        <f t="shared" si="1"/>
        <v>g</v>
      </c>
      <c r="G32" s="68">
        <f t="shared" si="4"/>
        <v>0</v>
      </c>
      <c r="H32" s="34">
        <f t="shared" si="5"/>
        <v>0</v>
      </c>
    </row>
    <row r="33" spans="2:8" ht="36" hidden="1" customHeight="1">
      <c r="B33" s="58"/>
      <c r="C33" s="59"/>
      <c r="D33" s="52"/>
      <c r="E33" s="49"/>
      <c r="F33" s="165" t="str">
        <f t="shared" si="1"/>
        <v>g</v>
      </c>
      <c r="G33" s="68">
        <f t="shared" si="4"/>
        <v>0</v>
      </c>
      <c r="H33" s="34">
        <f t="shared" si="5"/>
        <v>0</v>
      </c>
    </row>
    <row r="34" spans="2:8" ht="36" hidden="1" customHeight="1">
      <c r="B34" s="58"/>
      <c r="C34" s="59"/>
      <c r="D34" s="52"/>
      <c r="E34" s="49"/>
      <c r="F34" s="165" t="str">
        <f t="shared" si="1"/>
        <v>g</v>
      </c>
      <c r="G34" s="68">
        <f t="shared" si="4"/>
        <v>0</v>
      </c>
      <c r="H34" s="34">
        <f t="shared" si="5"/>
        <v>0</v>
      </c>
    </row>
    <row r="35" spans="2:8" ht="36" hidden="1" customHeight="1">
      <c r="B35" s="58"/>
      <c r="C35" s="59"/>
      <c r="D35" s="52"/>
      <c r="E35" s="49"/>
      <c r="F35" s="165" t="str">
        <f t="shared" si="1"/>
        <v>g</v>
      </c>
      <c r="G35" s="68">
        <f t="shared" si="4"/>
        <v>0</v>
      </c>
      <c r="H35" s="34">
        <f t="shared" si="5"/>
        <v>0</v>
      </c>
    </row>
    <row r="36" spans="2:8" ht="36" hidden="1" customHeight="1">
      <c r="B36" s="58"/>
      <c r="C36" s="59"/>
      <c r="D36" s="52"/>
      <c r="E36" s="49"/>
      <c r="F36" s="165" t="str">
        <f t="shared" si="1"/>
        <v>g</v>
      </c>
      <c r="G36" s="68">
        <f t="shared" si="2"/>
        <v>0</v>
      </c>
      <c r="H36" s="34">
        <f t="shared" si="3"/>
        <v>0</v>
      </c>
    </row>
    <row r="37" spans="2:8" ht="36" hidden="1" customHeight="1">
      <c r="B37" s="58"/>
      <c r="C37" s="59"/>
      <c r="D37" s="52"/>
      <c r="E37" s="49"/>
      <c r="F37" s="165" t="str">
        <f t="shared" si="1"/>
        <v>g</v>
      </c>
      <c r="G37" s="68">
        <f t="shared" si="2"/>
        <v>0</v>
      </c>
      <c r="H37" s="34">
        <f t="shared" si="3"/>
        <v>0</v>
      </c>
    </row>
    <row r="38" spans="2:8" ht="36" hidden="1" customHeight="1">
      <c r="B38" s="58"/>
      <c r="C38" s="59"/>
      <c r="D38" s="52"/>
      <c r="E38" s="49"/>
      <c r="F38" s="165" t="str">
        <f t="shared" si="1"/>
        <v>g</v>
      </c>
      <c r="G38" s="68">
        <f t="shared" si="2"/>
        <v>0</v>
      </c>
      <c r="H38" s="34">
        <f t="shared" si="3"/>
        <v>0</v>
      </c>
    </row>
    <row r="39" spans="2:8" ht="36" hidden="1" customHeight="1">
      <c r="B39" s="58"/>
      <c r="C39" s="59"/>
      <c r="D39" s="52"/>
      <c r="E39" s="49"/>
      <c r="F39" s="165" t="str">
        <f t="shared" si="1"/>
        <v>g</v>
      </c>
      <c r="G39" s="68">
        <f t="shared" si="2"/>
        <v>0</v>
      </c>
      <c r="H39" s="34">
        <f t="shared" si="3"/>
        <v>0</v>
      </c>
    </row>
    <row r="40" spans="2:8" ht="36" hidden="1" customHeight="1">
      <c r="B40" s="58"/>
      <c r="C40" s="59"/>
      <c r="D40" s="52"/>
      <c r="E40" s="49"/>
      <c r="F40" s="165" t="str">
        <f t="shared" si="1"/>
        <v>g</v>
      </c>
      <c r="G40" s="68">
        <f t="shared" si="2"/>
        <v>0</v>
      </c>
      <c r="H40" s="34">
        <f t="shared" si="3"/>
        <v>0</v>
      </c>
    </row>
    <row r="41" spans="2:8" ht="36" hidden="1" customHeight="1">
      <c r="B41" s="58"/>
      <c r="C41" s="59"/>
      <c r="D41" s="52"/>
      <c r="E41" s="49"/>
      <c r="F41" s="165" t="str">
        <f t="shared" si="1"/>
        <v>g</v>
      </c>
      <c r="G41" s="68">
        <f t="shared" si="2"/>
        <v>0</v>
      </c>
      <c r="H41" s="34">
        <f t="shared" si="3"/>
        <v>0</v>
      </c>
    </row>
    <row r="42" spans="2:8" ht="36" hidden="1" customHeight="1">
      <c r="B42" s="58"/>
      <c r="C42" s="59"/>
      <c r="D42" s="52"/>
      <c r="E42" s="49"/>
      <c r="F42" s="165" t="str">
        <f t="shared" si="1"/>
        <v>g</v>
      </c>
      <c r="G42" s="68">
        <f t="shared" si="2"/>
        <v>0</v>
      </c>
      <c r="H42" s="34">
        <f t="shared" si="3"/>
        <v>0</v>
      </c>
    </row>
    <row r="43" spans="2:8" ht="36" hidden="1" customHeight="1">
      <c r="B43" s="58"/>
      <c r="C43" s="59"/>
      <c r="D43" s="52"/>
      <c r="E43" s="49"/>
      <c r="F43" s="165" t="str">
        <f t="shared" si="1"/>
        <v>g</v>
      </c>
      <c r="G43" s="68">
        <f t="shared" si="2"/>
        <v>0</v>
      </c>
      <c r="H43" s="34">
        <f t="shared" si="3"/>
        <v>0</v>
      </c>
    </row>
    <row r="44" spans="2:8" ht="36" hidden="1" customHeight="1">
      <c r="B44" s="58"/>
      <c r="C44" s="59"/>
      <c r="D44" s="52"/>
      <c r="E44" s="49"/>
      <c r="F44" s="165" t="str">
        <f t="shared" si="1"/>
        <v>g</v>
      </c>
      <c r="G44" s="68">
        <f t="shared" ref="G44:G51" si="6">ROUNDUP(D44/30,0)</f>
        <v>0</v>
      </c>
      <c r="H44" s="34">
        <f t="shared" ref="H44:H51" si="7">D44*$E$2</f>
        <v>0</v>
      </c>
    </row>
    <row r="45" spans="2:8" ht="36" hidden="1" customHeight="1">
      <c r="B45" s="58"/>
      <c r="C45" s="59"/>
      <c r="D45" s="52"/>
      <c r="E45" s="49"/>
      <c r="F45" s="165" t="str">
        <f t="shared" si="1"/>
        <v>g</v>
      </c>
      <c r="G45" s="68">
        <f t="shared" si="6"/>
        <v>0</v>
      </c>
      <c r="H45" s="34">
        <f t="shared" si="7"/>
        <v>0</v>
      </c>
    </row>
    <row r="46" spans="2:8" ht="36" hidden="1" customHeight="1">
      <c r="B46" s="58"/>
      <c r="C46" s="59"/>
      <c r="D46" s="52"/>
      <c r="E46" s="49"/>
      <c r="F46" s="165" t="str">
        <f t="shared" si="1"/>
        <v>g</v>
      </c>
      <c r="G46" s="68">
        <f t="shared" si="6"/>
        <v>0</v>
      </c>
      <c r="H46" s="34">
        <f t="shared" si="7"/>
        <v>0</v>
      </c>
    </row>
    <row r="47" spans="2:8" ht="36" hidden="1" customHeight="1">
      <c r="B47" s="58"/>
      <c r="C47" s="59"/>
      <c r="D47" s="52"/>
      <c r="E47" s="49"/>
      <c r="F47" s="165" t="str">
        <f t="shared" si="1"/>
        <v>g</v>
      </c>
      <c r="G47" s="68">
        <f t="shared" si="6"/>
        <v>0</v>
      </c>
      <c r="H47" s="34">
        <f t="shared" si="7"/>
        <v>0</v>
      </c>
    </row>
    <row r="48" spans="2:8" ht="36" hidden="1" customHeight="1">
      <c r="B48" s="58"/>
      <c r="C48" s="59"/>
      <c r="D48" s="52"/>
      <c r="E48" s="49"/>
      <c r="F48" s="165" t="str">
        <f t="shared" si="1"/>
        <v>g</v>
      </c>
      <c r="G48" s="68">
        <f t="shared" si="6"/>
        <v>0</v>
      </c>
      <c r="H48" s="34">
        <f t="shared" si="7"/>
        <v>0</v>
      </c>
    </row>
    <row r="49" spans="2:17" ht="36" hidden="1" customHeight="1">
      <c r="B49" s="58"/>
      <c r="C49" s="59"/>
      <c r="D49" s="52"/>
      <c r="E49" s="49"/>
      <c r="F49" s="165" t="str">
        <f t="shared" si="1"/>
        <v>g</v>
      </c>
      <c r="G49" s="68">
        <f t="shared" si="6"/>
        <v>0</v>
      </c>
      <c r="H49" s="34">
        <f t="shared" si="7"/>
        <v>0</v>
      </c>
    </row>
    <row r="50" spans="2:17" ht="36" hidden="1" customHeight="1">
      <c r="B50" s="58"/>
      <c r="C50" s="59"/>
      <c r="D50" s="52"/>
      <c r="E50" s="49"/>
      <c r="F50" s="165" t="str">
        <f t="shared" si="1"/>
        <v>g</v>
      </c>
      <c r="G50" s="68">
        <f t="shared" si="6"/>
        <v>0</v>
      </c>
      <c r="H50" s="34">
        <f t="shared" si="7"/>
        <v>0</v>
      </c>
    </row>
    <row r="51" spans="2:17" ht="36" hidden="1" customHeight="1">
      <c r="B51" s="58"/>
      <c r="C51" s="59"/>
      <c r="D51" s="52"/>
      <c r="E51" s="49"/>
      <c r="F51" s="165" t="str">
        <f t="shared" si="1"/>
        <v>g</v>
      </c>
      <c r="G51" s="68">
        <f t="shared" si="6"/>
        <v>0</v>
      </c>
      <c r="H51" s="34">
        <f t="shared" si="7"/>
        <v>0</v>
      </c>
    </row>
    <row r="52" spans="2:17" ht="36" hidden="1" customHeight="1">
      <c r="B52" s="58"/>
      <c r="C52" s="59"/>
      <c r="D52" s="52"/>
      <c r="E52" s="49"/>
      <c r="F52" s="165" t="str">
        <f t="shared" si="1"/>
        <v>g</v>
      </c>
      <c r="G52" s="68">
        <f t="shared" si="2"/>
        <v>0</v>
      </c>
      <c r="H52" s="34">
        <f t="shared" si="3"/>
        <v>0</v>
      </c>
    </row>
    <row r="53" spans="2:17" ht="36" hidden="1" customHeight="1">
      <c r="B53" s="58"/>
      <c r="C53" s="59"/>
      <c r="D53" s="52"/>
      <c r="E53" s="49"/>
      <c r="F53" s="165" t="str">
        <f t="shared" si="1"/>
        <v>g</v>
      </c>
      <c r="G53" s="68">
        <f t="shared" si="2"/>
        <v>0</v>
      </c>
      <c r="H53" s="34">
        <f t="shared" si="3"/>
        <v>0</v>
      </c>
    </row>
    <row r="54" spans="2:17" ht="36" hidden="1" customHeight="1">
      <c r="B54" s="58"/>
      <c r="C54" s="59"/>
      <c r="D54" s="52"/>
      <c r="E54" s="49"/>
      <c r="F54" s="165" t="str">
        <f t="shared" si="1"/>
        <v>g</v>
      </c>
      <c r="G54" s="68">
        <f t="shared" si="2"/>
        <v>0</v>
      </c>
      <c r="H54" s="34">
        <f t="shared" si="3"/>
        <v>0</v>
      </c>
    </row>
    <row r="55" spans="2:17" ht="36" hidden="1" customHeight="1">
      <c r="B55" s="58"/>
      <c r="C55" s="59"/>
      <c r="D55" s="52"/>
      <c r="E55" s="49"/>
      <c r="F55" s="165" t="str">
        <f t="shared" si="1"/>
        <v>g</v>
      </c>
      <c r="G55" s="68">
        <f t="shared" si="2"/>
        <v>0</v>
      </c>
      <c r="H55" s="34">
        <f t="shared" si="3"/>
        <v>0</v>
      </c>
    </row>
    <row r="56" spans="2:17" ht="36" hidden="1" customHeight="1">
      <c r="B56" s="58"/>
      <c r="C56" s="59"/>
      <c r="D56" s="52"/>
      <c r="E56" s="49"/>
      <c r="F56" s="165" t="str">
        <f t="shared" si="1"/>
        <v>g</v>
      </c>
      <c r="G56" s="68">
        <f t="shared" si="2"/>
        <v>0</v>
      </c>
      <c r="H56" s="34">
        <f t="shared" si="3"/>
        <v>0</v>
      </c>
    </row>
    <row r="57" spans="2:17" ht="36" hidden="1" customHeight="1">
      <c r="B57" s="58"/>
      <c r="C57" s="59"/>
      <c r="D57" s="52"/>
      <c r="E57" s="49"/>
      <c r="F57" s="165" t="str">
        <f t="shared" si="1"/>
        <v>g</v>
      </c>
      <c r="G57" s="68">
        <f t="shared" si="2"/>
        <v>0</v>
      </c>
      <c r="H57" s="34">
        <f t="shared" si="3"/>
        <v>0</v>
      </c>
    </row>
    <row r="58" spans="2:17" ht="36" hidden="1" customHeight="1">
      <c r="B58" s="58"/>
      <c r="C58" s="59"/>
      <c r="D58" s="52"/>
      <c r="E58" s="49"/>
      <c r="F58" s="165" t="str">
        <f t="shared" si="1"/>
        <v>g</v>
      </c>
      <c r="G58" s="68">
        <f t="shared" si="2"/>
        <v>0</v>
      </c>
      <c r="H58" s="34">
        <f t="shared" si="3"/>
        <v>0</v>
      </c>
    </row>
    <row r="59" spans="2:17" ht="36" customHeight="1" thickBot="1">
      <c r="B59" s="60"/>
      <c r="C59" s="61"/>
      <c r="D59" s="62"/>
      <c r="E59" s="85"/>
      <c r="F59" s="166" t="str">
        <f t="shared" si="1"/>
        <v>g</v>
      </c>
      <c r="G59" s="70">
        <f t="shared" si="2"/>
        <v>0</v>
      </c>
      <c r="H59" s="35">
        <f t="shared" si="3"/>
        <v>0</v>
      </c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2.88671875" style="3" bestFit="1" customWidth="1"/>
    <col min="5" max="5" width="8.88671875" style="22" hidden="1" customWidth="1"/>
    <col min="6" max="8" width="8.88671875" style="2" hidden="1" customWidth="1"/>
    <col min="9" max="9" width="8.88671875" style="1" customWidth="1"/>
    <col min="10" max="10" width="18" style="1" bestFit="1" customWidth="1"/>
    <col min="11" max="13" width="8.88671875" style="1" hidden="1" customWidth="1"/>
    <col min="14" max="14" width="7.6640625" style="1" customWidth="1"/>
    <col min="15" max="15" width="7.6640625" style="1" hidden="1" customWidth="1"/>
    <col min="16" max="17" width="7.6640625" style="1" customWidth="1"/>
    <col min="18" max="16384" width="13.109375" style="3"/>
  </cols>
  <sheetData>
    <row r="1" spans="2:17" ht="57.75" thickBot="1">
      <c r="B1" s="197" t="s">
        <v>10</v>
      </c>
      <c r="C1" s="178"/>
      <c r="D1" s="178"/>
      <c r="E1" s="178"/>
      <c r="F1" s="178"/>
      <c r="G1" s="178"/>
      <c r="H1" s="178"/>
      <c r="I1" s="178"/>
      <c r="J1" s="178"/>
      <c r="N1" s="196"/>
      <c r="O1" s="196"/>
    </row>
    <row r="2" spans="2:17" ht="18.75" hidden="1" customHeight="1" thickBot="1">
      <c r="B2" s="193"/>
      <c r="C2" s="193"/>
      <c r="D2" s="193"/>
      <c r="E2" s="15"/>
      <c r="I2" s="1" t="s">
        <v>25</v>
      </c>
      <c r="K2" s="1">
        <v>30</v>
      </c>
      <c r="L2" s="1" t="s">
        <v>26</v>
      </c>
    </row>
    <row r="3" spans="2:17" s="4" customFormat="1" ht="36" customHeight="1" thickBot="1">
      <c r="B3" s="12"/>
      <c r="C3" s="135" t="s">
        <v>0</v>
      </c>
      <c r="D3" s="140" t="s">
        <v>4</v>
      </c>
      <c r="E3" s="137" t="s">
        <v>6</v>
      </c>
      <c r="F3" s="138" t="s">
        <v>7</v>
      </c>
      <c r="G3" s="136" t="s">
        <v>8</v>
      </c>
      <c r="H3" s="136" t="s">
        <v>9</v>
      </c>
      <c r="I3" s="138" t="s">
        <v>27</v>
      </c>
      <c r="J3" s="139" t="s">
        <v>31</v>
      </c>
      <c r="K3" s="14" t="s">
        <v>28</v>
      </c>
      <c r="L3" s="14" t="s">
        <v>29</v>
      </c>
      <c r="M3" s="13" t="s">
        <v>30</v>
      </c>
      <c r="N3" s="1"/>
      <c r="O3" s="1"/>
      <c r="P3" s="1"/>
      <c r="Q3" s="1"/>
    </row>
    <row r="4" spans="2:17" ht="36" customHeight="1" thickTop="1">
      <c r="B4" s="194" t="s">
        <v>1</v>
      </c>
      <c r="C4" s="195"/>
      <c r="D4" s="90"/>
      <c r="E4" s="91">
        <v>0.84</v>
      </c>
      <c r="F4" s="92">
        <v>11.81</v>
      </c>
      <c r="G4" s="93">
        <v>20</v>
      </c>
      <c r="H4" s="94"/>
      <c r="I4" s="95"/>
      <c r="J4" s="96"/>
      <c r="K4" s="16"/>
      <c r="L4" s="16"/>
      <c r="M4" s="16"/>
    </row>
    <row r="5" spans="2:17" ht="36" customHeight="1">
      <c r="B5" s="50"/>
      <c r="C5" s="51" t="s">
        <v>32</v>
      </c>
      <c r="D5" s="97">
        <f>B5*2</f>
        <v>0</v>
      </c>
      <c r="E5" s="98">
        <f t="shared" ref="E5:E55" si="0">D5*$E$4</f>
        <v>0</v>
      </c>
      <c r="F5" s="99">
        <f t="shared" ref="F5:F55" si="1">D5*$F$4</f>
        <v>0</v>
      </c>
      <c r="G5" s="99">
        <f t="shared" ref="G5:G55" si="2">D5*$G$4</f>
        <v>0</v>
      </c>
      <c r="H5" s="100">
        <f t="shared" ref="H5:H55" si="3">SUM(E5:G5)</f>
        <v>0</v>
      </c>
      <c r="I5" s="101">
        <f>IF(B5=0,0,2)</f>
        <v>0</v>
      </c>
      <c r="J5" s="100">
        <f t="shared" ref="J5:J36" si="4">SUM(K5:M5)</f>
        <v>0</v>
      </c>
      <c r="K5" s="17">
        <f t="shared" ref="K5:K29" si="5">IF(E5=0,0,E5/$I5)</f>
        <v>0</v>
      </c>
      <c r="L5" s="17">
        <f t="shared" ref="L5:L29" si="6">IF(F5=0,0,F5/$I5)</f>
        <v>0</v>
      </c>
      <c r="M5" s="17">
        <f t="shared" ref="M5:M29" si="7">IF(G5=0,0,G5/$I5)</f>
        <v>0</v>
      </c>
    </row>
    <row r="6" spans="2:17" ht="36" customHeight="1" thickBot="1">
      <c r="B6" s="71"/>
      <c r="C6" s="72" t="s">
        <v>33</v>
      </c>
      <c r="D6" s="102">
        <f>B6*I6</f>
        <v>0</v>
      </c>
      <c r="E6" s="103">
        <f t="shared" si="0"/>
        <v>0</v>
      </c>
      <c r="F6" s="104">
        <f t="shared" si="1"/>
        <v>0</v>
      </c>
      <c r="G6" s="104">
        <f t="shared" si="2"/>
        <v>0</v>
      </c>
      <c r="H6" s="105">
        <f t="shared" si="3"/>
        <v>0</v>
      </c>
      <c r="I6" s="106">
        <f>IF(B6=0,0,5)</f>
        <v>0</v>
      </c>
      <c r="J6" s="107">
        <f t="shared" si="4"/>
        <v>0</v>
      </c>
      <c r="K6" s="19">
        <f t="shared" si="5"/>
        <v>0</v>
      </c>
      <c r="L6" s="19">
        <f t="shared" si="6"/>
        <v>0</v>
      </c>
      <c r="M6" s="19">
        <f t="shared" si="7"/>
        <v>0</v>
      </c>
    </row>
    <row r="7" spans="2:17" ht="36" customHeight="1" thickTop="1">
      <c r="B7" s="58"/>
      <c r="C7" s="108"/>
      <c r="D7" s="109"/>
      <c r="E7" s="110">
        <f t="shared" si="0"/>
        <v>0</v>
      </c>
      <c r="F7" s="111">
        <f t="shared" si="1"/>
        <v>0</v>
      </c>
      <c r="G7" s="111">
        <f t="shared" si="2"/>
        <v>0</v>
      </c>
      <c r="H7" s="112">
        <f t="shared" si="3"/>
        <v>0</v>
      </c>
      <c r="I7" s="113">
        <f t="shared" ref="I7:I55" si="8">ROUNDUP((D7/$K$2), 0)</f>
        <v>0</v>
      </c>
      <c r="J7" s="114">
        <f t="shared" si="4"/>
        <v>0</v>
      </c>
      <c r="K7" s="20">
        <f t="shared" si="5"/>
        <v>0</v>
      </c>
      <c r="L7" s="20">
        <f t="shared" si="6"/>
        <v>0</v>
      </c>
      <c r="M7" s="20">
        <f t="shared" si="7"/>
        <v>0</v>
      </c>
    </row>
    <row r="8" spans="2:17" ht="36" customHeight="1">
      <c r="B8" s="58"/>
      <c r="C8" s="108"/>
      <c r="D8" s="115"/>
      <c r="E8" s="110">
        <f t="shared" si="0"/>
        <v>0</v>
      </c>
      <c r="F8" s="111">
        <f t="shared" si="1"/>
        <v>0</v>
      </c>
      <c r="G8" s="111">
        <f t="shared" si="2"/>
        <v>0</v>
      </c>
      <c r="H8" s="112">
        <f t="shared" si="3"/>
        <v>0</v>
      </c>
      <c r="I8" s="113">
        <f t="shared" si="8"/>
        <v>0</v>
      </c>
      <c r="J8" s="100">
        <f t="shared" si="4"/>
        <v>0</v>
      </c>
      <c r="K8" s="17">
        <f t="shared" si="5"/>
        <v>0</v>
      </c>
      <c r="L8" s="17">
        <f t="shared" si="6"/>
        <v>0</v>
      </c>
      <c r="M8" s="17">
        <f t="shared" si="7"/>
        <v>0</v>
      </c>
    </row>
    <row r="9" spans="2:17" ht="36" customHeight="1">
      <c r="B9" s="58"/>
      <c r="C9" s="108"/>
      <c r="D9" s="115"/>
      <c r="E9" s="110">
        <f t="shared" si="0"/>
        <v>0</v>
      </c>
      <c r="F9" s="111">
        <f t="shared" si="1"/>
        <v>0</v>
      </c>
      <c r="G9" s="111">
        <f t="shared" si="2"/>
        <v>0</v>
      </c>
      <c r="H9" s="112">
        <f t="shared" si="3"/>
        <v>0</v>
      </c>
      <c r="I9" s="113">
        <f t="shared" si="8"/>
        <v>0</v>
      </c>
      <c r="J9" s="100">
        <f t="shared" si="4"/>
        <v>0</v>
      </c>
      <c r="K9" s="17">
        <f t="shared" si="5"/>
        <v>0</v>
      </c>
      <c r="L9" s="17">
        <f t="shared" si="6"/>
        <v>0</v>
      </c>
      <c r="M9" s="17">
        <f t="shared" si="7"/>
        <v>0</v>
      </c>
    </row>
    <row r="10" spans="2:17" ht="36" customHeight="1">
      <c r="B10" s="58"/>
      <c r="C10" s="108"/>
      <c r="D10" s="115"/>
      <c r="E10" s="110">
        <f t="shared" si="0"/>
        <v>0</v>
      </c>
      <c r="F10" s="111">
        <f t="shared" si="1"/>
        <v>0</v>
      </c>
      <c r="G10" s="111">
        <f t="shared" si="2"/>
        <v>0</v>
      </c>
      <c r="H10" s="112">
        <f t="shared" si="3"/>
        <v>0</v>
      </c>
      <c r="I10" s="113">
        <f t="shared" si="8"/>
        <v>0</v>
      </c>
      <c r="J10" s="100">
        <f t="shared" si="4"/>
        <v>0</v>
      </c>
      <c r="K10" s="17">
        <f t="shared" si="5"/>
        <v>0</v>
      </c>
      <c r="L10" s="17">
        <f t="shared" si="6"/>
        <v>0</v>
      </c>
      <c r="M10" s="17">
        <f t="shared" si="7"/>
        <v>0</v>
      </c>
    </row>
    <row r="11" spans="2:17" ht="36" customHeight="1">
      <c r="B11" s="58"/>
      <c r="C11" s="108"/>
      <c r="D11" s="115"/>
      <c r="E11" s="110">
        <f t="shared" si="0"/>
        <v>0</v>
      </c>
      <c r="F11" s="111">
        <f t="shared" si="1"/>
        <v>0</v>
      </c>
      <c r="G11" s="111">
        <f t="shared" si="2"/>
        <v>0</v>
      </c>
      <c r="H11" s="112">
        <f t="shared" si="3"/>
        <v>0</v>
      </c>
      <c r="I11" s="113">
        <f t="shared" si="8"/>
        <v>0</v>
      </c>
      <c r="J11" s="100">
        <f t="shared" si="4"/>
        <v>0</v>
      </c>
      <c r="K11" s="17">
        <f t="shared" si="5"/>
        <v>0</v>
      </c>
      <c r="L11" s="17">
        <f t="shared" si="6"/>
        <v>0</v>
      </c>
      <c r="M11" s="17">
        <f t="shared" si="7"/>
        <v>0</v>
      </c>
    </row>
    <row r="12" spans="2:17" ht="36" customHeight="1">
      <c r="B12" s="58"/>
      <c r="C12" s="108"/>
      <c r="D12" s="115"/>
      <c r="E12" s="110">
        <f t="shared" si="0"/>
        <v>0</v>
      </c>
      <c r="F12" s="111">
        <f t="shared" si="1"/>
        <v>0</v>
      </c>
      <c r="G12" s="111">
        <f t="shared" si="2"/>
        <v>0</v>
      </c>
      <c r="H12" s="112">
        <f t="shared" si="3"/>
        <v>0</v>
      </c>
      <c r="I12" s="113">
        <f t="shared" si="8"/>
        <v>0</v>
      </c>
      <c r="J12" s="100">
        <f t="shared" si="4"/>
        <v>0</v>
      </c>
      <c r="K12" s="17">
        <f t="shared" si="5"/>
        <v>0</v>
      </c>
      <c r="L12" s="17">
        <f t="shared" si="6"/>
        <v>0</v>
      </c>
      <c r="M12" s="17">
        <f t="shared" si="7"/>
        <v>0</v>
      </c>
    </row>
    <row r="13" spans="2:17" ht="36" customHeight="1">
      <c r="B13" s="58"/>
      <c r="C13" s="108"/>
      <c r="D13" s="115"/>
      <c r="E13" s="110">
        <f t="shared" si="0"/>
        <v>0</v>
      </c>
      <c r="F13" s="111">
        <f t="shared" si="1"/>
        <v>0</v>
      </c>
      <c r="G13" s="111">
        <f t="shared" si="2"/>
        <v>0</v>
      </c>
      <c r="H13" s="112">
        <f t="shared" si="3"/>
        <v>0</v>
      </c>
      <c r="I13" s="113">
        <f t="shared" si="8"/>
        <v>0</v>
      </c>
      <c r="J13" s="100">
        <f t="shared" si="4"/>
        <v>0</v>
      </c>
      <c r="K13" s="17">
        <f t="shared" si="5"/>
        <v>0</v>
      </c>
      <c r="L13" s="17">
        <f t="shared" si="6"/>
        <v>0</v>
      </c>
      <c r="M13" s="17">
        <f t="shared" si="7"/>
        <v>0</v>
      </c>
    </row>
    <row r="14" spans="2:17" ht="36" customHeight="1">
      <c r="B14" s="58"/>
      <c r="C14" s="108"/>
      <c r="D14" s="115"/>
      <c r="E14" s="110">
        <f t="shared" si="0"/>
        <v>0</v>
      </c>
      <c r="F14" s="111">
        <f t="shared" si="1"/>
        <v>0</v>
      </c>
      <c r="G14" s="111">
        <f t="shared" si="2"/>
        <v>0</v>
      </c>
      <c r="H14" s="112">
        <f t="shared" si="3"/>
        <v>0</v>
      </c>
      <c r="I14" s="113">
        <f t="shared" si="8"/>
        <v>0</v>
      </c>
      <c r="J14" s="100">
        <f t="shared" si="4"/>
        <v>0</v>
      </c>
      <c r="K14" s="17">
        <f t="shared" si="5"/>
        <v>0</v>
      </c>
      <c r="L14" s="17">
        <f t="shared" si="6"/>
        <v>0</v>
      </c>
      <c r="M14" s="17">
        <f t="shared" si="7"/>
        <v>0</v>
      </c>
    </row>
    <row r="15" spans="2:17" ht="36" customHeight="1">
      <c r="B15" s="58"/>
      <c r="C15" s="108"/>
      <c r="D15" s="115"/>
      <c r="E15" s="110">
        <f t="shared" si="0"/>
        <v>0</v>
      </c>
      <c r="F15" s="111">
        <f t="shared" si="1"/>
        <v>0</v>
      </c>
      <c r="G15" s="111">
        <f t="shared" si="2"/>
        <v>0</v>
      </c>
      <c r="H15" s="112">
        <f t="shared" si="3"/>
        <v>0</v>
      </c>
      <c r="I15" s="113">
        <f t="shared" si="8"/>
        <v>0</v>
      </c>
      <c r="J15" s="100">
        <f t="shared" si="4"/>
        <v>0</v>
      </c>
      <c r="K15" s="17">
        <f t="shared" si="5"/>
        <v>0</v>
      </c>
      <c r="L15" s="17">
        <f t="shared" si="6"/>
        <v>0</v>
      </c>
      <c r="M15" s="17">
        <f t="shared" si="7"/>
        <v>0</v>
      </c>
    </row>
    <row r="16" spans="2:17" ht="36" customHeight="1">
      <c r="B16" s="58"/>
      <c r="C16" s="108"/>
      <c r="D16" s="115"/>
      <c r="E16" s="110">
        <f t="shared" si="0"/>
        <v>0</v>
      </c>
      <c r="F16" s="111">
        <f t="shared" si="1"/>
        <v>0</v>
      </c>
      <c r="G16" s="111">
        <f t="shared" si="2"/>
        <v>0</v>
      </c>
      <c r="H16" s="112">
        <f t="shared" si="3"/>
        <v>0</v>
      </c>
      <c r="I16" s="113">
        <f t="shared" si="8"/>
        <v>0</v>
      </c>
      <c r="J16" s="100">
        <f t="shared" si="4"/>
        <v>0</v>
      </c>
      <c r="K16" s="17">
        <f t="shared" si="5"/>
        <v>0</v>
      </c>
      <c r="L16" s="17">
        <f t="shared" si="6"/>
        <v>0</v>
      </c>
      <c r="M16" s="17">
        <f t="shared" si="7"/>
        <v>0</v>
      </c>
    </row>
    <row r="17" spans="2:13" ht="36" customHeight="1">
      <c r="B17" s="58"/>
      <c r="C17" s="108"/>
      <c r="D17" s="115"/>
      <c r="E17" s="110">
        <f t="shared" si="0"/>
        <v>0</v>
      </c>
      <c r="F17" s="111">
        <f t="shared" si="1"/>
        <v>0</v>
      </c>
      <c r="G17" s="111">
        <f t="shared" si="2"/>
        <v>0</v>
      </c>
      <c r="H17" s="112">
        <f t="shared" si="3"/>
        <v>0</v>
      </c>
      <c r="I17" s="113">
        <f t="shared" si="8"/>
        <v>0</v>
      </c>
      <c r="J17" s="100">
        <f t="shared" si="4"/>
        <v>0</v>
      </c>
      <c r="K17" s="17">
        <f t="shared" si="5"/>
        <v>0</v>
      </c>
      <c r="L17" s="17">
        <f t="shared" si="6"/>
        <v>0</v>
      </c>
      <c r="M17" s="17">
        <f t="shared" si="7"/>
        <v>0</v>
      </c>
    </row>
    <row r="18" spans="2:13" ht="36" customHeight="1">
      <c r="B18" s="58"/>
      <c r="C18" s="108"/>
      <c r="D18" s="115"/>
      <c r="E18" s="110">
        <f t="shared" si="0"/>
        <v>0</v>
      </c>
      <c r="F18" s="111">
        <f t="shared" si="1"/>
        <v>0</v>
      </c>
      <c r="G18" s="111">
        <f t="shared" si="2"/>
        <v>0</v>
      </c>
      <c r="H18" s="112">
        <f t="shared" si="3"/>
        <v>0</v>
      </c>
      <c r="I18" s="113">
        <f t="shared" si="8"/>
        <v>0</v>
      </c>
      <c r="J18" s="100">
        <f t="shared" si="4"/>
        <v>0</v>
      </c>
      <c r="K18" s="17">
        <f t="shared" si="5"/>
        <v>0</v>
      </c>
      <c r="L18" s="17">
        <f t="shared" si="6"/>
        <v>0</v>
      </c>
      <c r="M18" s="17">
        <f t="shared" si="7"/>
        <v>0</v>
      </c>
    </row>
    <row r="19" spans="2:13" ht="36" customHeight="1">
      <c r="B19" s="58"/>
      <c r="C19" s="108"/>
      <c r="D19" s="115"/>
      <c r="E19" s="110">
        <f t="shared" si="0"/>
        <v>0</v>
      </c>
      <c r="F19" s="111">
        <f t="shared" si="1"/>
        <v>0</v>
      </c>
      <c r="G19" s="111">
        <f t="shared" si="2"/>
        <v>0</v>
      </c>
      <c r="H19" s="112">
        <f t="shared" si="3"/>
        <v>0</v>
      </c>
      <c r="I19" s="113">
        <f t="shared" si="8"/>
        <v>0</v>
      </c>
      <c r="J19" s="100">
        <f t="shared" si="4"/>
        <v>0</v>
      </c>
      <c r="K19" s="17">
        <f t="shared" si="5"/>
        <v>0</v>
      </c>
      <c r="L19" s="17">
        <f t="shared" si="6"/>
        <v>0</v>
      </c>
      <c r="M19" s="17">
        <f t="shared" si="7"/>
        <v>0</v>
      </c>
    </row>
    <row r="20" spans="2:13" ht="36" customHeight="1">
      <c r="B20" s="58"/>
      <c r="C20" s="108"/>
      <c r="D20" s="115"/>
      <c r="E20" s="110">
        <f t="shared" si="0"/>
        <v>0</v>
      </c>
      <c r="F20" s="111">
        <f t="shared" si="1"/>
        <v>0</v>
      </c>
      <c r="G20" s="111">
        <f t="shared" si="2"/>
        <v>0</v>
      </c>
      <c r="H20" s="112">
        <f t="shared" si="3"/>
        <v>0</v>
      </c>
      <c r="I20" s="113">
        <f t="shared" si="8"/>
        <v>0</v>
      </c>
      <c r="J20" s="100">
        <f t="shared" si="4"/>
        <v>0</v>
      </c>
      <c r="K20" s="17">
        <f t="shared" si="5"/>
        <v>0</v>
      </c>
      <c r="L20" s="17">
        <f t="shared" si="6"/>
        <v>0</v>
      </c>
      <c r="M20" s="17">
        <f t="shared" si="7"/>
        <v>0</v>
      </c>
    </row>
    <row r="21" spans="2:13" ht="36" customHeight="1">
      <c r="B21" s="58"/>
      <c r="C21" s="108"/>
      <c r="D21" s="115"/>
      <c r="E21" s="110">
        <f t="shared" si="0"/>
        <v>0</v>
      </c>
      <c r="F21" s="111">
        <f t="shared" si="1"/>
        <v>0</v>
      </c>
      <c r="G21" s="111">
        <f t="shared" si="2"/>
        <v>0</v>
      </c>
      <c r="H21" s="112">
        <f t="shared" si="3"/>
        <v>0</v>
      </c>
      <c r="I21" s="113">
        <f t="shared" si="8"/>
        <v>0</v>
      </c>
      <c r="J21" s="100">
        <f t="shared" si="4"/>
        <v>0</v>
      </c>
      <c r="K21" s="17">
        <f t="shared" si="5"/>
        <v>0</v>
      </c>
      <c r="L21" s="17">
        <f t="shared" si="6"/>
        <v>0</v>
      </c>
      <c r="M21" s="17">
        <f t="shared" si="7"/>
        <v>0</v>
      </c>
    </row>
    <row r="22" spans="2:13" ht="36" customHeight="1">
      <c r="B22" s="58"/>
      <c r="C22" s="108"/>
      <c r="D22" s="115"/>
      <c r="E22" s="110">
        <f t="shared" si="0"/>
        <v>0</v>
      </c>
      <c r="F22" s="111">
        <f t="shared" si="1"/>
        <v>0</v>
      </c>
      <c r="G22" s="111">
        <f t="shared" si="2"/>
        <v>0</v>
      </c>
      <c r="H22" s="112">
        <f t="shared" si="3"/>
        <v>0</v>
      </c>
      <c r="I22" s="113">
        <f t="shared" si="8"/>
        <v>0</v>
      </c>
      <c r="J22" s="100">
        <f t="shared" si="4"/>
        <v>0</v>
      </c>
      <c r="K22" s="17">
        <f t="shared" si="5"/>
        <v>0</v>
      </c>
      <c r="L22" s="17">
        <f t="shared" si="6"/>
        <v>0</v>
      </c>
      <c r="M22" s="17">
        <f t="shared" si="7"/>
        <v>0</v>
      </c>
    </row>
    <row r="23" spans="2:13" ht="36" customHeight="1">
      <c r="B23" s="58"/>
      <c r="C23" s="108"/>
      <c r="D23" s="115"/>
      <c r="E23" s="110">
        <f t="shared" si="0"/>
        <v>0</v>
      </c>
      <c r="F23" s="111">
        <f t="shared" si="1"/>
        <v>0</v>
      </c>
      <c r="G23" s="111">
        <f t="shared" si="2"/>
        <v>0</v>
      </c>
      <c r="H23" s="112">
        <f t="shared" si="3"/>
        <v>0</v>
      </c>
      <c r="I23" s="113">
        <f t="shared" si="8"/>
        <v>0</v>
      </c>
      <c r="J23" s="100">
        <f t="shared" si="4"/>
        <v>0</v>
      </c>
      <c r="K23" s="17">
        <f t="shared" si="5"/>
        <v>0</v>
      </c>
      <c r="L23" s="17">
        <f t="shared" si="6"/>
        <v>0</v>
      </c>
      <c r="M23" s="17">
        <f t="shared" si="7"/>
        <v>0</v>
      </c>
    </row>
    <row r="24" spans="2:13" ht="36" customHeight="1">
      <c r="B24" s="58"/>
      <c r="C24" s="108"/>
      <c r="D24" s="115"/>
      <c r="E24" s="110">
        <f t="shared" si="0"/>
        <v>0</v>
      </c>
      <c r="F24" s="111">
        <f t="shared" si="1"/>
        <v>0</v>
      </c>
      <c r="G24" s="111">
        <f t="shared" si="2"/>
        <v>0</v>
      </c>
      <c r="H24" s="112">
        <f t="shared" si="3"/>
        <v>0</v>
      </c>
      <c r="I24" s="113">
        <f t="shared" si="8"/>
        <v>0</v>
      </c>
      <c r="J24" s="100">
        <f t="shared" si="4"/>
        <v>0</v>
      </c>
      <c r="K24" s="17">
        <f t="shared" si="5"/>
        <v>0</v>
      </c>
      <c r="L24" s="17">
        <f t="shared" si="6"/>
        <v>0</v>
      </c>
      <c r="M24" s="17">
        <f t="shared" si="7"/>
        <v>0</v>
      </c>
    </row>
    <row r="25" spans="2:13" ht="36" customHeight="1">
      <c r="B25" s="58"/>
      <c r="C25" s="108"/>
      <c r="D25" s="115"/>
      <c r="E25" s="124">
        <f t="shared" si="0"/>
        <v>0</v>
      </c>
      <c r="F25" s="125">
        <f t="shared" si="1"/>
        <v>0</v>
      </c>
      <c r="G25" s="125">
        <f t="shared" si="2"/>
        <v>0</v>
      </c>
      <c r="H25" s="126">
        <f t="shared" si="3"/>
        <v>0</v>
      </c>
      <c r="I25" s="101">
        <f t="shared" si="8"/>
        <v>0</v>
      </c>
      <c r="J25" s="100">
        <f t="shared" si="4"/>
        <v>0</v>
      </c>
      <c r="K25" s="17">
        <f t="shared" si="5"/>
        <v>0</v>
      </c>
      <c r="L25" s="17">
        <f t="shared" si="6"/>
        <v>0</v>
      </c>
      <c r="M25" s="17">
        <f t="shared" si="7"/>
        <v>0</v>
      </c>
    </row>
    <row r="26" spans="2:13" ht="36" customHeight="1">
      <c r="B26" s="56"/>
      <c r="C26" s="167"/>
      <c r="D26" s="109"/>
      <c r="E26" s="110">
        <f t="shared" si="0"/>
        <v>0</v>
      </c>
      <c r="F26" s="111">
        <f t="shared" si="1"/>
        <v>0</v>
      </c>
      <c r="G26" s="111">
        <f t="shared" si="2"/>
        <v>0</v>
      </c>
      <c r="H26" s="112">
        <f t="shared" si="3"/>
        <v>0</v>
      </c>
      <c r="I26" s="113">
        <f t="shared" si="8"/>
        <v>0</v>
      </c>
      <c r="J26" s="114">
        <f t="shared" si="4"/>
        <v>0</v>
      </c>
      <c r="K26" s="17">
        <f t="shared" si="5"/>
        <v>0</v>
      </c>
      <c r="L26" s="17">
        <f t="shared" si="6"/>
        <v>0</v>
      </c>
      <c r="M26" s="17">
        <f t="shared" si="7"/>
        <v>0</v>
      </c>
    </row>
    <row r="27" spans="2:13" ht="36" hidden="1" customHeight="1">
      <c r="B27" s="58"/>
      <c r="C27" s="108"/>
      <c r="D27" s="115"/>
      <c r="E27" s="110">
        <f t="shared" si="0"/>
        <v>0</v>
      </c>
      <c r="F27" s="111">
        <f t="shared" si="1"/>
        <v>0</v>
      </c>
      <c r="G27" s="111">
        <f t="shared" si="2"/>
        <v>0</v>
      </c>
      <c r="H27" s="112">
        <f t="shared" si="3"/>
        <v>0</v>
      </c>
      <c r="I27" s="113">
        <f t="shared" si="8"/>
        <v>0</v>
      </c>
      <c r="J27" s="100">
        <f t="shared" si="4"/>
        <v>0</v>
      </c>
      <c r="K27" s="17">
        <f t="shared" si="5"/>
        <v>0</v>
      </c>
      <c r="L27" s="17">
        <f t="shared" si="6"/>
        <v>0</v>
      </c>
      <c r="M27" s="17">
        <f t="shared" si="7"/>
        <v>0</v>
      </c>
    </row>
    <row r="28" spans="2:13" ht="36" hidden="1" customHeight="1">
      <c r="B28" s="58"/>
      <c r="C28" s="108"/>
      <c r="D28" s="115"/>
      <c r="E28" s="110">
        <f t="shared" ref="E28:E36" si="9">D28*$E$4</f>
        <v>0</v>
      </c>
      <c r="F28" s="111">
        <f t="shared" ref="F28:F36" si="10">D28*$F$4</f>
        <v>0</v>
      </c>
      <c r="G28" s="111">
        <f t="shared" ref="G28:G36" si="11">D28*$G$4</f>
        <v>0</v>
      </c>
      <c r="H28" s="112">
        <f t="shared" ref="H28:H36" si="12">SUM(E28:G28)</f>
        <v>0</v>
      </c>
      <c r="I28" s="113">
        <f t="shared" ref="I28:I36" si="13">ROUNDUP((D28/$K$2), 0)</f>
        <v>0</v>
      </c>
      <c r="J28" s="100">
        <f t="shared" si="4"/>
        <v>0</v>
      </c>
      <c r="K28" s="17">
        <f t="shared" si="5"/>
        <v>0</v>
      </c>
      <c r="L28" s="17">
        <f t="shared" si="6"/>
        <v>0</v>
      </c>
      <c r="M28" s="17">
        <f t="shared" si="7"/>
        <v>0</v>
      </c>
    </row>
    <row r="29" spans="2:13" ht="36" hidden="1" customHeight="1">
      <c r="B29" s="58"/>
      <c r="C29" s="108"/>
      <c r="D29" s="115"/>
      <c r="E29" s="110">
        <f t="shared" si="9"/>
        <v>0</v>
      </c>
      <c r="F29" s="111">
        <f t="shared" si="10"/>
        <v>0</v>
      </c>
      <c r="G29" s="111">
        <f t="shared" si="11"/>
        <v>0</v>
      </c>
      <c r="H29" s="112">
        <f t="shared" si="12"/>
        <v>0</v>
      </c>
      <c r="I29" s="113">
        <f t="shared" si="13"/>
        <v>0</v>
      </c>
      <c r="J29" s="100">
        <f t="shared" si="4"/>
        <v>0</v>
      </c>
      <c r="K29" s="17">
        <f t="shared" si="5"/>
        <v>0</v>
      </c>
      <c r="L29" s="17">
        <f t="shared" si="6"/>
        <v>0</v>
      </c>
      <c r="M29" s="17">
        <f t="shared" si="7"/>
        <v>0</v>
      </c>
    </row>
    <row r="30" spans="2:13" ht="36" hidden="1" customHeight="1">
      <c r="B30" s="58"/>
      <c r="C30" s="108"/>
      <c r="D30" s="115"/>
      <c r="E30" s="110">
        <f t="shared" si="9"/>
        <v>0</v>
      </c>
      <c r="F30" s="111">
        <f t="shared" si="10"/>
        <v>0</v>
      </c>
      <c r="G30" s="111">
        <f t="shared" si="11"/>
        <v>0</v>
      </c>
      <c r="H30" s="112">
        <f t="shared" si="12"/>
        <v>0</v>
      </c>
      <c r="I30" s="113">
        <f t="shared" si="13"/>
        <v>0</v>
      </c>
      <c r="J30" s="100">
        <f t="shared" si="4"/>
        <v>0</v>
      </c>
      <c r="K30" s="17">
        <f t="shared" ref="K30:K38" si="14">IF(E30=0,0,E30/$I30)</f>
        <v>0</v>
      </c>
      <c r="L30" s="17">
        <f t="shared" ref="L30:L38" si="15">IF(F30=0,0,F30/$I30)</f>
        <v>0</v>
      </c>
      <c r="M30" s="17">
        <f t="shared" ref="M30:M38" si="16">IF(G30=0,0,G30/$I30)</f>
        <v>0</v>
      </c>
    </row>
    <row r="31" spans="2:13" ht="36" hidden="1" customHeight="1">
      <c r="B31" s="58"/>
      <c r="C31" s="108"/>
      <c r="D31" s="115"/>
      <c r="E31" s="110">
        <f t="shared" si="9"/>
        <v>0</v>
      </c>
      <c r="F31" s="111">
        <f t="shared" si="10"/>
        <v>0</v>
      </c>
      <c r="G31" s="111">
        <f t="shared" si="11"/>
        <v>0</v>
      </c>
      <c r="H31" s="112">
        <f t="shared" si="12"/>
        <v>0</v>
      </c>
      <c r="I31" s="113">
        <f t="shared" si="13"/>
        <v>0</v>
      </c>
      <c r="J31" s="100">
        <f t="shared" si="4"/>
        <v>0</v>
      </c>
      <c r="K31" s="17">
        <f t="shared" si="14"/>
        <v>0</v>
      </c>
      <c r="L31" s="17">
        <f t="shared" si="15"/>
        <v>0</v>
      </c>
      <c r="M31" s="17">
        <f t="shared" si="16"/>
        <v>0</v>
      </c>
    </row>
    <row r="32" spans="2:13" ht="36" hidden="1" customHeight="1">
      <c r="B32" s="58"/>
      <c r="C32" s="108"/>
      <c r="D32" s="115"/>
      <c r="E32" s="110">
        <f t="shared" si="9"/>
        <v>0</v>
      </c>
      <c r="F32" s="111">
        <f t="shared" si="10"/>
        <v>0</v>
      </c>
      <c r="G32" s="111">
        <f t="shared" si="11"/>
        <v>0</v>
      </c>
      <c r="H32" s="112">
        <f t="shared" si="12"/>
        <v>0</v>
      </c>
      <c r="I32" s="113">
        <f t="shared" si="13"/>
        <v>0</v>
      </c>
      <c r="J32" s="100">
        <f t="shared" si="4"/>
        <v>0</v>
      </c>
      <c r="K32" s="17">
        <f t="shared" si="14"/>
        <v>0</v>
      </c>
      <c r="L32" s="17">
        <f t="shared" si="15"/>
        <v>0</v>
      </c>
      <c r="M32" s="17">
        <f t="shared" si="16"/>
        <v>0</v>
      </c>
    </row>
    <row r="33" spans="2:13" ht="36" hidden="1" customHeight="1">
      <c r="B33" s="58"/>
      <c r="C33" s="108"/>
      <c r="D33" s="115"/>
      <c r="E33" s="110">
        <f t="shared" si="9"/>
        <v>0</v>
      </c>
      <c r="F33" s="111">
        <f t="shared" si="10"/>
        <v>0</v>
      </c>
      <c r="G33" s="111">
        <f t="shared" si="11"/>
        <v>0</v>
      </c>
      <c r="H33" s="112">
        <f t="shared" si="12"/>
        <v>0</v>
      </c>
      <c r="I33" s="113">
        <f t="shared" si="13"/>
        <v>0</v>
      </c>
      <c r="J33" s="100">
        <f t="shared" si="4"/>
        <v>0</v>
      </c>
      <c r="K33" s="17">
        <f t="shared" si="14"/>
        <v>0</v>
      </c>
      <c r="L33" s="17">
        <f t="shared" si="15"/>
        <v>0</v>
      </c>
      <c r="M33" s="17">
        <f t="shared" si="16"/>
        <v>0</v>
      </c>
    </row>
    <row r="34" spans="2:13" ht="36" hidden="1" customHeight="1">
      <c r="B34" s="58"/>
      <c r="C34" s="108"/>
      <c r="D34" s="115"/>
      <c r="E34" s="110">
        <f t="shared" si="9"/>
        <v>0</v>
      </c>
      <c r="F34" s="111">
        <f t="shared" si="10"/>
        <v>0</v>
      </c>
      <c r="G34" s="111">
        <f t="shared" si="11"/>
        <v>0</v>
      </c>
      <c r="H34" s="112">
        <f t="shared" si="12"/>
        <v>0</v>
      </c>
      <c r="I34" s="113">
        <f t="shared" si="13"/>
        <v>0</v>
      </c>
      <c r="J34" s="100">
        <f t="shared" si="4"/>
        <v>0</v>
      </c>
      <c r="K34" s="17">
        <f t="shared" si="14"/>
        <v>0</v>
      </c>
      <c r="L34" s="17">
        <f t="shared" si="15"/>
        <v>0</v>
      </c>
      <c r="M34" s="17">
        <f t="shared" si="16"/>
        <v>0</v>
      </c>
    </row>
    <row r="35" spans="2:13" ht="36" hidden="1" customHeight="1">
      <c r="B35" s="58"/>
      <c r="C35" s="108"/>
      <c r="D35" s="115"/>
      <c r="E35" s="110">
        <f t="shared" si="9"/>
        <v>0</v>
      </c>
      <c r="F35" s="111">
        <f t="shared" si="10"/>
        <v>0</v>
      </c>
      <c r="G35" s="111">
        <f t="shared" si="11"/>
        <v>0</v>
      </c>
      <c r="H35" s="112">
        <f t="shared" si="12"/>
        <v>0</v>
      </c>
      <c r="I35" s="113">
        <f t="shared" si="13"/>
        <v>0</v>
      </c>
      <c r="J35" s="100">
        <f t="shared" si="4"/>
        <v>0</v>
      </c>
      <c r="K35" s="17">
        <f t="shared" si="14"/>
        <v>0</v>
      </c>
      <c r="L35" s="17">
        <f t="shared" si="15"/>
        <v>0</v>
      </c>
      <c r="M35" s="17">
        <f t="shared" si="16"/>
        <v>0</v>
      </c>
    </row>
    <row r="36" spans="2:13" ht="36" hidden="1" customHeight="1">
      <c r="B36" s="58"/>
      <c r="C36" s="108"/>
      <c r="D36" s="115"/>
      <c r="E36" s="110">
        <f t="shared" si="9"/>
        <v>0</v>
      </c>
      <c r="F36" s="111">
        <f t="shared" si="10"/>
        <v>0</v>
      </c>
      <c r="G36" s="111">
        <f t="shared" si="11"/>
        <v>0</v>
      </c>
      <c r="H36" s="112">
        <f t="shared" si="12"/>
        <v>0</v>
      </c>
      <c r="I36" s="113">
        <f t="shared" si="13"/>
        <v>0</v>
      </c>
      <c r="J36" s="100">
        <f t="shared" si="4"/>
        <v>0</v>
      </c>
      <c r="K36" s="17">
        <f t="shared" si="14"/>
        <v>0</v>
      </c>
      <c r="L36" s="17">
        <f t="shared" si="15"/>
        <v>0</v>
      </c>
      <c r="M36" s="17">
        <f t="shared" si="16"/>
        <v>0</v>
      </c>
    </row>
    <row r="37" spans="2:13" ht="36" hidden="1" customHeight="1">
      <c r="B37" s="58"/>
      <c r="C37" s="108"/>
      <c r="D37" s="115"/>
      <c r="E37" s="110">
        <f t="shared" ref="E37:E45" si="17">D37*$E$4</f>
        <v>0</v>
      </c>
      <c r="F37" s="111">
        <f t="shared" ref="F37:F45" si="18">D37*$F$4</f>
        <v>0</v>
      </c>
      <c r="G37" s="111">
        <f t="shared" ref="G37:G45" si="19">D37*$G$4</f>
        <v>0</v>
      </c>
      <c r="H37" s="112">
        <f t="shared" ref="H37:H45" si="20">SUM(E37:G37)</f>
        <v>0</v>
      </c>
      <c r="I37" s="113">
        <f t="shared" ref="I37:I45" si="21">ROUNDUP((D37/$K$2), 0)</f>
        <v>0</v>
      </c>
      <c r="J37" s="100">
        <f t="shared" ref="J37:J55" si="22">SUM(K37:M37)</f>
        <v>0</v>
      </c>
      <c r="K37" s="17">
        <f t="shared" si="14"/>
        <v>0</v>
      </c>
      <c r="L37" s="17">
        <f t="shared" si="15"/>
        <v>0</v>
      </c>
      <c r="M37" s="17">
        <f t="shared" si="16"/>
        <v>0</v>
      </c>
    </row>
    <row r="38" spans="2:13" ht="36" hidden="1" customHeight="1">
      <c r="B38" s="58"/>
      <c r="C38" s="108"/>
      <c r="D38" s="115"/>
      <c r="E38" s="110">
        <f t="shared" si="17"/>
        <v>0</v>
      </c>
      <c r="F38" s="111">
        <f t="shared" si="18"/>
        <v>0</v>
      </c>
      <c r="G38" s="111">
        <f t="shared" si="19"/>
        <v>0</v>
      </c>
      <c r="H38" s="112">
        <f t="shared" si="20"/>
        <v>0</v>
      </c>
      <c r="I38" s="113">
        <f t="shared" si="21"/>
        <v>0</v>
      </c>
      <c r="J38" s="100">
        <f t="shared" si="22"/>
        <v>0</v>
      </c>
      <c r="K38" s="17">
        <f t="shared" si="14"/>
        <v>0</v>
      </c>
      <c r="L38" s="17">
        <f t="shared" si="15"/>
        <v>0</v>
      </c>
      <c r="M38" s="17">
        <f t="shared" si="16"/>
        <v>0</v>
      </c>
    </row>
    <row r="39" spans="2:13" ht="36" hidden="1" customHeight="1">
      <c r="B39" s="58"/>
      <c r="C39" s="108"/>
      <c r="D39" s="115"/>
      <c r="E39" s="110">
        <f t="shared" si="17"/>
        <v>0</v>
      </c>
      <c r="F39" s="111">
        <f t="shared" si="18"/>
        <v>0</v>
      </c>
      <c r="G39" s="111">
        <f t="shared" si="19"/>
        <v>0</v>
      </c>
      <c r="H39" s="112">
        <f t="shared" si="20"/>
        <v>0</v>
      </c>
      <c r="I39" s="113">
        <f t="shared" si="21"/>
        <v>0</v>
      </c>
      <c r="J39" s="100">
        <f t="shared" si="22"/>
        <v>0</v>
      </c>
      <c r="K39" s="17">
        <f t="shared" ref="K39:K47" si="23">IF(E39=0,0,E39/$I39)</f>
        <v>0</v>
      </c>
      <c r="L39" s="17">
        <f t="shared" ref="L39:L47" si="24">IF(F39=0,0,F39/$I39)</f>
        <v>0</v>
      </c>
      <c r="M39" s="17">
        <f t="shared" ref="M39:M47" si="25">IF(G39=0,0,G39/$I39)</f>
        <v>0</v>
      </c>
    </row>
    <row r="40" spans="2:13" ht="36" hidden="1" customHeight="1">
      <c r="B40" s="58"/>
      <c r="C40" s="108"/>
      <c r="D40" s="115"/>
      <c r="E40" s="110">
        <f t="shared" si="17"/>
        <v>0</v>
      </c>
      <c r="F40" s="111">
        <f t="shared" si="18"/>
        <v>0</v>
      </c>
      <c r="G40" s="111">
        <f t="shared" si="19"/>
        <v>0</v>
      </c>
      <c r="H40" s="112">
        <f t="shared" si="20"/>
        <v>0</v>
      </c>
      <c r="I40" s="113">
        <f t="shared" si="21"/>
        <v>0</v>
      </c>
      <c r="J40" s="100">
        <f t="shared" si="22"/>
        <v>0</v>
      </c>
      <c r="K40" s="17">
        <f t="shared" si="23"/>
        <v>0</v>
      </c>
      <c r="L40" s="17">
        <f t="shared" si="24"/>
        <v>0</v>
      </c>
      <c r="M40" s="17">
        <f t="shared" si="25"/>
        <v>0</v>
      </c>
    </row>
    <row r="41" spans="2:13" ht="36" hidden="1" customHeight="1">
      <c r="B41" s="58"/>
      <c r="C41" s="108"/>
      <c r="D41" s="115"/>
      <c r="E41" s="110">
        <f t="shared" si="17"/>
        <v>0</v>
      </c>
      <c r="F41" s="111">
        <f t="shared" si="18"/>
        <v>0</v>
      </c>
      <c r="G41" s="111">
        <f t="shared" si="19"/>
        <v>0</v>
      </c>
      <c r="H41" s="112">
        <f t="shared" si="20"/>
        <v>0</v>
      </c>
      <c r="I41" s="113">
        <f t="shared" si="21"/>
        <v>0</v>
      </c>
      <c r="J41" s="100">
        <f t="shared" si="22"/>
        <v>0</v>
      </c>
      <c r="K41" s="17">
        <f t="shared" si="23"/>
        <v>0</v>
      </c>
      <c r="L41" s="17">
        <f t="shared" si="24"/>
        <v>0</v>
      </c>
      <c r="M41" s="17">
        <f t="shared" si="25"/>
        <v>0</v>
      </c>
    </row>
    <row r="42" spans="2:13" ht="36" hidden="1" customHeight="1">
      <c r="B42" s="58"/>
      <c r="C42" s="108"/>
      <c r="D42" s="115"/>
      <c r="E42" s="110">
        <f t="shared" si="17"/>
        <v>0</v>
      </c>
      <c r="F42" s="111">
        <f t="shared" si="18"/>
        <v>0</v>
      </c>
      <c r="G42" s="111">
        <f t="shared" si="19"/>
        <v>0</v>
      </c>
      <c r="H42" s="112">
        <f t="shared" si="20"/>
        <v>0</v>
      </c>
      <c r="I42" s="113">
        <f t="shared" si="21"/>
        <v>0</v>
      </c>
      <c r="J42" s="100">
        <f t="shared" si="22"/>
        <v>0</v>
      </c>
      <c r="K42" s="17">
        <f t="shared" si="23"/>
        <v>0</v>
      </c>
      <c r="L42" s="17">
        <f t="shared" si="24"/>
        <v>0</v>
      </c>
      <c r="M42" s="17">
        <f t="shared" si="25"/>
        <v>0</v>
      </c>
    </row>
    <row r="43" spans="2:13" ht="36" hidden="1" customHeight="1">
      <c r="B43" s="58"/>
      <c r="C43" s="108"/>
      <c r="D43" s="115"/>
      <c r="E43" s="110">
        <f t="shared" si="17"/>
        <v>0</v>
      </c>
      <c r="F43" s="111">
        <f t="shared" si="18"/>
        <v>0</v>
      </c>
      <c r="G43" s="111">
        <f t="shared" si="19"/>
        <v>0</v>
      </c>
      <c r="H43" s="112">
        <f t="shared" si="20"/>
        <v>0</v>
      </c>
      <c r="I43" s="113">
        <f t="shared" si="21"/>
        <v>0</v>
      </c>
      <c r="J43" s="100">
        <f t="shared" si="22"/>
        <v>0</v>
      </c>
      <c r="K43" s="17">
        <f t="shared" si="23"/>
        <v>0</v>
      </c>
      <c r="L43" s="17">
        <f t="shared" si="24"/>
        <v>0</v>
      </c>
      <c r="M43" s="17">
        <f t="shared" si="25"/>
        <v>0</v>
      </c>
    </row>
    <row r="44" spans="2:13" ht="36" hidden="1" customHeight="1">
      <c r="B44" s="58"/>
      <c r="C44" s="108"/>
      <c r="D44" s="115"/>
      <c r="E44" s="110">
        <f t="shared" si="17"/>
        <v>0</v>
      </c>
      <c r="F44" s="111">
        <f t="shared" si="18"/>
        <v>0</v>
      </c>
      <c r="G44" s="111">
        <f t="shared" si="19"/>
        <v>0</v>
      </c>
      <c r="H44" s="112">
        <f t="shared" si="20"/>
        <v>0</v>
      </c>
      <c r="I44" s="113">
        <f t="shared" si="21"/>
        <v>0</v>
      </c>
      <c r="J44" s="100">
        <f t="shared" si="22"/>
        <v>0</v>
      </c>
      <c r="K44" s="17">
        <f t="shared" si="23"/>
        <v>0</v>
      </c>
      <c r="L44" s="17">
        <f t="shared" si="24"/>
        <v>0</v>
      </c>
      <c r="M44" s="17">
        <f t="shared" si="25"/>
        <v>0</v>
      </c>
    </row>
    <row r="45" spans="2:13" ht="36" hidden="1" customHeight="1">
      <c r="B45" s="58"/>
      <c r="C45" s="108"/>
      <c r="D45" s="115"/>
      <c r="E45" s="110">
        <f t="shared" si="17"/>
        <v>0</v>
      </c>
      <c r="F45" s="111">
        <f t="shared" si="18"/>
        <v>0</v>
      </c>
      <c r="G45" s="111">
        <f t="shared" si="19"/>
        <v>0</v>
      </c>
      <c r="H45" s="112">
        <f t="shared" si="20"/>
        <v>0</v>
      </c>
      <c r="I45" s="113">
        <f t="shared" si="21"/>
        <v>0</v>
      </c>
      <c r="J45" s="100">
        <f t="shared" si="22"/>
        <v>0</v>
      </c>
      <c r="K45" s="17">
        <f t="shared" si="23"/>
        <v>0</v>
      </c>
      <c r="L45" s="17">
        <f t="shared" si="24"/>
        <v>0</v>
      </c>
      <c r="M45" s="17">
        <f t="shared" si="25"/>
        <v>0</v>
      </c>
    </row>
    <row r="46" spans="2:13" ht="36" hidden="1" customHeight="1">
      <c r="B46" s="58"/>
      <c r="C46" s="108"/>
      <c r="D46" s="115"/>
      <c r="E46" s="110">
        <f t="shared" ref="E46:E54" si="26">D46*$E$4</f>
        <v>0</v>
      </c>
      <c r="F46" s="111">
        <f t="shared" ref="F46:F54" si="27">D46*$F$4</f>
        <v>0</v>
      </c>
      <c r="G46" s="111">
        <f t="shared" ref="G46:G54" si="28">D46*$G$4</f>
        <v>0</v>
      </c>
      <c r="H46" s="112">
        <f t="shared" ref="H46:H54" si="29">SUM(E46:G46)</f>
        <v>0</v>
      </c>
      <c r="I46" s="113">
        <f t="shared" ref="I46:I54" si="30">ROUNDUP((D46/$K$2), 0)</f>
        <v>0</v>
      </c>
      <c r="J46" s="100">
        <f t="shared" si="22"/>
        <v>0</v>
      </c>
      <c r="K46" s="17">
        <f t="shared" si="23"/>
        <v>0</v>
      </c>
      <c r="L46" s="17">
        <f t="shared" si="24"/>
        <v>0</v>
      </c>
      <c r="M46" s="17">
        <f t="shared" si="25"/>
        <v>0</v>
      </c>
    </row>
    <row r="47" spans="2:13" ht="36" hidden="1" customHeight="1">
      <c r="B47" s="58"/>
      <c r="C47" s="108"/>
      <c r="D47" s="115"/>
      <c r="E47" s="110">
        <f t="shared" si="26"/>
        <v>0</v>
      </c>
      <c r="F47" s="111">
        <f t="shared" si="27"/>
        <v>0</v>
      </c>
      <c r="G47" s="111">
        <f t="shared" si="28"/>
        <v>0</v>
      </c>
      <c r="H47" s="112">
        <f t="shared" si="29"/>
        <v>0</v>
      </c>
      <c r="I47" s="113">
        <f t="shared" si="30"/>
        <v>0</v>
      </c>
      <c r="J47" s="100">
        <f t="shared" si="22"/>
        <v>0</v>
      </c>
      <c r="K47" s="17">
        <f t="shared" si="23"/>
        <v>0</v>
      </c>
      <c r="L47" s="17">
        <f t="shared" si="24"/>
        <v>0</v>
      </c>
      <c r="M47" s="17">
        <f t="shared" si="25"/>
        <v>0</v>
      </c>
    </row>
    <row r="48" spans="2:13" ht="36" hidden="1" customHeight="1">
      <c r="B48" s="58"/>
      <c r="C48" s="108"/>
      <c r="D48" s="115"/>
      <c r="E48" s="110">
        <f t="shared" si="26"/>
        <v>0</v>
      </c>
      <c r="F48" s="111">
        <f t="shared" si="27"/>
        <v>0</v>
      </c>
      <c r="G48" s="111">
        <f t="shared" si="28"/>
        <v>0</v>
      </c>
      <c r="H48" s="112">
        <f t="shared" si="29"/>
        <v>0</v>
      </c>
      <c r="I48" s="113">
        <f t="shared" si="30"/>
        <v>0</v>
      </c>
      <c r="J48" s="100">
        <f t="shared" si="22"/>
        <v>0</v>
      </c>
      <c r="K48" s="17">
        <f t="shared" ref="K48:K54" si="31">IF(E48=0,0,E48/$I48)</f>
        <v>0</v>
      </c>
      <c r="L48" s="17">
        <f t="shared" ref="L48:L54" si="32">IF(F48=0,0,F48/$I48)</f>
        <v>0</v>
      </c>
      <c r="M48" s="17">
        <f t="shared" ref="M48:M54" si="33">IF(G48=0,0,G48/$I48)</f>
        <v>0</v>
      </c>
    </row>
    <row r="49" spans="2:17" ht="36" hidden="1" customHeight="1">
      <c r="B49" s="58"/>
      <c r="C49" s="108"/>
      <c r="D49" s="115"/>
      <c r="E49" s="110">
        <f t="shared" si="26"/>
        <v>0</v>
      </c>
      <c r="F49" s="111">
        <f t="shared" si="27"/>
        <v>0</v>
      </c>
      <c r="G49" s="111">
        <f t="shared" si="28"/>
        <v>0</v>
      </c>
      <c r="H49" s="112">
        <f t="shared" si="29"/>
        <v>0</v>
      </c>
      <c r="I49" s="113">
        <f t="shared" si="30"/>
        <v>0</v>
      </c>
      <c r="J49" s="100">
        <f t="shared" si="22"/>
        <v>0</v>
      </c>
      <c r="K49" s="17">
        <f t="shared" si="31"/>
        <v>0</v>
      </c>
      <c r="L49" s="17">
        <f t="shared" si="32"/>
        <v>0</v>
      </c>
      <c r="M49" s="17">
        <f t="shared" si="33"/>
        <v>0</v>
      </c>
    </row>
    <row r="50" spans="2:17" ht="36" hidden="1" customHeight="1">
      <c r="B50" s="58"/>
      <c r="C50" s="108"/>
      <c r="D50" s="115"/>
      <c r="E50" s="110">
        <f t="shared" si="26"/>
        <v>0</v>
      </c>
      <c r="F50" s="111">
        <f t="shared" si="27"/>
        <v>0</v>
      </c>
      <c r="G50" s="111">
        <f t="shared" si="28"/>
        <v>0</v>
      </c>
      <c r="H50" s="112">
        <f t="shared" si="29"/>
        <v>0</v>
      </c>
      <c r="I50" s="113">
        <f t="shared" si="30"/>
        <v>0</v>
      </c>
      <c r="J50" s="100">
        <f t="shared" si="22"/>
        <v>0</v>
      </c>
      <c r="K50" s="17">
        <f t="shared" si="31"/>
        <v>0</v>
      </c>
      <c r="L50" s="17">
        <f t="shared" si="32"/>
        <v>0</v>
      </c>
      <c r="M50" s="17">
        <f t="shared" si="33"/>
        <v>0</v>
      </c>
    </row>
    <row r="51" spans="2:17" ht="36" hidden="1" customHeight="1">
      <c r="B51" s="58"/>
      <c r="C51" s="108"/>
      <c r="D51" s="115"/>
      <c r="E51" s="110">
        <f t="shared" si="26"/>
        <v>0</v>
      </c>
      <c r="F51" s="111">
        <f t="shared" si="27"/>
        <v>0</v>
      </c>
      <c r="G51" s="111">
        <f t="shared" si="28"/>
        <v>0</v>
      </c>
      <c r="H51" s="112">
        <f t="shared" si="29"/>
        <v>0</v>
      </c>
      <c r="I51" s="113">
        <f t="shared" si="30"/>
        <v>0</v>
      </c>
      <c r="J51" s="100">
        <f t="shared" si="22"/>
        <v>0</v>
      </c>
      <c r="K51" s="17">
        <f t="shared" si="31"/>
        <v>0</v>
      </c>
      <c r="L51" s="17">
        <f t="shared" si="32"/>
        <v>0</v>
      </c>
      <c r="M51" s="17">
        <f t="shared" si="33"/>
        <v>0</v>
      </c>
    </row>
    <row r="52" spans="2:17" ht="36" hidden="1" customHeight="1">
      <c r="B52" s="58"/>
      <c r="C52" s="108"/>
      <c r="D52" s="115"/>
      <c r="E52" s="110">
        <f t="shared" si="26"/>
        <v>0</v>
      </c>
      <c r="F52" s="111">
        <f t="shared" si="27"/>
        <v>0</v>
      </c>
      <c r="G52" s="111">
        <f t="shared" si="28"/>
        <v>0</v>
      </c>
      <c r="H52" s="112">
        <f t="shared" si="29"/>
        <v>0</v>
      </c>
      <c r="I52" s="113">
        <f t="shared" si="30"/>
        <v>0</v>
      </c>
      <c r="J52" s="100">
        <f t="shared" si="22"/>
        <v>0</v>
      </c>
      <c r="K52" s="17">
        <f t="shared" si="31"/>
        <v>0</v>
      </c>
      <c r="L52" s="17">
        <f t="shared" si="32"/>
        <v>0</v>
      </c>
      <c r="M52" s="17">
        <f t="shared" si="33"/>
        <v>0</v>
      </c>
    </row>
    <row r="53" spans="2:17" ht="36" hidden="1" customHeight="1">
      <c r="B53" s="58"/>
      <c r="C53" s="108"/>
      <c r="D53" s="115"/>
      <c r="E53" s="110">
        <f t="shared" si="26"/>
        <v>0</v>
      </c>
      <c r="F53" s="111">
        <f t="shared" si="27"/>
        <v>0</v>
      </c>
      <c r="G53" s="111">
        <f t="shared" si="28"/>
        <v>0</v>
      </c>
      <c r="H53" s="112">
        <f t="shared" si="29"/>
        <v>0</v>
      </c>
      <c r="I53" s="113">
        <f t="shared" si="30"/>
        <v>0</v>
      </c>
      <c r="J53" s="100">
        <f t="shared" si="22"/>
        <v>0</v>
      </c>
      <c r="K53" s="17">
        <f t="shared" si="31"/>
        <v>0</v>
      </c>
      <c r="L53" s="17">
        <f t="shared" si="32"/>
        <v>0</v>
      </c>
      <c r="M53" s="17">
        <f t="shared" si="33"/>
        <v>0</v>
      </c>
    </row>
    <row r="54" spans="2:17" ht="36" hidden="1" customHeight="1">
      <c r="B54" s="58"/>
      <c r="C54" s="108"/>
      <c r="D54" s="115"/>
      <c r="E54" s="110">
        <f t="shared" si="26"/>
        <v>0</v>
      </c>
      <c r="F54" s="111">
        <f t="shared" si="27"/>
        <v>0</v>
      </c>
      <c r="G54" s="111">
        <f t="shared" si="28"/>
        <v>0</v>
      </c>
      <c r="H54" s="112">
        <f t="shared" si="29"/>
        <v>0</v>
      </c>
      <c r="I54" s="113">
        <f t="shared" si="30"/>
        <v>0</v>
      </c>
      <c r="J54" s="100">
        <f t="shared" si="22"/>
        <v>0</v>
      </c>
      <c r="K54" s="17">
        <f t="shared" si="31"/>
        <v>0</v>
      </c>
      <c r="L54" s="17">
        <f t="shared" si="32"/>
        <v>0</v>
      </c>
      <c r="M54" s="17">
        <f t="shared" si="33"/>
        <v>0</v>
      </c>
    </row>
    <row r="55" spans="2:17" ht="36" customHeight="1" thickBot="1">
      <c r="B55" s="60"/>
      <c r="C55" s="116"/>
      <c r="D55" s="117"/>
      <c r="E55" s="118">
        <f t="shared" si="0"/>
        <v>0</v>
      </c>
      <c r="F55" s="119">
        <f t="shared" si="1"/>
        <v>0</v>
      </c>
      <c r="G55" s="119">
        <f t="shared" si="2"/>
        <v>0</v>
      </c>
      <c r="H55" s="120">
        <f t="shared" si="3"/>
        <v>0</v>
      </c>
      <c r="I55" s="121">
        <f t="shared" si="8"/>
        <v>0</v>
      </c>
      <c r="J55" s="122">
        <f t="shared" si="22"/>
        <v>0</v>
      </c>
      <c r="K55" s="21">
        <f>IF(E55=0,0,E55/$I55)</f>
        <v>0</v>
      </c>
      <c r="L55" s="21">
        <f>IF(F55=0,0,F55/$I55)</f>
        <v>0</v>
      </c>
      <c r="M55" s="21">
        <f>IF(G55=0,0,G55/$I55)</f>
        <v>0</v>
      </c>
    </row>
    <row r="56" spans="2:17" s="4" customFormat="1" ht="36" customHeight="1">
      <c r="B56" s="2"/>
      <c r="C56" s="2"/>
      <c r="D56" s="2">
        <f>SUM(D5:D55)</f>
        <v>0</v>
      </c>
      <c r="E56" s="2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</row>
    <row r="57" spans="2:17" s="4" customFormat="1" ht="32.1" customHeight="1">
      <c r="B57" s="2"/>
      <c r="C57" s="2"/>
      <c r="D57" s="2"/>
      <c r="E57" s="2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</row>
    <row r="58" spans="2:17" s="4" customFormat="1" ht="32.1" customHeight="1">
      <c r="B58" s="2"/>
      <c r="C58" s="2"/>
      <c r="D58" s="2"/>
      <c r="E58" s="2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2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2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2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2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</row>
    <row r="63" spans="2:17" s="5" customFormat="1" ht="32.1" customHeight="1">
      <c r="B63" s="2"/>
      <c r="C63" s="2"/>
      <c r="D63" s="2"/>
      <c r="E63" s="2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</row>
    <row r="64" spans="2:17" s="5" customFormat="1" ht="32.1" customHeight="1">
      <c r="B64" s="2"/>
      <c r="C64" s="2"/>
      <c r="D64" s="2"/>
      <c r="E64" s="2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E65" s="2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E66" s="2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E67" s="2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E68" s="2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928C-1CBE-433C-A771-6EE0575D53D1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2.88671875" style="3" bestFit="1" customWidth="1"/>
    <col min="5" max="5" width="8.88671875" style="22" hidden="1" customWidth="1"/>
    <col min="6" max="8" width="8.88671875" style="2" hidden="1" customWidth="1"/>
    <col min="9" max="9" width="8.88671875" style="1" customWidth="1"/>
    <col min="10" max="10" width="18" style="1" bestFit="1" customWidth="1"/>
    <col min="11" max="13" width="8.88671875" style="1" hidden="1" customWidth="1"/>
    <col min="14" max="14" width="7.6640625" style="1" customWidth="1"/>
    <col min="15" max="15" width="7.6640625" style="1" hidden="1" customWidth="1"/>
    <col min="16" max="17" width="7.6640625" style="1" customWidth="1"/>
    <col min="18" max="16384" width="13.109375" style="3"/>
  </cols>
  <sheetData>
    <row r="1" spans="2:17" ht="57.75" thickBot="1">
      <c r="B1" s="197" t="s">
        <v>11</v>
      </c>
      <c r="C1" s="178"/>
      <c r="D1" s="178"/>
      <c r="E1" s="178"/>
      <c r="F1" s="178"/>
      <c r="G1" s="178"/>
      <c r="H1" s="178"/>
      <c r="I1" s="178"/>
      <c r="J1" s="178"/>
      <c r="N1" s="196"/>
      <c r="O1" s="196"/>
    </row>
    <row r="2" spans="2:17" ht="29.25" hidden="1" customHeight="1" thickBot="1">
      <c r="B2" s="198"/>
      <c r="C2" s="198"/>
      <c r="D2" s="198"/>
      <c r="E2" s="23"/>
      <c r="F2" s="24"/>
      <c r="G2" s="24"/>
      <c r="H2" s="24"/>
      <c r="I2" s="1" t="s">
        <v>25</v>
      </c>
      <c r="K2" s="1">
        <v>30</v>
      </c>
      <c r="L2" s="1" t="s">
        <v>26</v>
      </c>
    </row>
    <row r="3" spans="2:17" s="4" customFormat="1" ht="36" customHeight="1" thickBot="1">
      <c r="B3" s="141"/>
      <c r="C3" s="142" t="s">
        <v>36</v>
      </c>
      <c r="D3" s="147" t="s">
        <v>4</v>
      </c>
      <c r="E3" s="143" t="s">
        <v>6</v>
      </c>
      <c r="F3" s="144" t="s">
        <v>7</v>
      </c>
      <c r="G3" s="145" t="s">
        <v>8</v>
      </c>
      <c r="H3" s="145" t="s">
        <v>9</v>
      </c>
      <c r="I3" s="146" t="s">
        <v>27</v>
      </c>
      <c r="J3" s="148" t="s">
        <v>31</v>
      </c>
      <c r="K3" s="25" t="s">
        <v>28</v>
      </c>
      <c r="L3" s="25" t="s">
        <v>29</v>
      </c>
      <c r="M3" s="26" t="s">
        <v>30</v>
      </c>
      <c r="N3" s="1"/>
      <c r="O3" s="1"/>
      <c r="P3" s="1"/>
      <c r="Q3" s="1"/>
    </row>
    <row r="4" spans="2:17" ht="36" customHeight="1" thickTop="1">
      <c r="B4" s="194" t="s">
        <v>1</v>
      </c>
      <c r="C4" s="195"/>
      <c r="D4" s="90"/>
      <c r="E4" s="91">
        <v>0.74</v>
      </c>
      <c r="F4" s="92">
        <v>10.5</v>
      </c>
      <c r="G4" s="93">
        <v>20</v>
      </c>
      <c r="H4" s="94"/>
      <c r="I4" s="123"/>
      <c r="J4" s="96"/>
      <c r="K4" s="16"/>
      <c r="L4" s="16"/>
      <c r="M4" s="16"/>
    </row>
    <row r="5" spans="2:17" ht="36" customHeight="1">
      <c r="B5" s="50"/>
      <c r="C5" s="51" t="s">
        <v>32</v>
      </c>
      <c r="D5" s="97">
        <f>B5*2</f>
        <v>0</v>
      </c>
      <c r="E5" s="124">
        <f t="shared" ref="E5:E55" si="0">D5*$E$4</f>
        <v>0</v>
      </c>
      <c r="F5" s="125">
        <f t="shared" ref="F5:F55" si="1">D5*$F$4</f>
        <v>0</v>
      </c>
      <c r="G5" s="125">
        <f t="shared" ref="G5:G55" si="2">D5*$G$4</f>
        <v>0</v>
      </c>
      <c r="H5" s="126">
        <f t="shared" ref="H5:H55" si="3">SUM(E5:G5)</f>
        <v>0</v>
      </c>
      <c r="I5" s="101">
        <f>IF(B5=0,0,2)</f>
        <v>0</v>
      </c>
      <c r="J5" s="100">
        <f t="shared" ref="J5:J36" si="4">SUM(K5:M5)</f>
        <v>0</v>
      </c>
      <c r="K5" s="17">
        <f t="shared" ref="K5:K20" si="5">IF(E5=0,0,E5/$I5)</f>
        <v>0</v>
      </c>
      <c r="L5" s="17">
        <f t="shared" ref="L5:L20" si="6">IF(F5=0,0,F5/$I5)</f>
        <v>0</v>
      </c>
      <c r="M5" s="17">
        <f t="shared" ref="M5:M20" si="7">IF(G5=0,0,G5/$I5)</f>
        <v>0</v>
      </c>
    </row>
    <row r="6" spans="2:17" ht="36" customHeight="1" thickBot="1">
      <c r="B6" s="71"/>
      <c r="C6" s="72" t="s">
        <v>33</v>
      </c>
      <c r="D6" s="102">
        <f>B6*2</f>
        <v>0</v>
      </c>
      <c r="E6" s="103">
        <f t="shared" si="0"/>
        <v>0</v>
      </c>
      <c r="F6" s="104">
        <f t="shared" si="1"/>
        <v>0</v>
      </c>
      <c r="G6" s="104">
        <f t="shared" si="2"/>
        <v>0</v>
      </c>
      <c r="H6" s="105">
        <f t="shared" si="3"/>
        <v>0</v>
      </c>
      <c r="I6" s="127">
        <f>IF(B6=0,0,2)</f>
        <v>0</v>
      </c>
      <c r="J6" s="105">
        <f t="shared" si="4"/>
        <v>0</v>
      </c>
      <c r="K6" s="18">
        <f t="shared" si="5"/>
        <v>0</v>
      </c>
      <c r="L6" s="18">
        <f t="shared" si="6"/>
        <v>0</v>
      </c>
      <c r="M6" s="18">
        <f t="shared" si="7"/>
        <v>0</v>
      </c>
    </row>
    <row r="7" spans="2:17" ht="36" customHeight="1" thickTop="1">
      <c r="B7" s="58"/>
      <c r="C7" s="108"/>
      <c r="D7" s="109"/>
      <c r="E7" s="110">
        <f t="shared" si="0"/>
        <v>0</v>
      </c>
      <c r="F7" s="111">
        <f t="shared" si="1"/>
        <v>0</v>
      </c>
      <c r="G7" s="111">
        <f t="shared" si="2"/>
        <v>0</v>
      </c>
      <c r="H7" s="112">
        <f t="shared" si="3"/>
        <v>0</v>
      </c>
      <c r="I7" s="128">
        <f t="shared" ref="I7:I55" si="8">ROUNDUP((D7/$K$2), 0)</f>
        <v>0</v>
      </c>
      <c r="J7" s="112">
        <f t="shared" si="4"/>
        <v>0</v>
      </c>
      <c r="K7" s="11">
        <f t="shared" si="5"/>
        <v>0</v>
      </c>
      <c r="L7" s="11">
        <f t="shared" si="6"/>
        <v>0</v>
      </c>
      <c r="M7" s="11">
        <f t="shared" si="7"/>
        <v>0</v>
      </c>
    </row>
    <row r="8" spans="2:17" ht="36" customHeight="1">
      <c r="B8" s="58"/>
      <c r="C8" s="108"/>
      <c r="D8" s="115"/>
      <c r="E8" s="110">
        <f t="shared" si="0"/>
        <v>0</v>
      </c>
      <c r="F8" s="111">
        <f t="shared" si="1"/>
        <v>0</v>
      </c>
      <c r="G8" s="111">
        <f t="shared" si="2"/>
        <v>0</v>
      </c>
      <c r="H8" s="112">
        <f t="shared" si="3"/>
        <v>0</v>
      </c>
      <c r="I8" s="128">
        <f t="shared" si="8"/>
        <v>0</v>
      </c>
      <c r="J8" s="126">
        <f t="shared" si="4"/>
        <v>0</v>
      </c>
      <c r="K8" s="27">
        <f t="shared" si="5"/>
        <v>0</v>
      </c>
      <c r="L8" s="27">
        <f t="shared" si="6"/>
        <v>0</v>
      </c>
      <c r="M8" s="27">
        <f t="shared" si="7"/>
        <v>0</v>
      </c>
    </row>
    <row r="9" spans="2:17" ht="36" customHeight="1">
      <c r="B9" s="58"/>
      <c r="C9" s="108"/>
      <c r="D9" s="115"/>
      <c r="E9" s="110">
        <f t="shared" si="0"/>
        <v>0</v>
      </c>
      <c r="F9" s="111">
        <f t="shared" si="1"/>
        <v>0</v>
      </c>
      <c r="G9" s="111">
        <f t="shared" si="2"/>
        <v>0</v>
      </c>
      <c r="H9" s="112">
        <f t="shared" si="3"/>
        <v>0</v>
      </c>
      <c r="I9" s="128">
        <f t="shared" si="8"/>
        <v>0</v>
      </c>
      <c r="J9" s="126">
        <f t="shared" si="4"/>
        <v>0</v>
      </c>
      <c r="K9" s="27">
        <f t="shared" si="5"/>
        <v>0</v>
      </c>
      <c r="L9" s="27">
        <f t="shared" si="6"/>
        <v>0</v>
      </c>
      <c r="M9" s="27">
        <f t="shared" si="7"/>
        <v>0</v>
      </c>
    </row>
    <row r="10" spans="2:17" ht="36" customHeight="1">
      <c r="B10" s="58"/>
      <c r="C10" s="108"/>
      <c r="D10" s="115"/>
      <c r="E10" s="110">
        <f t="shared" si="0"/>
        <v>0</v>
      </c>
      <c r="F10" s="111">
        <f t="shared" si="1"/>
        <v>0</v>
      </c>
      <c r="G10" s="111">
        <f t="shared" si="2"/>
        <v>0</v>
      </c>
      <c r="H10" s="112">
        <f t="shared" si="3"/>
        <v>0</v>
      </c>
      <c r="I10" s="128">
        <f t="shared" si="8"/>
        <v>0</v>
      </c>
      <c r="J10" s="126">
        <f t="shared" si="4"/>
        <v>0</v>
      </c>
      <c r="K10" s="27">
        <f t="shared" si="5"/>
        <v>0</v>
      </c>
      <c r="L10" s="27">
        <f t="shared" si="6"/>
        <v>0</v>
      </c>
      <c r="M10" s="27">
        <f t="shared" si="7"/>
        <v>0</v>
      </c>
    </row>
    <row r="11" spans="2:17" ht="36" customHeight="1">
      <c r="B11" s="58"/>
      <c r="C11" s="108"/>
      <c r="D11" s="115"/>
      <c r="E11" s="110">
        <f t="shared" si="0"/>
        <v>0</v>
      </c>
      <c r="F11" s="111">
        <f t="shared" si="1"/>
        <v>0</v>
      </c>
      <c r="G11" s="111">
        <f t="shared" si="2"/>
        <v>0</v>
      </c>
      <c r="H11" s="112">
        <f t="shared" si="3"/>
        <v>0</v>
      </c>
      <c r="I11" s="128">
        <f t="shared" si="8"/>
        <v>0</v>
      </c>
      <c r="J11" s="126">
        <f t="shared" si="4"/>
        <v>0</v>
      </c>
      <c r="K11" s="27">
        <f t="shared" si="5"/>
        <v>0</v>
      </c>
      <c r="L11" s="27">
        <f t="shared" si="6"/>
        <v>0</v>
      </c>
      <c r="M11" s="27">
        <f t="shared" si="7"/>
        <v>0</v>
      </c>
    </row>
    <row r="12" spans="2:17" ht="36" customHeight="1">
      <c r="B12" s="58"/>
      <c r="C12" s="108"/>
      <c r="D12" s="115"/>
      <c r="E12" s="110">
        <f t="shared" si="0"/>
        <v>0</v>
      </c>
      <c r="F12" s="111">
        <f t="shared" si="1"/>
        <v>0</v>
      </c>
      <c r="G12" s="111">
        <f t="shared" si="2"/>
        <v>0</v>
      </c>
      <c r="H12" s="112">
        <f t="shared" si="3"/>
        <v>0</v>
      </c>
      <c r="I12" s="128">
        <f t="shared" si="8"/>
        <v>0</v>
      </c>
      <c r="J12" s="126">
        <f t="shared" si="4"/>
        <v>0</v>
      </c>
      <c r="K12" s="27">
        <f t="shared" si="5"/>
        <v>0</v>
      </c>
      <c r="L12" s="27">
        <f t="shared" si="6"/>
        <v>0</v>
      </c>
      <c r="M12" s="27">
        <f t="shared" si="7"/>
        <v>0</v>
      </c>
    </row>
    <row r="13" spans="2:17" ht="36" customHeight="1">
      <c r="B13" s="58"/>
      <c r="C13" s="108"/>
      <c r="D13" s="115"/>
      <c r="E13" s="110">
        <f t="shared" si="0"/>
        <v>0</v>
      </c>
      <c r="F13" s="111">
        <f t="shared" si="1"/>
        <v>0</v>
      </c>
      <c r="G13" s="111">
        <f t="shared" si="2"/>
        <v>0</v>
      </c>
      <c r="H13" s="112">
        <f t="shared" si="3"/>
        <v>0</v>
      </c>
      <c r="I13" s="128">
        <f t="shared" si="8"/>
        <v>0</v>
      </c>
      <c r="J13" s="126">
        <f t="shared" si="4"/>
        <v>0</v>
      </c>
      <c r="K13" s="27">
        <f t="shared" si="5"/>
        <v>0</v>
      </c>
      <c r="L13" s="27">
        <f t="shared" si="6"/>
        <v>0</v>
      </c>
      <c r="M13" s="27">
        <f t="shared" si="7"/>
        <v>0</v>
      </c>
    </row>
    <row r="14" spans="2:17" ht="36" customHeight="1">
      <c r="B14" s="58"/>
      <c r="C14" s="108"/>
      <c r="D14" s="115"/>
      <c r="E14" s="110">
        <f t="shared" si="0"/>
        <v>0</v>
      </c>
      <c r="F14" s="111">
        <f t="shared" si="1"/>
        <v>0</v>
      </c>
      <c r="G14" s="111">
        <f t="shared" si="2"/>
        <v>0</v>
      </c>
      <c r="H14" s="112">
        <f t="shared" si="3"/>
        <v>0</v>
      </c>
      <c r="I14" s="128">
        <f t="shared" si="8"/>
        <v>0</v>
      </c>
      <c r="J14" s="126">
        <f t="shared" si="4"/>
        <v>0</v>
      </c>
      <c r="K14" s="27">
        <f t="shared" si="5"/>
        <v>0</v>
      </c>
      <c r="L14" s="27">
        <f t="shared" si="6"/>
        <v>0</v>
      </c>
      <c r="M14" s="27">
        <f t="shared" si="7"/>
        <v>0</v>
      </c>
    </row>
    <row r="15" spans="2:17" ht="36" customHeight="1">
      <c r="B15" s="58"/>
      <c r="C15" s="108"/>
      <c r="D15" s="115"/>
      <c r="E15" s="110">
        <f t="shared" si="0"/>
        <v>0</v>
      </c>
      <c r="F15" s="111">
        <f t="shared" si="1"/>
        <v>0</v>
      </c>
      <c r="G15" s="111">
        <f t="shared" si="2"/>
        <v>0</v>
      </c>
      <c r="H15" s="112">
        <f t="shared" si="3"/>
        <v>0</v>
      </c>
      <c r="I15" s="128">
        <f t="shared" si="8"/>
        <v>0</v>
      </c>
      <c r="J15" s="126">
        <f t="shared" si="4"/>
        <v>0</v>
      </c>
      <c r="K15" s="27">
        <f t="shared" si="5"/>
        <v>0</v>
      </c>
      <c r="L15" s="27">
        <f t="shared" si="6"/>
        <v>0</v>
      </c>
      <c r="M15" s="27">
        <f t="shared" si="7"/>
        <v>0</v>
      </c>
    </row>
    <row r="16" spans="2:17" ht="36" customHeight="1">
      <c r="B16" s="58"/>
      <c r="C16" s="108"/>
      <c r="D16" s="115"/>
      <c r="E16" s="110">
        <f t="shared" si="0"/>
        <v>0</v>
      </c>
      <c r="F16" s="111">
        <f t="shared" si="1"/>
        <v>0</v>
      </c>
      <c r="G16" s="111">
        <f t="shared" si="2"/>
        <v>0</v>
      </c>
      <c r="H16" s="112">
        <f t="shared" si="3"/>
        <v>0</v>
      </c>
      <c r="I16" s="128">
        <f t="shared" si="8"/>
        <v>0</v>
      </c>
      <c r="J16" s="126">
        <f t="shared" si="4"/>
        <v>0</v>
      </c>
      <c r="K16" s="27">
        <f t="shared" si="5"/>
        <v>0</v>
      </c>
      <c r="L16" s="27">
        <f t="shared" si="6"/>
        <v>0</v>
      </c>
      <c r="M16" s="27">
        <f t="shared" si="7"/>
        <v>0</v>
      </c>
    </row>
    <row r="17" spans="2:13" ht="36" customHeight="1">
      <c r="B17" s="58"/>
      <c r="C17" s="108"/>
      <c r="D17" s="115"/>
      <c r="E17" s="110">
        <f t="shared" si="0"/>
        <v>0</v>
      </c>
      <c r="F17" s="111">
        <f t="shared" si="1"/>
        <v>0</v>
      </c>
      <c r="G17" s="111">
        <f t="shared" si="2"/>
        <v>0</v>
      </c>
      <c r="H17" s="112">
        <f t="shared" si="3"/>
        <v>0</v>
      </c>
      <c r="I17" s="128">
        <f t="shared" si="8"/>
        <v>0</v>
      </c>
      <c r="J17" s="126">
        <f t="shared" si="4"/>
        <v>0</v>
      </c>
      <c r="K17" s="27">
        <f t="shared" si="5"/>
        <v>0</v>
      </c>
      <c r="L17" s="27">
        <f t="shared" si="6"/>
        <v>0</v>
      </c>
      <c r="M17" s="27">
        <f t="shared" si="7"/>
        <v>0</v>
      </c>
    </row>
    <row r="18" spans="2:13" ht="36" customHeight="1">
      <c r="B18" s="58"/>
      <c r="C18" s="108"/>
      <c r="D18" s="115"/>
      <c r="E18" s="110">
        <f t="shared" si="0"/>
        <v>0</v>
      </c>
      <c r="F18" s="111">
        <f t="shared" si="1"/>
        <v>0</v>
      </c>
      <c r="G18" s="111">
        <f t="shared" si="2"/>
        <v>0</v>
      </c>
      <c r="H18" s="112">
        <f t="shared" si="3"/>
        <v>0</v>
      </c>
      <c r="I18" s="128">
        <f t="shared" si="8"/>
        <v>0</v>
      </c>
      <c r="J18" s="126">
        <f t="shared" si="4"/>
        <v>0</v>
      </c>
      <c r="K18" s="27">
        <f t="shared" si="5"/>
        <v>0</v>
      </c>
      <c r="L18" s="27">
        <f t="shared" si="6"/>
        <v>0</v>
      </c>
      <c r="M18" s="27">
        <f t="shared" si="7"/>
        <v>0</v>
      </c>
    </row>
    <row r="19" spans="2:13" ht="36" customHeight="1">
      <c r="B19" s="58"/>
      <c r="C19" s="108"/>
      <c r="D19" s="115"/>
      <c r="E19" s="110">
        <f t="shared" si="0"/>
        <v>0</v>
      </c>
      <c r="F19" s="111">
        <f t="shared" si="1"/>
        <v>0</v>
      </c>
      <c r="G19" s="111">
        <f t="shared" si="2"/>
        <v>0</v>
      </c>
      <c r="H19" s="112">
        <f t="shared" si="3"/>
        <v>0</v>
      </c>
      <c r="I19" s="128">
        <f t="shared" si="8"/>
        <v>0</v>
      </c>
      <c r="J19" s="126">
        <f t="shared" si="4"/>
        <v>0</v>
      </c>
      <c r="K19" s="27">
        <f t="shared" si="5"/>
        <v>0</v>
      </c>
      <c r="L19" s="27">
        <f t="shared" si="6"/>
        <v>0</v>
      </c>
      <c r="M19" s="27">
        <f t="shared" si="7"/>
        <v>0</v>
      </c>
    </row>
    <row r="20" spans="2:13" ht="36" customHeight="1">
      <c r="B20" s="58"/>
      <c r="C20" s="108"/>
      <c r="D20" s="115"/>
      <c r="E20" s="110">
        <f t="shared" si="0"/>
        <v>0</v>
      </c>
      <c r="F20" s="111">
        <f t="shared" si="1"/>
        <v>0</v>
      </c>
      <c r="G20" s="111">
        <f t="shared" si="2"/>
        <v>0</v>
      </c>
      <c r="H20" s="112">
        <f t="shared" si="3"/>
        <v>0</v>
      </c>
      <c r="I20" s="128">
        <f t="shared" si="8"/>
        <v>0</v>
      </c>
      <c r="J20" s="126">
        <f t="shared" si="4"/>
        <v>0</v>
      </c>
      <c r="K20" s="27">
        <f t="shared" si="5"/>
        <v>0</v>
      </c>
      <c r="L20" s="27">
        <f t="shared" si="6"/>
        <v>0</v>
      </c>
      <c r="M20" s="27">
        <f t="shared" si="7"/>
        <v>0</v>
      </c>
    </row>
    <row r="21" spans="2:13" ht="36" customHeight="1">
      <c r="B21" s="58"/>
      <c r="C21" s="108"/>
      <c r="D21" s="115"/>
      <c r="E21" s="110">
        <f t="shared" si="0"/>
        <v>0</v>
      </c>
      <c r="F21" s="111">
        <f t="shared" si="1"/>
        <v>0</v>
      </c>
      <c r="G21" s="111">
        <f t="shared" si="2"/>
        <v>0</v>
      </c>
      <c r="H21" s="112">
        <f t="shared" si="3"/>
        <v>0</v>
      </c>
      <c r="I21" s="128">
        <f t="shared" si="8"/>
        <v>0</v>
      </c>
      <c r="J21" s="126">
        <f t="shared" si="4"/>
        <v>0</v>
      </c>
      <c r="K21" s="27">
        <f t="shared" ref="K21:M55" si="9">IF(E21=0,0,E21/$I21)</f>
        <v>0</v>
      </c>
      <c r="L21" s="27">
        <f t="shared" si="9"/>
        <v>0</v>
      </c>
      <c r="M21" s="27">
        <f t="shared" si="9"/>
        <v>0</v>
      </c>
    </row>
    <row r="22" spans="2:13" ht="36" customHeight="1">
      <c r="B22" s="58"/>
      <c r="C22" s="108"/>
      <c r="D22" s="115"/>
      <c r="E22" s="110">
        <f t="shared" si="0"/>
        <v>0</v>
      </c>
      <c r="F22" s="111">
        <f t="shared" si="1"/>
        <v>0</v>
      </c>
      <c r="G22" s="111">
        <f t="shared" si="2"/>
        <v>0</v>
      </c>
      <c r="H22" s="112">
        <f t="shared" si="3"/>
        <v>0</v>
      </c>
      <c r="I22" s="128">
        <f t="shared" si="8"/>
        <v>0</v>
      </c>
      <c r="J22" s="126">
        <f t="shared" si="4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</row>
    <row r="23" spans="2:13" ht="36" customHeight="1">
      <c r="B23" s="58"/>
      <c r="C23" s="108"/>
      <c r="D23" s="115"/>
      <c r="E23" s="110">
        <f t="shared" si="0"/>
        <v>0</v>
      </c>
      <c r="F23" s="111">
        <f t="shared" si="1"/>
        <v>0</v>
      </c>
      <c r="G23" s="111">
        <f t="shared" si="2"/>
        <v>0</v>
      </c>
      <c r="H23" s="112">
        <f t="shared" si="3"/>
        <v>0</v>
      </c>
      <c r="I23" s="128">
        <f t="shared" si="8"/>
        <v>0</v>
      </c>
      <c r="J23" s="126">
        <f t="shared" si="4"/>
        <v>0</v>
      </c>
      <c r="K23" s="27">
        <f t="shared" si="9"/>
        <v>0</v>
      </c>
      <c r="L23" s="27">
        <f t="shared" si="9"/>
        <v>0</v>
      </c>
      <c r="M23" s="27">
        <f t="shared" si="9"/>
        <v>0</v>
      </c>
    </row>
    <row r="24" spans="2:13" ht="36" customHeight="1">
      <c r="B24" s="58"/>
      <c r="C24" s="108"/>
      <c r="D24" s="115"/>
      <c r="E24" s="110">
        <f t="shared" si="0"/>
        <v>0</v>
      </c>
      <c r="F24" s="111">
        <f t="shared" si="1"/>
        <v>0</v>
      </c>
      <c r="G24" s="111">
        <f t="shared" si="2"/>
        <v>0</v>
      </c>
      <c r="H24" s="112">
        <f t="shared" si="3"/>
        <v>0</v>
      </c>
      <c r="I24" s="128">
        <f t="shared" si="8"/>
        <v>0</v>
      </c>
      <c r="J24" s="126">
        <f t="shared" si="4"/>
        <v>0</v>
      </c>
      <c r="K24" s="27">
        <f t="shared" si="9"/>
        <v>0</v>
      </c>
      <c r="L24" s="27">
        <f t="shared" si="9"/>
        <v>0</v>
      </c>
      <c r="M24" s="27">
        <f t="shared" si="9"/>
        <v>0</v>
      </c>
    </row>
    <row r="25" spans="2:13" ht="36" customHeight="1">
      <c r="B25" s="58"/>
      <c r="C25" s="108"/>
      <c r="D25" s="115"/>
      <c r="E25" s="110">
        <f t="shared" si="0"/>
        <v>0</v>
      </c>
      <c r="F25" s="111">
        <f t="shared" si="1"/>
        <v>0</v>
      </c>
      <c r="G25" s="111">
        <f t="shared" si="2"/>
        <v>0</v>
      </c>
      <c r="H25" s="112">
        <f t="shared" si="3"/>
        <v>0</v>
      </c>
      <c r="I25" s="128">
        <f t="shared" si="8"/>
        <v>0</v>
      </c>
      <c r="J25" s="126">
        <f t="shared" si="4"/>
        <v>0</v>
      </c>
      <c r="K25" s="27">
        <f t="shared" si="9"/>
        <v>0</v>
      </c>
      <c r="L25" s="27">
        <f t="shared" si="9"/>
        <v>0</v>
      </c>
      <c r="M25" s="27">
        <f t="shared" si="9"/>
        <v>0</v>
      </c>
    </row>
    <row r="26" spans="2:13" ht="36" customHeight="1">
      <c r="B26" s="58"/>
      <c r="C26" s="108"/>
      <c r="D26" s="115"/>
      <c r="E26" s="110">
        <f t="shared" si="0"/>
        <v>0</v>
      </c>
      <c r="F26" s="111">
        <f t="shared" si="1"/>
        <v>0</v>
      </c>
      <c r="G26" s="111">
        <f t="shared" si="2"/>
        <v>0</v>
      </c>
      <c r="H26" s="112">
        <f t="shared" si="3"/>
        <v>0</v>
      </c>
      <c r="I26" s="128">
        <f t="shared" si="8"/>
        <v>0</v>
      </c>
      <c r="J26" s="126">
        <f t="shared" si="4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</row>
    <row r="27" spans="2:13" ht="36" hidden="1" customHeight="1">
      <c r="B27" s="58"/>
      <c r="C27" s="108"/>
      <c r="D27" s="115"/>
      <c r="E27" s="110">
        <f t="shared" si="0"/>
        <v>0</v>
      </c>
      <c r="F27" s="111">
        <f t="shared" si="1"/>
        <v>0</v>
      </c>
      <c r="G27" s="111">
        <f t="shared" si="2"/>
        <v>0</v>
      </c>
      <c r="H27" s="112">
        <f t="shared" si="3"/>
        <v>0</v>
      </c>
      <c r="I27" s="128">
        <f t="shared" si="8"/>
        <v>0</v>
      </c>
      <c r="J27" s="126">
        <f t="shared" si="4"/>
        <v>0</v>
      </c>
      <c r="K27" s="27">
        <f t="shared" si="9"/>
        <v>0</v>
      </c>
      <c r="L27" s="27">
        <f t="shared" si="9"/>
        <v>0</v>
      </c>
      <c r="M27" s="27">
        <f t="shared" si="9"/>
        <v>0</v>
      </c>
    </row>
    <row r="28" spans="2:13" ht="36" hidden="1" customHeight="1">
      <c r="B28" s="58"/>
      <c r="C28" s="108"/>
      <c r="D28" s="115"/>
      <c r="E28" s="110">
        <f t="shared" si="0"/>
        <v>0</v>
      </c>
      <c r="F28" s="111">
        <f t="shared" si="1"/>
        <v>0</v>
      </c>
      <c r="G28" s="111">
        <f t="shared" si="2"/>
        <v>0</v>
      </c>
      <c r="H28" s="112">
        <f t="shared" si="3"/>
        <v>0</v>
      </c>
      <c r="I28" s="113">
        <f t="shared" si="8"/>
        <v>0</v>
      </c>
      <c r="J28" s="100">
        <f t="shared" si="4"/>
        <v>0</v>
      </c>
      <c r="K28" s="17">
        <f t="shared" si="9"/>
        <v>0</v>
      </c>
      <c r="L28" s="17">
        <f t="shared" si="9"/>
        <v>0</v>
      </c>
      <c r="M28" s="17">
        <f t="shared" si="9"/>
        <v>0</v>
      </c>
    </row>
    <row r="29" spans="2:13" ht="36" hidden="1" customHeight="1">
      <c r="B29" s="58"/>
      <c r="C29" s="108"/>
      <c r="D29" s="115"/>
      <c r="E29" s="110">
        <f t="shared" si="0"/>
        <v>0</v>
      </c>
      <c r="F29" s="111">
        <f t="shared" si="1"/>
        <v>0</v>
      </c>
      <c r="G29" s="111">
        <f t="shared" si="2"/>
        <v>0</v>
      </c>
      <c r="H29" s="112">
        <f t="shared" si="3"/>
        <v>0</v>
      </c>
      <c r="I29" s="113">
        <f t="shared" si="8"/>
        <v>0</v>
      </c>
      <c r="J29" s="100">
        <f t="shared" si="4"/>
        <v>0</v>
      </c>
      <c r="K29" s="17">
        <f t="shared" si="9"/>
        <v>0</v>
      </c>
      <c r="L29" s="17">
        <f t="shared" si="9"/>
        <v>0</v>
      </c>
      <c r="M29" s="17">
        <f t="shared" si="9"/>
        <v>0</v>
      </c>
    </row>
    <row r="30" spans="2:13" ht="36" hidden="1" customHeight="1">
      <c r="B30" s="58"/>
      <c r="C30" s="108"/>
      <c r="D30" s="115"/>
      <c r="E30" s="110">
        <f t="shared" si="0"/>
        <v>0</v>
      </c>
      <c r="F30" s="111">
        <f t="shared" si="1"/>
        <v>0</v>
      </c>
      <c r="G30" s="111">
        <f t="shared" si="2"/>
        <v>0</v>
      </c>
      <c r="H30" s="112">
        <f t="shared" si="3"/>
        <v>0</v>
      </c>
      <c r="I30" s="113">
        <f t="shared" si="8"/>
        <v>0</v>
      </c>
      <c r="J30" s="100">
        <f t="shared" si="4"/>
        <v>0</v>
      </c>
      <c r="K30" s="17">
        <f t="shared" si="9"/>
        <v>0</v>
      </c>
      <c r="L30" s="17">
        <f t="shared" si="9"/>
        <v>0</v>
      </c>
      <c r="M30" s="17">
        <f t="shared" si="9"/>
        <v>0</v>
      </c>
    </row>
    <row r="31" spans="2:13" ht="36" hidden="1" customHeight="1">
      <c r="B31" s="58"/>
      <c r="C31" s="108"/>
      <c r="D31" s="115"/>
      <c r="E31" s="110">
        <f t="shared" si="0"/>
        <v>0</v>
      </c>
      <c r="F31" s="111">
        <f t="shared" si="1"/>
        <v>0</v>
      </c>
      <c r="G31" s="111">
        <f t="shared" si="2"/>
        <v>0</v>
      </c>
      <c r="H31" s="112">
        <f t="shared" si="3"/>
        <v>0</v>
      </c>
      <c r="I31" s="113">
        <f t="shared" si="8"/>
        <v>0</v>
      </c>
      <c r="J31" s="100">
        <f t="shared" si="4"/>
        <v>0</v>
      </c>
      <c r="K31" s="17">
        <f t="shared" si="9"/>
        <v>0</v>
      </c>
      <c r="L31" s="17">
        <f t="shared" si="9"/>
        <v>0</v>
      </c>
      <c r="M31" s="17">
        <f t="shared" si="9"/>
        <v>0</v>
      </c>
    </row>
    <row r="32" spans="2:13" ht="36" hidden="1" customHeight="1">
      <c r="B32" s="58"/>
      <c r="C32" s="108"/>
      <c r="D32" s="115"/>
      <c r="E32" s="110">
        <f t="shared" si="0"/>
        <v>0</v>
      </c>
      <c r="F32" s="111">
        <f t="shared" si="1"/>
        <v>0</v>
      </c>
      <c r="G32" s="111">
        <f t="shared" si="2"/>
        <v>0</v>
      </c>
      <c r="H32" s="112">
        <f t="shared" si="3"/>
        <v>0</v>
      </c>
      <c r="I32" s="113">
        <f t="shared" si="8"/>
        <v>0</v>
      </c>
      <c r="J32" s="100">
        <f t="shared" si="4"/>
        <v>0</v>
      </c>
      <c r="K32" s="17">
        <f t="shared" si="9"/>
        <v>0</v>
      </c>
      <c r="L32" s="17">
        <f t="shared" si="9"/>
        <v>0</v>
      </c>
      <c r="M32" s="17">
        <f t="shared" si="9"/>
        <v>0</v>
      </c>
    </row>
    <row r="33" spans="2:13" ht="36" hidden="1" customHeight="1">
      <c r="B33" s="58"/>
      <c r="C33" s="108"/>
      <c r="D33" s="115"/>
      <c r="E33" s="110">
        <f t="shared" si="0"/>
        <v>0</v>
      </c>
      <c r="F33" s="111">
        <f t="shared" si="1"/>
        <v>0</v>
      </c>
      <c r="G33" s="111">
        <f t="shared" si="2"/>
        <v>0</v>
      </c>
      <c r="H33" s="112">
        <f t="shared" si="3"/>
        <v>0</v>
      </c>
      <c r="I33" s="113">
        <f t="shared" si="8"/>
        <v>0</v>
      </c>
      <c r="J33" s="100">
        <f t="shared" si="4"/>
        <v>0</v>
      </c>
      <c r="K33" s="17">
        <f t="shared" si="9"/>
        <v>0</v>
      </c>
      <c r="L33" s="17">
        <f t="shared" si="9"/>
        <v>0</v>
      </c>
      <c r="M33" s="17">
        <f t="shared" si="9"/>
        <v>0</v>
      </c>
    </row>
    <row r="34" spans="2:13" ht="36" hidden="1" customHeight="1">
      <c r="B34" s="58"/>
      <c r="C34" s="108"/>
      <c r="D34" s="115"/>
      <c r="E34" s="110">
        <f t="shared" si="0"/>
        <v>0</v>
      </c>
      <c r="F34" s="111">
        <f t="shared" si="1"/>
        <v>0</v>
      </c>
      <c r="G34" s="111">
        <f t="shared" si="2"/>
        <v>0</v>
      </c>
      <c r="H34" s="112">
        <f t="shared" si="3"/>
        <v>0</v>
      </c>
      <c r="I34" s="113">
        <f t="shared" si="8"/>
        <v>0</v>
      </c>
      <c r="J34" s="100">
        <f t="shared" si="4"/>
        <v>0</v>
      </c>
      <c r="K34" s="17">
        <f t="shared" si="9"/>
        <v>0</v>
      </c>
      <c r="L34" s="17">
        <f t="shared" si="9"/>
        <v>0</v>
      </c>
      <c r="M34" s="17">
        <f t="shared" si="9"/>
        <v>0</v>
      </c>
    </row>
    <row r="35" spans="2:13" ht="36" hidden="1" customHeight="1">
      <c r="B35" s="58"/>
      <c r="C35" s="108"/>
      <c r="D35" s="115"/>
      <c r="E35" s="110">
        <f t="shared" si="0"/>
        <v>0</v>
      </c>
      <c r="F35" s="111">
        <f t="shared" si="1"/>
        <v>0</v>
      </c>
      <c r="G35" s="111">
        <f t="shared" si="2"/>
        <v>0</v>
      </c>
      <c r="H35" s="112">
        <f t="shared" si="3"/>
        <v>0</v>
      </c>
      <c r="I35" s="113">
        <f t="shared" si="8"/>
        <v>0</v>
      </c>
      <c r="J35" s="100">
        <f t="shared" si="4"/>
        <v>0</v>
      </c>
      <c r="K35" s="17">
        <f t="shared" si="9"/>
        <v>0</v>
      </c>
      <c r="L35" s="17">
        <f t="shared" si="9"/>
        <v>0</v>
      </c>
      <c r="M35" s="17">
        <f t="shared" si="9"/>
        <v>0</v>
      </c>
    </row>
    <row r="36" spans="2:13" ht="36" hidden="1" customHeight="1">
      <c r="B36" s="58"/>
      <c r="C36" s="108"/>
      <c r="D36" s="115"/>
      <c r="E36" s="110">
        <f t="shared" si="0"/>
        <v>0</v>
      </c>
      <c r="F36" s="111">
        <f t="shared" si="1"/>
        <v>0</v>
      </c>
      <c r="G36" s="111">
        <f t="shared" si="2"/>
        <v>0</v>
      </c>
      <c r="H36" s="112">
        <f t="shared" si="3"/>
        <v>0</v>
      </c>
      <c r="I36" s="113">
        <f t="shared" si="8"/>
        <v>0</v>
      </c>
      <c r="J36" s="100">
        <f t="shared" si="4"/>
        <v>0</v>
      </c>
      <c r="K36" s="17">
        <f t="shared" si="9"/>
        <v>0</v>
      </c>
      <c r="L36" s="17">
        <f t="shared" si="9"/>
        <v>0</v>
      </c>
      <c r="M36" s="17">
        <f t="shared" si="9"/>
        <v>0</v>
      </c>
    </row>
    <row r="37" spans="2:13" ht="36" hidden="1" customHeight="1">
      <c r="B37" s="58"/>
      <c r="C37" s="108"/>
      <c r="D37" s="115"/>
      <c r="E37" s="110">
        <f t="shared" si="0"/>
        <v>0</v>
      </c>
      <c r="F37" s="111">
        <f t="shared" si="1"/>
        <v>0</v>
      </c>
      <c r="G37" s="111">
        <f t="shared" si="2"/>
        <v>0</v>
      </c>
      <c r="H37" s="112">
        <f t="shared" si="3"/>
        <v>0</v>
      </c>
      <c r="I37" s="113">
        <f t="shared" si="8"/>
        <v>0</v>
      </c>
      <c r="J37" s="100">
        <f t="shared" ref="J37:J55" si="10">SUM(K37:M37)</f>
        <v>0</v>
      </c>
      <c r="K37" s="17">
        <f t="shared" si="9"/>
        <v>0</v>
      </c>
      <c r="L37" s="17">
        <f t="shared" si="9"/>
        <v>0</v>
      </c>
      <c r="M37" s="17">
        <f t="shared" si="9"/>
        <v>0</v>
      </c>
    </row>
    <row r="38" spans="2:13" ht="36" hidden="1" customHeight="1">
      <c r="B38" s="58"/>
      <c r="C38" s="108"/>
      <c r="D38" s="115"/>
      <c r="E38" s="110">
        <f t="shared" si="0"/>
        <v>0</v>
      </c>
      <c r="F38" s="111">
        <f t="shared" si="1"/>
        <v>0</v>
      </c>
      <c r="G38" s="111">
        <f t="shared" si="2"/>
        <v>0</v>
      </c>
      <c r="H38" s="112">
        <f t="shared" si="3"/>
        <v>0</v>
      </c>
      <c r="I38" s="113">
        <f t="shared" si="8"/>
        <v>0</v>
      </c>
      <c r="J38" s="100">
        <f t="shared" si="10"/>
        <v>0</v>
      </c>
      <c r="K38" s="17">
        <f t="shared" si="9"/>
        <v>0</v>
      </c>
      <c r="L38" s="17">
        <f t="shared" si="9"/>
        <v>0</v>
      </c>
      <c r="M38" s="17">
        <f t="shared" si="9"/>
        <v>0</v>
      </c>
    </row>
    <row r="39" spans="2:13" ht="36" hidden="1" customHeight="1">
      <c r="B39" s="58"/>
      <c r="C39" s="108"/>
      <c r="D39" s="115"/>
      <c r="E39" s="110">
        <f t="shared" si="0"/>
        <v>0</v>
      </c>
      <c r="F39" s="111">
        <f t="shared" si="1"/>
        <v>0</v>
      </c>
      <c r="G39" s="111">
        <f t="shared" si="2"/>
        <v>0</v>
      </c>
      <c r="H39" s="112">
        <f t="shared" si="3"/>
        <v>0</v>
      </c>
      <c r="I39" s="113">
        <f t="shared" si="8"/>
        <v>0</v>
      </c>
      <c r="J39" s="100">
        <f t="shared" si="10"/>
        <v>0</v>
      </c>
      <c r="K39" s="17">
        <f t="shared" si="9"/>
        <v>0</v>
      </c>
      <c r="L39" s="17">
        <f t="shared" si="9"/>
        <v>0</v>
      </c>
      <c r="M39" s="17">
        <f t="shared" si="9"/>
        <v>0</v>
      </c>
    </row>
    <row r="40" spans="2:13" ht="36" hidden="1" customHeight="1">
      <c r="B40" s="58"/>
      <c r="C40" s="108"/>
      <c r="D40" s="115"/>
      <c r="E40" s="110">
        <f t="shared" si="0"/>
        <v>0</v>
      </c>
      <c r="F40" s="111">
        <f t="shared" si="1"/>
        <v>0</v>
      </c>
      <c r="G40" s="111">
        <f t="shared" si="2"/>
        <v>0</v>
      </c>
      <c r="H40" s="112">
        <f t="shared" si="3"/>
        <v>0</v>
      </c>
      <c r="I40" s="113">
        <f t="shared" si="8"/>
        <v>0</v>
      </c>
      <c r="J40" s="100">
        <f t="shared" si="10"/>
        <v>0</v>
      </c>
      <c r="K40" s="17">
        <f t="shared" si="9"/>
        <v>0</v>
      </c>
      <c r="L40" s="17">
        <f t="shared" si="9"/>
        <v>0</v>
      </c>
      <c r="M40" s="17">
        <f t="shared" si="9"/>
        <v>0</v>
      </c>
    </row>
    <row r="41" spans="2:13" ht="36" hidden="1" customHeight="1">
      <c r="B41" s="58"/>
      <c r="C41" s="108"/>
      <c r="D41" s="115"/>
      <c r="E41" s="110">
        <f t="shared" si="0"/>
        <v>0</v>
      </c>
      <c r="F41" s="111">
        <f t="shared" si="1"/>
        <v>0</v>
      </c>
      <c r="G41" s="111">
        <f t="shared" si="2"/>
        <v>0</v>
      </c>
      <c r="H41" s="112">
        <f t="shared" si="3"/>
        <v>0</v>
      </c>
      <c r="I41" s="113">
        <f t="shared" si="8"/>
        <v>0</v>
      </c>
      <c r="J41" s="100">
        <f t="shared" si="10"/>
        <v>0</v>
      </c>
      <c r="K41" s="17">
        <f t="shared" si="9"/>
        <v>0</v>
      </c>
      <c r="L41" s="17">
        <f t="shared" si="9"/>
        <v>0</v>
      </c>
      <c r="M41" s="17">
        <f t="shared" si="9"/>
        <v>0</v>
      </c>
    </row>
    <row r="42" spans="2:13" ht="36" hidden="1" customHeight="1">
      <c r="B42" s="58"/>
      <c r="C42" s="108"/>
      <c r="D42" s="115"/>
      <c r="E42" s="110">
        <f t="shared" si="0"/>
        <v>0</v>
      </c>
      <c r="F42" s="111">
        <f t="shared" si="1"/>
        <v>0</v>
      </c>
      <c r="G42" s="111">
        <f t="shared" si="2"/>
        <v>0</v>
      </c>
      <c r="H42" s="112">
        <f t="shared" si="3"/>
        <v>0</v>
      </c>
      <c r="I42" s="113">
        <f t="shared" si="8"/>
        <v>0</v>
      </c>
      <c r="J42" s="100">
        <f t="shared" si="10"/>
        <v>0</v>
      </c>
      <c r="K42" s="17">
        <f t="shared" si="9"/>
        <v>0</v>
      </c>
      <c r="L42" s="17">
        <f t="shared" si="9"/>
        <v>0</v>
      </c>
      <c r="M42" s="17">
        <f t="shared" si="9"/>
        <v>0</v>
      </c>
    </row>
    <row r="43" spans="2:13" ht="36" hidden="1" customHeight="1">
      <c r="B43" s="58"/>
      <c r="C43" s="108"/>
      <c r="D43" s="115"/>
      <c r="E43" s="110">
        <f t="shared" si="0"/>
        <v>0</v>
      </c>
      <c r="F43" s="111">
        <f t="shared" si="1"/>
        <v>0</v>
      </c>
      <c r="G43" s="111">
        <f t="shared" si="2"/>
        <v>0</v>
      </c>
      <c r="H43" s="112">
        <f t="shared" si="3"/>
        <v>0</v>
      </c>
      <c r="I43" s="113">
        <f t="shared" si="8"/>
        <v>0</v>
      </c>
      <c r="J43" s="100">
        <f t="shared" si="10"/>
        <v>0</v>
      </c>
      <c r="K43" s="17">
        <f t="shared" si="9"/>
        <v>0</v>
      </c>
      <c r="L43" s="17">
        <f t="shared" si="9"/>
        <v>0</v>
      </c>
      <c r="M43" s="17">
        <f t="shared" si="9"/>
        <v>0</v>
      </c>
    </row>
    <row r="44" spans="2:13" ht="36" hidden="1" customHeight="1">
      <c r="B44" s="58"/>
      <c r="C44" s="108"/>
      <c r="D44" s="115"/>
      <c r="E44" s="110">
        <f t="shared" si="0"/>
        <v>0</v>
      </c>
      <c r="F44" s="111">
        <f t="shared" si="1"/>
        <v>0</v>
      </c>
      <c r="G44" s="111">
        <f t="shared" si="2"/>
        <v>0</v>
      </c>
      <c r="H44" s="112">
        <f t="shared" si="3"/>
        <v>0</v>
      </c>
      <c r="I44" s="113">
        <f t="shared" si="8"/>
        <v>0</v>
      </c>
      <c r="J44" s="100">
        <f t="shared" si="10"/>
        <v>0</v>
      </c>
      <c r="K44" s="17">
        <f t="shared" si="9"/>
        <v>0</v>
      </c>
      <c r="L44" s="17">
        <f t="shared" si="9"/>
        <v>0</v>
      </c>
      <c r="M44" s="17">
        <f t="shared" si="9"/>
        <v>0</v>
      </c>
    </row>
    <row r="45" spans="2:13" ht="36" hidden="1" customHeight="1">
      <c r="B45" s="58"/>
      <c r="C45" s="108"/>
      <c r="D45" s="115"/>
      <c r="E45" s="110">
        <f t="shared" si="0"/>
        <v>0</v>
      </c>
      <c r="F45" s="111">
        <f t="shared" si="1"/>
        <v>0</v>
      </c>
      <c r="G45" s="111">
        <f t="shared" si="2"/>
        <v>0</v>
      </c>
      <c r="H45" s="112">
        <f t="shared" si="3"/>
        <v>0</v>
      </c>
      <c r="I45" s="113">
        <f t="shared" si="8"/>
        <v>0</v>
      </c>
      <c r="J45" s="100">
        <f t="shared" si="10"/>
        <v>0</v>
      </c>
      <c r="K45" s="17">
        <f t="shared" si="9"/>
        <v>0</v>
      </c>
      <c r="L45" s="17">
        <f t="shared" si="9"/>
        <v>0</v>
      </c>
      <c r="M45" s="17">
        <f t="shared" si="9"/>
        <v>0</v>
      </c>
    </row>
    <row r="46" spans="2:13" ht="36" hidden="1" customHeight="1">
      <c r="B46" s="58"/>
      <c r="C46" s="108"/>
      <c r="D46" s="115"/>
      <c r="E46" s="110">
        <f t="shared" si="0"/>
        <v>0</v>
      </c>
      <c r="F46" s="111">
        <f t="shared" si="1"/>
        <v>0</v>
      </c>
      <c r="G46" s="111">
        <f t="shared" si="2"/>
        <v>0</v>
      </c>
      <c r="H46" s="112">
        <f t="shared" si="3"/>
        <v>0</v>
      </c>
      <c r="I46" s="113">
        <f t="shared" si="8"/>
        <v>0</v>
      </c>
      <c r="J46" s="100">
        <f t="shared" si="10"/>
        <v>0</v>
      </c>
      <c r="K46" s="17">
        <f t="shared" si="9"/>
        <v>0</v>
      </c>
      <c r="L46" s="17">
        <f t="shared" si="9"/>
        <v>0</v>
      </c>
      <c r="M46" s="17">
        <f t="shared" si="9"/>
        <v>0</v>
      </c>
    </row>
    <row r="47" spans="2:13" ht="36" hidden="1" customHeight="1">
      <c r="B47" s="58"/>
      <c r="C47" s="108"/>
      <c r="D47" s="115"/>
      <c r="E47" s="110">
        <f t="shared" si="0"/>
        <v>0</v>
      </c>
      <c r="F47" s="111">
        <f t="shared" si="1"/>
        <v>0</v>
      </c>
      <c r="G47" s="111">
        <f t="shared" si="2"/>
        <v>0</v>
      </c>
      <c r="H47" s="112">
        <f t="shared" si="3"/>
        <v>0</v>
      </c>
      <c r="I47" s="113">
        <f t="shared" si="8"/>
        <v>0</v>
      </c>
      <c r="J47" s="100">
        <f t="shared" si="10"/>
        <v>0</v>
      </c>
      <c r="K47" s="17">
        <f t="shared" si="9"/>
        <v>0</v>
      </c>
      <c r="L47" s="17">
        <f t="shared" si="9"/>
        <v>0</v>
      </c>
      <c r="M47" s="17">
        <f t="shared" si="9"/>
        <v>0</v>
      </c>
    </row>
    <row r="48" spans="2:13" ht="36" hidden="1" customHeight="1">
      <c r="B48" s="58"/>
      <c r="C48" s="108"/>
      <c r="D48" s="115"/>
      <c r="E48" s="110">
        <f t="shared" si="0"/>
        <v>0</v>
      </c>
      <c r="F48" s="111">
        <f t="shared" si="1"/>
        <v>0</v>
      </c>
      <c r="G48" s="111">
        <f t="shared" si="2"/>
        <v>0</v>
      </c>
      <c r="H48" s="112">
        <f t="shared" si="3"/>
        <v>0</v>
      </c>
      <c r="I48" s="113">
        <f t="shared" si="8"/>
        <v>0</v>
      </c>
      <c r="J48" s="100">
        <f t="shared" si="10"/>
        <v>0</v>
      </c>
      <c r="K48" s="17">
        <f t="shared" si="9"/>
        <v>0</v>
      </c>
      <c r="L48" s="17">
        <f t="shared" si="9"/>
        <v>0</v>
      </c>
      <c r="M48" s="17">
        <f t="shared" si="9"/>
        <v>0</v>
      </c>
    </row>
    <row r="49" spans="2:17" ht="36" hidden="1" customHeight="1">
      <c r="B49" s="58"/>
      <c r="C49" s="108"/>
      <c r="D49" s="115"/>
      <c r="E49" s="110">
        <f t="shared" si="0"/>
        <v>0</v>
      </c>
      <c r="F49" s="111">
        <f t="shared" si="1"/>
        <v>0</v>
      </c>
      <c r="G49" s="111">
        <f t="shared" si="2"/>
        <v>0</v>
      </c>
      <c r="H49" s="112">
        <f t="shared" si="3"/>
        <v>0</v>
      </c>
      <c r="I49" s="113">
        <f t="shared" si="8"/>
        <v>0</v>
      </c>
      <c r="J49" s="100">
        <f t="shared" si="10"/>
        <v>0</v>
      </c>
      <c r="K49" s="17">
        <f t="shared" si="9"/>
        <v>0</v>
      </c>
      <c r="L49" s="17">
        <f t="shared" si="9"/>
        <v>0</v>
      </c>
      <c r="M49" s="17">
        <f t="shared" si="9"/>
        <v>0</v>
      </c>
    </row>
    <row r="50" spans="2:17" ht="36" hidden="1" customHeight="1">
      <c r="B50" s="58"/>
      <c r="C50" s="108"/>
      <c r="D50" s="115"/>
      <c r="E50" s="110">
        <f t="shared" si="0"/>
        <v>0</v>
      </c>
      <c r="F50" s="111">
        <f t="shared" si="1"/>
        <v>0</v>
      </c>
      <c r="G50" s="111">
        <f t="shared" si="2"/>
        <v>0</v>
      </c>
      <c r="H50" s="112">
        <f t="shared" si="3"/>
        <v>0</v>
      </c>
      <c r="I50" s="113">
        <f t="shared" si="8"/>
        <v>0</v>
      </c>
      <c r="J50" s="100">
        <f t="shared" si="10"/>
        <v>0</v>
      </c>
      <c r="K50" s="17">
        <f t="shared" si="9"/>
        <v>0</v>
      </c>
      <c r="L50" s="17">
        <f t="shared" si="9"/>
        <v>0</v>
      </c>
      <c r="M50" s="17">
        <f t="shared" si="9"/>
        <v>0</v>
      </c>
    </row>
    <row r="51" spans="2:17" ht="36" hidden="1" customHeight="1">
      <c r="B51" s="58"/>
      <c r="C51" s="108"/>
      <c r="D51" s="115"/>
      <c r="E51" s="110">
        <f t="shared" si="0"/>
        <v>0</v>
      </c>
      <c r="F51" s="111">
        <f t="shared" si="1"/>
        <v>0</v>
      </c>
      <c r="G51" s="111">
        <f t="shared" si="2"/>
        <v>0</v>
      </c>
      <c r="H51" s="112">
        <f t="shared" si="3"/>
        <v>0</v>
      </c>
      <c r="I51" s="113">
        <f t="shared" si="8"/>
        <v>0</v>
      </c>
      <c r="J51" s="100">
        <f t="shared" si="10"/>
        <v>0</v>
      </c>
      <c r="K51" s="17">
        <f t="shared" si="9"/>
        <v>0</v>
      </c>
      <c r="L51" s="17">
        <f t="shared" si="9"/>
        <v>0</v>
      </c>
      <c r="M51" s="17">
        <f t="shared" si="9"/>
        <v>0</v>
      </c>
    </row>
    <row r="52" spans="2:17" ht="36" hidden="1" customHeight="1">
      <c r="B52" s="58"/>
      <c r="C52" s="108"/>
      <c r="D52" s="115"/>
      <c r="E52" s="110">
        <f t="shared" si="0"/>
        <v>0</v>
      </c>
      <c r="F52" s="111">
        <f t="shared" si="1"/>
        <v>0</v>
      </c>
      <c r="G52" s="111">
        <f t="shared" si="2"/>
        <v>0</v>
      </c>
      <c r="H52" s="112">
        <f t="shared" si="3"/>
        <v>0</v>
      </c>
      <c r="I52" s="113">
        <f t="shared" si="8"/>
        <v>0</v>
      </c>
      <c r="J52" s="100">
        <f t="shared" si="10"/>
        <v>0</v>
      </c>
      <c r="K52" s="17">
        <f t="shared" si="9"/>
        <v>0</v>
      </c>
      <c r="L52" s="17">
        <f t="shared" si="9"/>
        <v>0</v>
      </c>
      <c r="M52" s="17">
        <f t="shared" si="9"/>
        <v>0</v>
      </c>
    </row>
    <row r="53" spans="2:17" ht="36" hidden="1" customHeight="1">
      <c r="B53" s="58"/>
      <c r="C53" s="108"/>
      <c r="D53" s="115"/>
      <c r="E53" s="110">
        <f t="shared" si="0"/>
        <v>0</v>
      </c>
      <c r="F53" s="111">
        <f t="shared" si="1"/>
        <v>0</v>
      </c>
      <c r="G53" s="111">
        <f t="shared" si="2"/>
        <v>0</v>
      </c>
      <c r="H53" s="112">
        <f t="shared" si="3"/>
        <v>0</v>
      </c>
      <c r="I53" s="113">
        <f t="shared" si="8"/>
        <v>0</v>
      </c>
      <c r="J53" s="100">
        <f t="shared" si="10"/>
        <v>0</v>
      </c>
      <c r="K53" s="17">
        <f t="shared" si="9"/>
        <v>0</v>
      </c>
      <c r="L53" s="17">
        <f t="shared" si="9"/>
        <v>0</v>
      </c>
      <c r="M53" s="17">
        <f t="shared" si="9"/>
        <v>0</v>
      </c>
    </row>
    <row r="54" spans="2:17" ht="36" hidden="1" customHeight="1">
      <c r="B54" s="58"/>
      <c r="C54" s="108"/>
      <c r="D54" s="115"/>
      <c r="E54" s="110">
        <f t="shared" si="0"/>
        <v>0</v>
      </c>
      <c r="F54" s="111">
        <f t="shared" si="1"/>
        <v>0</v>
      </c>
      <c r="G54" s="111">
        <f t="shared" si="2"/>
        <v>0</v>
      </c>
      <c r="H54" s="112">
        <f t="shared" si="3"/>
        <v>0</v>
      </c>
      <c r="I54" s="113">
        <f t="shared" si="8"/>
        <v>0</v>
      </c>
      <c r="J54" s="100">
        <f t="shared" si="10"/>
        <v>0</v>
      </c>
      <c r="K54" s="17">
        <f t="shared" si="9"/>
        <v>0</v>
      </c>
      <c r="L54" s="17">
        <f t="shared" si="9"/>
        <v>0</v>
      </c>
      <c r="M54" s="17">
        <f t="shared" si="9"/>
        <v>0</v>
      </c>
    </row>
    <row r="55" spans="2:17" ht="36" customHeight="1" thickBot="1">
      <c r="B55" s="60"/>
      <c r="C55" s="116"/>
      <c r="D55" s="117"/>
      <c r="E55" s="118">
        <f t="shared" si="0"/>
        <v>0</v>
      </c>
      <c r="F55" s="119">
        <f t="shared" si="1"/>
        <v>0</v>
      </c>
      <c r="G55" s="119">
        <f t="shared" si="2"/>
        <v>0</v>
      </c>
      <c r="H55" s="120">
        <f t="shared" si="3"/>
        <v>0</v>
      </c>
      <c r="I55" s="129">
        <f t="shared" si="8"/>
        <v>0</v>
      </c>
      <c r="J55" s="130">
        <f t="shared" si="10"/>
        <v>0</v>
      </c>
      <c r="K55" s="28">
        <f t="shared" si="9"/>
        <v>0</v>
      </c>
      <c r="L55" s="28">
        <f t="shared" si="9"/>
        <v>0</v>
      </c>
      <c r="M55" s="28">
        <f t="shared" si="9"/>
        <v>0</v>
      </c>
    </row>
    <row r="56" spans="2:17" s="4" customFormat="1" ht="36" customHeight="1">
      <c r="B56" s="2"/>
      <c r="C56" s="2"/>
      <c r="D56" s="2">
        <f>SUM(D5:D55)</f>
        <v>0</v>
      </c>
      <c r="E56" s="2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</row>
    <row r="57" spans="2:17" s="4" customFormat="1" ht="32.1" customHeight="1">
      <c r="B57" s="2"/>
      <c r="C57" s="2"/>
      <c r="D57" s="2"/>
      <c r="E57" s="2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</row>
    <row r="58" spans="2:17" s="4" customFormat="1" ht="32.1" customHeight="1">
      <c r="B58" s="2"/>
      <c r="C58" s="2"/>
      <c r="D58" s="2"/>
      <c r="E58" s="2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2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2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2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2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</row>
    <row r="63" spans="2:17" s="5" customFormat="1" ht="32.1" customHeight="1">
      <c r="B63" s="2"/>
      <c r="C63" s="2"/>
      <c r="D63" s="2"/>
      <c r="E63" s="2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</row>
    <row r="64" spans="2:17" s="5" customFormat="1" ht="32.1" customHeight="1">
      <c r="B64" s="2"/>
      <c r="C64" s="2"/>
      <c r="D64" s="2"/>
      <c r="E64" s="2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E65" s="2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E66" s="2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E67" s="2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E68" s="2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</row>
  </sheetData>
  <mergeCells count="7">
    <mergeCell ref="B2:D2"/>
    <mergeCell ref="B4:C4"/>
    <mergeCell ref="N1:O1"/>
    <mergeCell ref="I1:J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具_常食</vt:lpstr>
      <vt:lpstr>具_薄味</vt:lpstr>
      <vt:lpstr>具_ソフト</vt:lpstr>
      <vt:lpstr>具_ミキサー</vt:lpstr>
      <vt:lpstr>具_ゼリー</vt:lpstr>
      <vt:lpstr>汁_常食</vt:lpstr>
      <vt:lpstr>汁_薄味</vt:lpstr>
      <vt:lpstr>具_ゼリー!Print_Area</vt:lpstr>
      <vt:lpstr>具_ソフト!Print_Area</vt:lpstr>
      <vt:lpstr>具_ミキサー!Print_Area</vt:lpstr>
      <vt:lpstr>具_常食!Print_Area</vt:lpstr>
      <vt:lpstr>具_薄味!Print_Area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具_常食!Print_Titles</vt:lpstr>
      <vt:lpstr>具_薄味!Print_Titles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2022-10-06T05:45:13Z</cp:lastPrinted>
  <dcterms:created xsi:type="dcterms:W3CDTF">2022-04-09T08:43:38Z</dcterms:created>
  <dcterms:modified xsi:type="dcterms:W3CDTF">2023-08-18T01:16:40Z</dcterms:modified>
</cp:coreProperties>
</file>