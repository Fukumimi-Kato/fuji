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4F142A03-A727-4AED-935B-109A359ECDC1}" xr6:coauthVersionLast="47" xr6:coauthVersionMax="47" xr10:uidLastSave="{00000000-0000-0000-0000-000000000000}"/>
  <bookViews>
    <workbookView xWindow="-120" yWindow="-120" windowWidth="29040" windowHeight="15720" xr2:uid="{8755E6B2-F709-734B-84E9-971EF85804D6}"/>
  </bookViews>
  <sheets>
    <sheet name="具_常食" sheetId="3" r:id="rId1"/>
    <sheet name="具_薄味" sheetId="4" r:id="rId2"/>
  </sheets>
  <definedNames>
    <definedName name="_xlnm.Print_Area" localSheetId="0">具_常食!$A$1:$H$85</definedName>
    <definedName name="_xlnm.Print_Area" localSheetId="1">具_薄味!$A$1:$H$61</definedName>
    <definedName name="_xlnm.Print_Titles" localSheetId="0">具_常食!$1:$3</definedName>
    <definedName name="_xlnm.Print_Titles" localSheetId="1">具_薄味!$1:$3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7" i="4" l="1"/>
  <c r="F7" i="4"/>
  <c r="H7" i="3"/>
  <c r="F7" i="3"/>
  <c r="H73" i="3"/>
  <c r="G73" i="3"/>
  <c r="F73" i="3"/>
  <c r="H72" i="3"/>
  <c r="G72" i="3"/>
  <c r="E72" i="3" s="1"/>
  <c r="F72" i="3"/>
  <c r="H71" i="3"/>
  <c r="G71" i="3"/>
  <c r="F71" i="3"/>
  <c r="H70" i="3"/>
  <c r="G70" i="3"/>
  <c r="F70" i="3"/>
  <c r="H69" i="3"/>
  <c r="E69" i="3" s="1"/>
  <c r="G69" i="3"/>
  <c r="F69" i="3"/>
  <c r="H68" i="3"/>
  <c r="G68" i="3"/>
  <c r="F68" i="3"/>
  <c r="H67" i="3"/>
  <c r="E67" i="3" s="1"/>
  <c r="G67" i="3"/>
  <c r="F67" i="3"/>
  <c r="H66" i="3"/>
  <c r="G66" i="3"/>
  <c r="F66" i="3"/>
  <c r="H65" i="3"/>
  <c r="E65" i="3" s="1"/>
  <c r="G65" i="3"/>
  <c r="F65" i="3"/>
  <c r="H64" i="3"/>
  <c r="G64" i="3"/>
  <c r="E64" i="3" s="1"/>
  <c r="F64" i="3"/>
  <c r="H63" i="3"/>
  <c r="G63" i="3"/>
  <c r="F63" i="3"/>
  <c r="H62" i="3"/>
  <c r="G62" i="3"/>
  <c r="E62" i="3" s="1"/>
  <c r="F62" i="3"/>
  <c r="H61" i="3"/>
  <c r="E61" i="3" s="1"/>
  <c r="G61" i="3"/>
  <c r="F61" i="3"/>
  <c r="H60" i="3"/>
  <c r="G60" i="3"/>
  <c r="F60" i="3"/>
  <c r="H59" i="3"/>
  <c r="E59" i="3" s="1"/>
  <c r="G59" i="3"/>
  <c r="F59" i="3"/>
  <c r="H58" i="3"/>
  <c r="G58" i="3"/>
  <c r="E58" i="3" s="1"/>
  <c r="F58" i="3"/>
  <c r="H57" i="3"/>
  <c r="G57" i="3"/>
  <c r="F57" i="3"/>
  <c r="H56" i="3"/>
  <c r="G56" i="3"/>
  <c r="E56" i="3" s="1"/>
  <c r="F56" i="3"/>
  <c r="H55" i="3"/>
  <c r="G55" i="3"/>
  <c r="F55" i="3"/>
  <c r="H54" i="3"/>
  <c r="G54" i="3"/>
  <c r="E54" i="3" s="1"/>
  <c r="F54" i="3"/>
  <c r="H53" i="3"/>
  <c r="E53" i="3" s="1"/>
  <c r="G53" i="3"/>
  <c r="F53" i="3"/>
  <c r="H52" i="3"/>
  <c r="G52" i="3"/>
  <c r="F52" i="3"/>
  <c r="H51" i="3"/>
  <c r="E51" i="3" s="1"/>
  <c r="G51" i="3"/>
  <c r="F51" i="3"/>
  <c r="H50" i="3"/>
  <c r="G50" i="3"/>
  <c r="E50" i="3" s="1"/>
  <c r="F50" i="3"/>
  <c r="E73" i="3" l="1"/>
  <c r="E57" i="3"/>
  <c r="E66" i="3"/>
  <c r="E55" i="3"/>
  <c r="E63" i="3"/>
  <c r="E71" i="3"/>
  <c r="E70" i="3"/>
  <c r="E52" i="3"/>
  <c r="E60" i="3"/>
  <c r="E68" i="3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5" i="4"/>
  <c r="H44" i="4"/>
  <c r="H43" i="4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E24" i="4" s="1"/>
  <c r="H23" i="4"/>
  <c r="H22" i="4"/>
  <c r="H21" i="4"/>
  <c r="H20" i="4"/>
  <c r="H19" i="4"/>
  <c r="H18" i="4"/>
  <c r="H17" i="4"/>
  <c r="H16" i="4"/>
  <c r="E16" i="4" s="1"/>
  <c r="H15" i="4"/>
  <c r="H14" i="4"/>
  <c r="H13" i="4"/>
  <c r="H84" i="3"/>
  <c r="H83" i="3"/>
  <c r="H82" i="3"/>
  <c r="H81" i="3"/>
  <c r="H80" i="3"/>
  <c r="H79" i="3"/>
  <c r="H78" i="3"/>
  <c r="H77" i="3"/>
  <c r="H76" i="3"/>
  <c r="H75" i="3"/>
  <c r="H74" i="3"/>
  <c r="H49" i="3"/>
  <c r="H48" i="3"/>
  <c r="H47" i="3"/>
  <c r="H46" i="3"/>
  <c r="H45" i="3"/>
  <c r="H44" i="3"/>
  <c r="H43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85" i="3"/>
  <c r="H13" i="3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85" i="3"/>
  <c r="G84" i="3"/>
  <c r="G83" i="3"/>
  <c r="G82" i="3"/>
  <c r="G81" i="3"/>
  <c r="G80" i="3"/>
  <c r="G79" i="3"/>
  <c r="G78" i="3"/>
  <c r="G77" i="3"/>
  <c r="G76" i="3"/>
  <c r="G75" i="3"/>
  <c r="G74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E17" i="4" l="1"/>
  <c r="E18" i="4"/>
  <c r="E26" i="4"/>
  <c r="E19" i="4"/>
  <c r="E27" i="4"/>
  <c r="E20" i="4"/>
  <c r="E28" i="4"/>
  <c r="E13" i="4"/>
  <c r="E21" i="4"/>
  <c r="E61" i="4"/>
  <c r="E25" i="4"/>
  <c r="E14" i="4"/>
  <c r="E22" i="4"/>
  <c r="E15" i="4"/>
  <c r="E23" i="4"/>
  <c r="E21" i="3"/>
  <c r="E17" i="3"/>
  <c r="E14" i="3"/>
  <c r="E22" i="3"/>
  <c r="E15" i="3"/>
  <c r="E23" i="3"/>
  <c r="E24" i="3"/>
  <c r="E18" i="3"/>
  <c r="E16" i="3"/>
  <c r="E19" i="3"/>
  <c r="E20" i="3"/>
  <c r="E25" i="3"/>
  <c r="E27" i="3"/>
  <c r="E35" i="3"/>
  <c r="E43" i="3"/>
  <c r="E75" i="3"/>
  <c r="E83" i="3"/>
  <c r="E28" i="3"/>
  <c r="E36" i="3"/>
  <c r="E44" i="3"/>
  <c r="E76" i="3"/>
  <c r="E84" i="3"/>
  <c r="E85" i="3"/>
  <c r="E29" i="3"/>
  <c r="E37" i="3"/>
  <c r="E45" i="3"/>
  <c r="E77" i="3"/>
  <c r="E54" i="4"/>
  <c r="E30" i="4"/>
  <c r="E38" i="4"/>
  <c r="E46" i="4"/>
  <c r="E33" i="4"/>
  <c r="E41" i="4"/>
  <c r="E49" i="4"/>
  <c r="E57" i="4"/>
  <c r="E29" i="4"/>
  <c r="E31" i="4"/>
  <c r="E39" i="4"/>
  <c r="E47" i="4"/>
  <c r="E55" i="4"/>
  <c r="E56" i="4"/>
  <c r="E34" i="4"/>
  <c r="E42" i="4"/>
  <c r="E50" i="4"/>
  <c r="E58" i="4"/>
  <c r="E40" i="4"/>
  <c r="E35" i="4"/>
  <c r="E43" i="4"/>
  <c r="E51" i="4"/>
  <c r="E59" i="4"/>
  <c r="E48" i="4"/>
  <c r="E36" i="4"/>
  <c r="E44" i="4"/>
  <c r="E52" i="4"/>
  <c r="E60" i="4"/>
  <c r="E32" i="4"/>
  <c r="E37" i="4"/>
  <c r="E45" i="4"/>
  <c r="E53" i="4"/>
  <c r="E30" i="3"/>
  <c r="E38" i="3"/>
  <c r="E46" i="3"/>
  <c r="E78" i="3"/>
  <c r="E31" i="3"/>
  <c r="E39" i="3"/>
  <c r="E47" i="3"/>
  <c r="E79" i="3"/>
  <c r="E32" i="3"/>
  <c r="E40" i="3"/>
  <c r="E48" i="3"/>
  <c r="E80" i="3"/>
  <c r="E33" i="3"/>
  <c r="E41" i="3"/>
  <c r="E49" i="3"/>
  <c r="E81" i="3"/>
  <c r="E26" i="3"/>
  <c r="E34" i="3"/>
  <c r="E42" i="3"/>
  <c r="E74" i="3"/>
  <c r="E82" i="3"/>
  <c r="E13" i="3"/>
  <c r="H9" i="4"/>
  <c r="F9" i="4"/>
  <c r="E9" i="4"/>
  <c r="H8" i="4"/>
  <c r="F8" i="4"/>
  <c r="E8" i="4"/>
  <c r="H6" i="4"/>
  <c r="F6" i="4"/>
  <c r="E6" i="4"/>
  <c r="H5" i="4"/>
  <c r="F5" i="4"/>
  <c r="E5" i="4"/>
  <c r="H9" i="3"/>
  <c r="F9" i="3"/>
  <c r="E9" i="3"/>
  <c r="H8" i="3"/>
  <c r="F8" i="3"/>
  <c r="E8" i="3"/>
  <c r="H6" i="3"/>
  <c r="F6" i="3"/>
  <c r="E6" i="3"/>
  <c r="H5" i="3"/>
  <c r="F5" i="3"/>
  <c r="E5" i="3"/>
  <c r="E12" i="3"/>
  <c r="E11" i="3"/>
  <c r="E10" i="3"/>
  <c r="F83" i="3"/>
  <c r="F82" i="3"/>
  <c r="F81" i="3"/>
  <c r="H12" i="4" l="1"/>
  <c r="G12" i="4"/>
  <c r="H11" i="4"/>
  <c r="G11" i="4"/>
  <c r="H10" i="4"/>
  <c r="G10" i="4"/>
  <c r="E12" i="4" l="1"/>
  <c r="E11" i="4"/>
  <c r="E10" i="4"/>
  <c r="F10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4" i="4"/>
  <c r="E4" i="3"/>
  <c r="F4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74" i="3"/>
  <c r="F75" i="3"/>
  <c r="F76" i="3"/>
  <c r="F77" i="3"/>
  <c r="F78" i="3"/>
  <c r="F79" i="3"/>
  <c r="F80" i="3"/>
  <c r="F84" i="3"/>
  <c r="F85" i="3"/>
  <c r="E4" i="4" l="1"/>
</calcChain>
</file>

<file path=xl/sharedStrings.xml><?xml version="1.0" encoding="utf-8"?>
<sst xmlns="http://schemas.openxmlformats.org/spreadsheetml/2006/main" count="27" uniqueCount="14">
  <si>
    <t>常食</t>
  </si>
  <si>
    <t>1人</t>
  </si>
  <si>
    <t>g</t>
  </si>
  <si>
    <t>薄味</t>
  </si>
  <si>
    <t>端数</t>
  </si>
  <si>
    <t>合計</t>
  </si>
  <si>
    <t>袋数</t>
  </si>
  <si>
    <t>ソフト合計</t>
  </si>
  <si>
    <t>ミキサー合計</t>
  </si>
  <si>
    <t>ゼリー合計</t>
  </si>
  <si>
    <t>人前（針刺し用）</t>
    <rPh sb="1" eb="2">
      <t>マエ</t>
    </rPh>
    <phoneticPr fontId="3"/>
  </si>
  <si>
    <t>人前（保存用）</t>
    <rPh sb="1" eb="2">
      <t>マエ</t>
    </rPh>
    <rPh sb="3" eb="5">
      <t>ホゾン</t>
    </rPh>
    <phoneticPr fontId="3"/>
  </si>
  <si>
    <t>人前（写真用）</t>
    <rPh sb="1" eb="2">
      <t>マエ</t>
    </rPh>
    <rPh sb="3" eb="5">
      <t>シャシン</t>
    </rPh>
    <phoneticPr fontId="3"/>
  </si>
  <si>
    <t>人前（保存用50g）</t>
    <rPh sb="1" eb="2">
      <t>マエ</t>
    </rPh>
    <rPh sb="3" eb="5">
      <t>ホゾン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</si>
</sst>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7">
    <font>
      <sz val="12"/>
      <color theme="1"/>
      <name val="游ゴシック"/>
      <family val="2"/>
      <scheme val="minor"/>
    </font>
    <font>
      <sz val="16"/>
      <color theme="1"/>
      <name val="Meiryo"/>
      <family val="2"/>
      <charset val="128"/>
    </font>
    <font>
      <sz val="12"/>
      <color theme="1"/>
      <name val="Meiryo"/>
      <family val="2"/>
      <charset val="128"/>
    </font>
    <font>
      <sz val="6"/>
      <name val="游ゴシック"/>
      <family val="3"/>
      <charset val="128"/>
      <scheme val="minor"/>
    </font>
    <font>
      <sz val="14"/>
      <color theme="1"/>
      <name val="Meiryo"/>
      <family val="2"/>
      <charset val="128"/>
    </font>
    <font>
      <b/>
      <sz val="18"/>
      <color theme="1"/>
      <name val="Meiryo"/>
      <family val="2"/>
      <charset val="128"/>
    </font>
    <font>
      <sz val="16"/>
      <color theme="1"/>
      <name val="Meiryo UI"/>
      <family val="3"/>
      <charset val="128"/>
    </font>
    <font>
      <sz val="36"/>
      <color theme="1"/>
      <name val="Meiryo"/>
      <family val="2"/>
      <charset val="128"/>
    </font>
    <font>
      <sz val="36"/>
      <color theme="1"/>
      <name val="Meiryo"/>
      <family val="3"/>
      <charset val="128"/>
    </font>
    <font>
      <sz val="28"/>
      <color theme="1"/>
      <name val="Meiryo"/>
      <family val="2"/>
      <charset val="128"/>
    </font>
    <font>
      <b/>
      <sz val="28"/>
      <color theme="1"/>
      <name val="Meiryo"/>
      <family val="2"/>
      <charset val="128"/>
    </font>
    <font>
      <sz val="24"/>
      <color theme="1"/>
      <name val="Meiryo"/>
      <family val="2"/>
      <charset val="128"/>
    </font>
    <font>
      <sz val="24"/>
      <color theme="1"/>
      <name val="Meiryo"/>
      <family val="3"/>
      <charset val="128"/>
    </font>
    <font>
      <sz val="24"/>
      <color theme="1"/>
      <name val="Meiryo"/>
      <charset val="128"/>
    </font>
    <font>
      <b/>
      <sz val="24"/>
      <color theme="1"/>
      <name val="Meiryo"/>
      <family val="3"/>
      <charset val="128"/>
    </font>
    <font>
      <b/>
      <sz val="24"/>
      <color theme="1"/>
      <name val="Meiryo"/>
      <family val="2"/>
      <charset val="128"/>
    </font>
    <font>
      <sz val="22"/>
      <color theme="1"/>
      <name val="Meiryo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59999389629810485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vertical="center" shrinkToFit="1"/>
    </xf>
    <xf numFmtId="0" fontId="4" fillId="0" borderId="0" xfId="0" applyFont="1" applyAlignment="1">
      <alignment vertical="center" shrinkToFit="1"/>
    </xf>
    <xf numFmtId="0" fontId="4" fillId="0" borderId="0" xfId="0" applyFont="1" applyAlignment="1">
      <alignment horizontal="center" vertical="center" shrinkToFit="1"/>
    </xf>
    <xf numFmtId="1" fontId="5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2" borderId="14" xfId="0" applyFont="1" applyFill="1" applyBorder="1" applyAlignment="1">
      <alignment horizontal="center" vertical="center" shrinkToFit="1"/>
    </xf>
    <xf numFmtId="0" fontId="1" fillId="2" borderId="11" xfId="0" applyFont="1" applyFill="1" applyBorder="1" applyAlignment="1">
      <alignment horizontal="center" vertical="center" shrinkToFit="1"/>
    </xf>
    <xf numFmtId="0" fontId="1" fillId="3" borderId="14" xfId="0" applyFont="1" applyFill="1" applyBorder="1" applyAlignment="1">
      <alignment horizontal="center" vertical="center" shrinkToFit="1"/>
    </xf>
    <xf numFmtId="0" fontId="1" fillId="3" borderId="11" xfId="0" applyFont="1" applyFill="1" applyBorder="1" applyAlignment="1">
      <alignment horizontal="center" vertical="center" shrinkToFit="1"/>
    </xf>
    <xf numFmtId="0" fontId="2" fillId="0" borderId="29" xfId="0" applyFont="1" applyBorder="1" applyAlignment="1">
      <alignment horizontal="center" vertical="center" shrinkToFit="1"/>
    </xf>
    <xf numFmtId="0" fontId="2" fillId="2" borderId="30" xfId="0" applyFont="1" applyFill="1" applyBorder="1" applyAlignment="1">
      <alignment horizontal="center" vertical="center" shrinkToFit="1"/>
    </xf>
    <xf numFmtId="0" fontId="2" fillId="0" borderId="31" xfId="0" applyFont="1" applyBorder="1" applyAlignment="1">
      <alignment horizontal="center" vertical="center" shrinkToFit="1"/>
    </xf>
    <xf numFmtId="0" fontId="6" fillId="0" borderId="32" xfId="0" applyFont="1" applyBorder="1" applyAlignment="1">
      <alignment horizontal="right" vertical="center"/>
    </xf>
    <xf numFmtId="0" fontId="6" fillId="0" borderId="30" xfId="0" applyFont="1" applyBorder="1" applyAlignment="1">
      <alignment horizontal="right" vertical="center"/>
    </xf>
    <xf numFmtId="1" fontId="4" fillId="0" borderId="31" xfId="0" applyNumberFormat="1" applyFont="1" applyBorder="1" applyAlignment="1">
      <alignment vertical="center" shrinkToFit="1"/>
    </xf>
    <xf numFmtId="1" fontId="4" fillId="0" borderId="30" xfId="0" applyNumberFormat="1" applyFont="1" applyBorder="1" applyAlignment="1">
      <alignment vertical="center" shrinkToFit="1"/>
    </xf>
    <xf numFmtId="1" fontId="4" fillId="0" borderId="31" xfId="0" applyNumberFormat="1" applyFont="1" applyBorder="1" applyAlignment="1">
      <alignment horizontal="right" vertical="center" shrinkToFit="1"/>
    </xf>
    <xf numFmtId="1" fontId="4" fillId="0" borderId="33" xfId="0" applyNumberFormat="1" applyFont="1" applyBorder="1" applyAlignment="1">
      <alignment horizontal="right" vertical="center" shrinkToFit="1"/>
    </xf>
    <xf numFmtId="0" fontId="4" fillId="0" borderId="23" xfId="0" applyFont="1" applyBorder="1" applyAlignment="1">
      <alignment horizontal="center" vertical="center" shrinkToFit="1"/>
    </xf>
    <xf numFmtId="1" fontId="4" fillId="0" borderId="37" xfId="0" applyNumberFormat="1" applyFont="1" applyBorder="1" applyAlignment="1">
      <alignment horizontal="right" vertical="center" shrinkToFit="1"/>
    </xf>
    <xf numFmtId="0" fontId="10" fillId="0" borderId="35" xfId="0" applyFont="1" applyBorder="1" applyAlignment="1">
      <alignment horizontal="right" vertical="center" shrinkToFit="1"/>
    </xf>
    <xf numFmtId="176" fontId="10" fillId="0" borderId="35" xfId="0" applyNumberFormat="1" applyFont="1" applyBorder="1" applyAlignment="1">
      <alignment horizontal="right" vertical="center" shrinkToFit="1"/>
    </xf>
    <xf numFmtId="0" fontId="11" fillId="2" borderId="8" xfId="0" applyFont="1" applyFill="1" applyBorder="1" applyAlignment="1">
      <alignment horizontal="center" vertical="center" shrinkToFit="1"/>
    </xf>
    <xf numFmtId="0" fontId="12" fillId="2" borderId="21" xfId="0" applyFont="1" applyFill="1" applyBorder="1" applyAlignment="1">
      <alignment horizontal="center" vertical="center" shrinkToFit="1"/>
    </xf>
    <xf numFmtId="0" fontId="11" fillId="3" borderId="8" xfId="0" applyFont="1" applyFill="1" applyBorder="1" applyAlignment="1">
      <alignment horizontal="center" vertical="center" shrinkToFit="1"/>
    </xf>
    <xf numFmtId="0" fontId="12" fillId="0" borderId="7" xfId="0" applyFont="1" applyBorder="1" applyAlignment="1">
      <alignment vertical="center" shrinkToFit="1"/>
    </xf>
    <xf numFmtId="1" fontId="14" fillId="0" borderId="1" xfId="0" applyNumberFormat="1" applyFont="1" applyBorder="1" applyAlignment="1">
      <alignment vertical="center" shrinkToFit="1"/>
    </xf>
    <xf numFmtId="0" fontId="12" fillId="0" borderId="25" xfId="0" applyFont="1" applyBorder="1" applyAlignment="1">
      <alignment horizontal="right" vertical="center" shrinkToFit="1"/>
    </xf>
    <xf numFmtId="0" fontId="12" fillId="0" borderId="26" xfId="0" applyFont="1" applyBorder="1" applyAlignment="1">
      <alignment horizontal="left" vertical="center" shrinkToFit="1"/>
    </xf>
    <xf numFmtId="0" fontId="12" fillId="0" borderId="5" xfId="0" applyFont="1" applyBorder="1" applyAlignment="1">
      <alignment vertical="center" shrinkToFit="1"/>
    </xf>
    <xf numFmtId="1" fontId="14" fillId="0" borderId="27" xfId="0" applyNumberFormat="1" applyFont="1" applyBorder="1" applyAlignment="1">
      <alignment vertical="center" shrinkToFit="1"/>
    </xf>
    <xf numFmtId="0" fontId="12" fillId="0" borderId="8" xfId="0" applyFont="1" applyBorder="1" applyAlignment="1">
      <alignment vertical="center" shrinkToFit="1"/>
    </xf>
    <xf numFmtId="1" fontId="14" fillId="0" borderId="9" xfId="0" applyNumberFormat="1" applyFont="1" applyBorder="1" applyAlignment="1">
      <alignment vertical="center" shrinkToFit="1"/>
    </xf>
    <xf numFmtId="0" fontId="12" fillId="0" borderId="15" xfId="0" applyFont="1" applyBorder="1" applyAlignment="1">
      <alignment vertical="center" shrinkToFit="1"/>
    </xf>
    <xf numFmtId="0" fontId="12" fillId="0" borderId="2" xfId="0" applyFont="1" applyBorder="1" applyAlignment="1">
      <alignment vertical="center" shrinkToFit="1"/>
    </xf>
    <xf numFmtId="0" fontId="12" fillId="0" borderId="16" xfId="0" applyFont="1" applyBorder="1" applyAlignment="1">
      <alignment vertical="center" shrinkToFit="1"/>
    </xf>
    <xf numFmtId="0" fontId="12" fillId="0" borderId="3" xfId="0" applyFont="1" applyBorder="1" applyAlignment="1">
      <alignment vertical="center" shrinkToFit="1"/>
    </xf>
    <xf numFmtId="0" fontId="12" fillId="0" borderId="17" xfId="0" applyFont="1" applyBorder="1" applyAlignment="1">
      <alignment vertical="center" shrinkToFit="1"/>
    </xf>
    <xf numFmtId="0" fontId="12" fillId="0" borderId="12" xfId="0" applyFont="1" applyBorder="1" applyAlignment="1">
      <alignment vertical="center" shrinkToFit="1"/>
    </xf>
    <xf numFmtId="0" fontId="12" fillId="0" borderId="6" xfId="0" applyFont="1" applyBorder="1" applyAlignment="1">
      <alignment vertical="center" shrinkToFit="1"/>
    </xf>
    <xf numFmtId="1" fontId="14" fillId="0" borderId="24" xfId="0" applyNumberFormat="1" applyFont="1" applyBorder="1" applyAlignment="1">
      <alignment vertical="center" shrinkToFit="1"/>
    </xf>
    <xf numFmtId="0" fontId="11" fillId="0" borderId="20" xfId="0" applyFont="1" applyBorder="1" applyAlignment="1">
      <alignment horizontal="center" vertical="center" shrinkToFit="1"/>
    </xf>
    <xf numFmtId="0" fontId="11" fillId="0" borderId="28" xfId="0" applyFont="1" applyBorder="1" applyAlignment="1">
      <alignment horizontal="center" vertical="center" shrinkToFit="1"/>
    </xf>
    <xf numFmtId="0" fontId="11" fillId="0" borderId="21" xfId="0" applyFont="1" applyBorder="1" applyAlignment="1">
      <alignment horizontal="center" vertical="center" shrinkToFit="1"/>
    </xf>
    <xf numFmtId="0" fontId="15" fillId="0" borderId="20" xfId="0" applyFont="1" applyBorder="1" applyAlignment="1">
      <alignment horizontal="center" vertical="center" shrinkToFit="1"/>
    </xf>
    <xf numFmtId="0" fontId="15" fillId="0" borderId="21" xfId="0" applyFont="1" applyBorder="1" applyAlignment="1">
      <alignment horizontal="center" vertical="center" shrinkToFit="1"/>
    </xf>
    <xf numFmtId="0" fontId="15" fillId="0" borderId="22" xfId="0" applyFont="1" applyBorder="1" applyAlignment="1">
      <alignment horizontal="center" vertical="center" shrinkToFit="1"/>
    </xf>
    <xf numFmtId="0" fontId="12" fillId="0" borderId="14" xfId="0" applyFont="1" applyBorder="1" applyAlignment="1">
      <alignment horizontal="right" vertical="center" shrinkToFit="1"/>
    </xf>
    <xf numFmtId="0" fontId="12" fillId="0" borderId="11" xfId="0" applyFont="1" applyBorder="1" applyAlignment="1">
      <alignment horizontal="left" vertical="center" shrinkToFit="1"/>
    </xf>
    <xf numFmtId="1" fontId="14" fillId="0" borderId="10" xfId="0" applyNumberFormat="1" applyFont="1" applyBorder="1" applyAlignment="1">
      <alignment vertical="center" shrinkToFit="1"/>
    </xf>
    <xf numFmtId="0" fontId="16" fillId="0" borderId="36" xfId="0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shrinkToFit="1"/>
    </xf>
    <xf numFmtId="0" fontId="16" fillId="0" borderId="3" xfId="0" applyFont="1" applyBorder="1" applyAlignment="1">
      <alignment horizontal="center" vertical="center" shrinkToFit="1"/>
    </xf>
    <xf numFmtId="0" fontId="16" fillId="0" borderId="11" xfId="0" applyFont="1" applyBorder="1" applyAlignment="1">
      <alignment horizontal="center" vertical="center" shrinkToFit="1"/>
    </xf>
    <xf numFmtId="0" fontId="16" fillId="0" borderId="12" xfId="0" applyFont="1" applyBorder="1" applyAlignment="1">
      <alignment horizontal="center" vertical="center" shrinkToFit="1"/>
    </xf>
    <xf numFmtId="0" fontId="4" fillId="0" borderId="29" xfId="0" applyFont="1" applyBorder="1" applyAlignment="1">
      <alignment horizontal="center" vertical="center" shrinkToFit="1"/>
    </xf>
    <xf numFmtId="0" fontId="12" fillId="2" borderId="30" xfId="0" applyFont="1" applyFill="1" applyBorder="1" applyAlignment="1">
      <alignment horizontal="center" vertical="center" shrinkToFit="1"/>
    </xf>
    <xf numFmtId="0" fontId="11" fillId="0" borderId="31" xfId="0" applyFont="1" applyBorder="1" applyAlignment="1">
      <alignment horizontal="center" vertical="center" shrinkToFit="1"/>
    </xf>
    <xf numFmtId="0" fontId="11" fillId="0" borderId="32" xfId="0" applyFont="1" applyBorder="1" applyAlignment="1">
      <alignment horizontal="center" vertical="center" shrinkToFit="1"/>
    </xf>
    <xf numFmtId="0" fontId="11" fillId="0" borderId="30" xfId="0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 shrinkToFit="1"/>
    </xf>
    <xf numFmtId="0" fontId="15" fillId="0" borderId="31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4" fillId="0" borderId="18" xfId="0" applyFont="1" applyBorder="1" applyAlignment="1">
      <alignment horizontal="center" shrinkToFit="1"/>
    </xf>
    <xf numFmtId="0" fontId="14" fillId="0" borderId="19" xfId="0" applyFont="1" applyBorder="1" applyAlignment="1">
      <alignment horizontal="center" shrinkToFit="1"/>
    </xf>
    <xf numFmtId="0" fontId="14" fillId="0" borderId="16" xfId="0" applyFont="1" applyBorder="1" applyAlignment="1">
      <alignment horizontal="center" vertical="center" shrinkToFit="1"/>
    </xf>
    <xf numFmtId="0" fontId="14" fillId="0" borderId="3" xfId="0" applyFont="1" applyBorder="1" applyAlignment="1">
      <alignment horizontal="center" vertical="center" shrinkToFit="1"/>
    </xf>
    <xf numFmtId="0" fontId="14" fillId="0" borderId="14" xfId="0" applyFont="1" applyBorder="1" applyAlignment="1">
      <alignment horizontal="center" vertical="center" shrinkToFit="1"/>
    </xf>
    <xf numFmtId="0" fontId="14" fillId="0" borderId="11" xfId="0" applyFont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13" fillId="0" borderId="18" xfId="0" applyFont="1" applyBorder="1" applyAlignment="1">
      <alignment horizontal="left" vertical="center" shrinkToFit="1"/>
    </xf>
    <xf numFmtId="0" fontId="12" fillId="0" borderId="19" xfId="0" applyFont="1" applyBorder="1" applyAlignment="1">
      <alignment horizontal="left" vertical="center" shrinkToFit="1"/>
    </xf>
    <xf numFmtId="0" fontId="8" fillId="0" borderId="13" xfId="0" applyFont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shrinkToFit="1"/>
    </xf>
    <xf numFmtId="0" fontId="9" fillId="0" borderId="3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 shrinkToFit="1"/>
    </xf>
    <xf numFmtId="1" fontId="12" fillId="2" borderId="9" xfId="0" applyNumberFormat="1" applyFont="1" applyFill="1" applyBorder="1" applyAlignment="1">
      <alignment horizontal="center" vertical="center" shrinkToFit="1"/>
    </xf>
    <xf numFmtId="1" fontId="12" fillId="2" borderId="11" xfId="0" applyNumberFormat="1" applyFont="1" applyFill="1" applyBorder="1" applyAlignment="1">
      <alignment horizontal="center" vertical="center" shrinkToFit="1"/>
    </xf>
    <xf numFmtId="0" fontId="11" fillId="0" borderId="18" xfId="0" applyFont="1" applyBorder="1" applyAlignment="1">
      <alignment horizontal="left" vertical="center" shrinkToFit="1"/>
    </xf>
    <xf numFmtId="1" fontId="12" fillId="3" borderId="9" xfId="0" applyNumberFormat="1" applyFont="1" applyFill="1" applyBorder="1" applyAlignment="1">
      <alignment horizontal="center" vertical="center" shrinkToFit="1"/>
    </xf>
    <xf numFmtId="1" fontId="12" fillId="3" borderId="11" xfId="0" applyNumberFormat="1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8A02-270E-BA42-9715-F4FA25287155}">
  <sheetPr>
    <pageSetUpPr fitToPage="1"/>
  </sheetPr>
  <dimension ref="B1:Q98"/>
  <sheetViews>
    <sheetView showGridLines="0" tabSelected="1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4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75" t="s">
        <v>0</v>
      </c>
      <c r="C1" s="74"/>
      <c r="D1" s="74"/>
      <c r="E1" s="74"/>
      <c r="F1" s="74"/>
      <c r="G1" s="71"/>
      <c r="H1" s="71"/>
    </row>
    <row r="2" spans="2:17" ht="50.1" customHeight="1">
      <c r="B2" s="76"/>
      <c r="C2" s="77"/>
      <c r="D2" s="77"/>
      <c r="E2" s="22"/>
      <c r="F2" s="52" t="s">
        <v>2</v>
      </c>
      <c r="G2" s="20"/>
      <c r="H2" s="11"/>
    </row>
    <row r="3" spans="2:17" s="4" customFormat="1" ht="36" customHeight="1" thickBot="1">
      <c r="B3" s="7"/>
      <c r="C3" s="8"/>
      <c r="D3" s="24" t="s">
        <v>4</v>
      </c>
      <c r="E3" s="78" t="s">
        <v>0</v>
      </c>
      <c r="F3" s="79"/>
      <c r="G3" s="25" t="s">
        <v>6</v>
      </c>
      <c r="H3" s="12" t="s">
        <v>5</v>
      </c>
      <c r="I3" s="1"/>
      <c r="J3" s="1"/>
      <c r="K3" s="1"/>
      <c r="L3" s="1"/>
      <c r="M3" s="1"/>
      <c r="N3" s="1"/>
      <c r="O3" s="1"/>
      <c r="P3" s="1"/>
      <c r="Q3" s="1"/>
    </row>
    <row r="4" spans="2:17" ht="36" customHeight="1" thickTop="1">
      <c r="B4" s="72" t="s">
        <v>1</v>
      </c>
      <c r="C4" s="73"/>
      <c r="D4" s="27">
        <v>1</v>
      </c>
      <c r="E4" s="28">
        <f>D4*$E$2</f>
        <v>0</v>
      </c>
      <c r="F4" s="53" t="str">
        <f>$F$2</f>
        <v>g</v>
      </c>
      <c r="G4" s="43"/>
      <c r="H4" s="13"/>
    </row>
    <row r="5" spans="2:17" ht="36" customHeight="1">
      <c r="B5" s="29">
        <v>30</v>
      </c>
      <c r="C5" s="30" t="s">
        <v>10</v>
      </c>
      <c r="D5" s="31">
        <v>1</v>
      </c>
      <c r="E5" s="32">
        <f>B5*$E$2</f>
        <v>0</v>
      </c>
      <c r="F5" s="54" t="str">
        <f t="shared" ref="F5:F9" si="0">$F$2</f>
        <v>g</v>
      </c>
      <c r="G5" s="44">
        <v>2</v>
      </c>
      <c r="H5" s="14">
        <f>B5*G5*$E$2</f>
        <v>0</v>
      </c>
      <c r="I5"/>
      <c r="J5"/>
    </row>
    <row r="6" spans="2:17" ht="36" customHeight="1">
      <c r="B6" s="29">
        <v>10</v>
      </c>
      <c r="C6" s="30" t="s">
        <v>11</v>
      </c>
      <c r="D6" s="31">
        <v>1</v>
      </c>
      <c r="E6" s="32">
        <f t="shared" ref="E6:E9" si="1">B6*$E$2</f>
        <v>0</v>
      </c>
      <c r="F6" s="54" t="str">
        <f t="shared" si="0"/>
        <v>g</v>
      </c>
      <c r="G6" s="44">
        <v>3</v>
      </c>
      <c r="H6" s="14">
        <f t="shared" ref="H6:H9" si="2">B6*G6*$E$2</f>
        <v>0</v>
      </c>
      <c r="I6"/>
      <c r="J6"/>
    </row>
    <row r="7" spans="2:17" ht="36" customHeight="1">
      <c r="B7" s="29">
        <v>1</v>
      </c>
      <c r="C7" s="30" t="s">
        <v>13</v>
      </c>
      <c r="D7" s="31">
        <v>1</v>
      </c>
      <c r="E7" s="32">
        <v>50</v>
      </c>
      <c r="F7" s="54" t="str">
        <f t="shared" si="0"/>
        <v>g</v>
      </c>
      <c r="G7" s="44"/>
      <c r="H7" s="14">
        <f t="shared" ref="H7" si="3">B7*G7*$E$2</f>
        <v>0</v>
      </c>
      <c r="I7"/>
      <c r="J7"/>
    </row>
    <row r="8" spans="2:17" ht="36" customHeight="1">
      <c r="B8" s="29">
        <v>1</v>
      </c>
      <c r="C8" s="30" t="s">
        <v>11</v>
      </c>
      <c r="D8" s="31">
        <v>1</v>
      </c>
      <c r="E8" s="32">
        <f t="shared" si="1"/>
        <v>0</v>
      </c>
      <c r="F8" s="54" t="str">
        <f t="shared" si="0"/>
        <v>g</v>
      </c>
      <c r="G8" s="44"/>
      <c r="H8" s="14">
        <f t="shared" si="2"/>
        <v>0</v>
      </c>
      <c r="I8"/>
      <c r="J8"/>
    </row>
    <row r="9" spans="2:17" ht="36" customHeight="1" thickBot="1">
      <c r="B9" s="29">
        <v>1</v>
      </c>
      <c r="C9" s="30" t="s">
        <v>12</v>
      </c>
      <c r="D9" s="33">
        <v>1</v>
      </c>
      <c r="E9" s="34">
        <f t="shared" si="1"/>
        <v>0</v>
      </c>
      <c r="F9" s="55" t="str">
        <f t="shared" si="0"/>
        <v>g</v>
      </c>
      <c r="G9" s="45"/>
      <c r="H9" s="15">
        <f t="shared" si="2"/>
        <v>0</v>
      </c>
      <c r="I9"/>
      <c r="J9"/>
    </row>
    <row r="10" spans="2:17" ht="36" customHeight="1" thickTop="1">
      <c r="B10" s="65" t="s">
        <v>7</v>
      </c>
      <c r="C10" s="66"/>
      <c r="D10" s="27"/>
      <c r="E10" s="28">
        <f>D10*$E$2</f>
        <v>0</v>
      </c>
      <c r="F10" s="53" t="str">
        <f t="shared" ref="F10:F85" si="4">$F$2</f>
        <v>g</v>
      </c>
      <c r="G10" s="46"/>
      <c r="H10" s="16"/>
    </row>
    <row r="11" spans="2:17" ht="36" customHeight="1">
      <c r="B11" s="67" t="s">
        <v>8</v>
      </c>
      <c r="C11" s="68"/>
      <c r="D11" s="31"/>
      <c r="E11" s="28">
        <f t="shared" ref="E11:E12" si="5">D11*$E$2</f>
        <v>0</v>
      </c>
      <c r="F11" s="54" t="str">
        <f t="shared" si="4"/>
        <v>g</v>
      </c>
      <c r="G11" s="46"/>
      <c r="H11" s="16"/>
    </row>
    <row r="12" spans="2:17" ht="36" customHeight="1" thickBot="1">
      <c r="B12" s="69" t="s">
        <v>9</v>
      </c>
      <c r="C12" s="70"/>
      <c r="D12" s="33"/>
      <c r="E12" s="34">
        <f t="shared" si="5"/>
        <v>0</v>
      </c>
      <c r="F12" s="55" t="str">
        <f t="shared" si="4"/>
        <v>g</v>
      </c>
      <c r="G12" s="47"/>
      <c r="H12" s="17"/>
    </row>
    <row r="13" spans="2:17" ht="36" customHeight="1" thickTop="1">
      <c r="B13" s="35"/>
      <c r="C13" s="36"/>
      <c r="D13" s="27"/>
      <c r="E13" s="28" t="str">
        <f>IFERROR(H13/G13, IF(D13="", "", 0))</f>
        <v/>
      </c>
      <c r="F13" s="53" t="str">
        <f t="shared" si="4"/>
        <v>g</v>
      </c>
      <c r="G13" s="46">
        <f>IF(AND(D13="", B13&lt;&gt;""), 1, ROUNDUP(D13/30,0))</f>
        <v>0</v>
      </c>
      <c r="H13" s="18">
        <f>IF(AND(D13="", B13&lt;&gt;""), $E$2, D13*$E$2)</f>
        <v>0</v>
      </c>
    </row>
    <row r="14" spans="2:17" ht="36" customHeight="1">
      <c r="B14" s="37"/>
      <c r="C14" s="38"/>
      <c r="D14" s="31"/>
      <c r="E14" s="28" t="str">
        <f t="shared" ref="E14:E85" si="6">IFERROR(H14/G14, IF(D14="", "", 0))</f>
        <v/>
      </c>
      <c r="F14" s="54" t="str">
        <f t="shared" si="4"/>
        <v>g</v>
      </c>
      <c r="G14" s="46">
        <f t="shared" ref="G14:G85" si="7">IF(AND(D14="", B14&lt;&gt;""), 1, ROUNDUP(D14/30,0))</f>
        <v>0</v>
      </c>
      <c r="H14" s="18">
        <f t="shared" ref="H14:H84" si="8">IF(AND(D14="", B14&lt;&gt;""), $E$2, D14*$E$2)</f>
        <v>0</v>
      </c>
    </row>
    <row r="15" spans="2:17" ht="36" customHeight="1">
      <c r="B15" s="37"/>
      <c r="C15" s="38"/>
      <c r="D15" s="31"/>
      <c r="E15" s="28" t="str">
        <f t="shared" si="6"/>
        <v/>
      </c>
      <c r="F15" s="54" t="str">
        <f t="shared" si="4"/>
        <v>g</v>
      </c>
      <c r="G15" s="46">
        <f t="shared" si="7"/>
        <v>0</v>
      </c>
      <c r="H15" s="18">
        <f t="shared" si="8"/>
        <v>0</v>
      </c>
    </row>
    <row r="16" spans="2:17" ht="36" customHeight="1">
      <c r="B16" s="37"/>
      <c r="C16" s="38"/>
      <c r="D16" s="31"/>
      <c r="E16" s="28" t="str">
        <f t="shared" si="6"/>
        <v/>
      </c>
      <c r="F16" s="54" t="str">
        <f t="shared" si="4"/>
        <v>g</v>
      </c>
      <c r="G16" s="46">
        <f t="shared" si="7"/>
        <v>0</v>
      </c>
      <c r="H16" s="18">
        <f t="shared" si="8"/>
        <v>0</v>
      </c>
    </row>
    <row r="17" spans="2:8" ht="36" customHeight="1">
      <c r="B17" s="37"/>
      <c r="C17" s="38"/>
      <c r="D17" s="31"/>
      <c r="E17" s="28" t="str">
        <f t="shared" si="6"/>
        <v/>
      </c>
      <c r="F17" s="54" t="str">
        <f t="shared" si="4"/>
        <v>g</v>
      </c>
      <c r="G17" s="46">
        <f t="shared" si="7"/>
        <v>0</v>
      </c>
      <c r="H17" s="18">
        <f t="shared" si="8"/>
        <v>0</v>
      </c>
    </row>
    <row r="18" spans="2:8" ht="36" customHeight="1">
      <c r="B18" s="37"/>
      <c r="C18" s="38"/>
      <c r="D18" s="31"/>
      <c r="E18" s="28" t="str">
        <f t="shared" si="6"/>
        <v/>
      </c>
      <c r="F18" s="54" t="str">
        <f t="shared" si="4"/>
        <v>g</v>
      </c>
      <c r="G18" s="46">
        <f t="shared" si="7"/>
        <v>0</v>
      </c>
      <c r="H18" s="18">
        <f t="shared" si="8"/>
        <v>0</v>
      </c>
    </row>
    <row r="19" spans="2:8" ht="36" customHeight="1">
      <c r="B19" s="37"/>
      <c r="C19" s="38"/>
      <c r="D19" s="31"/>
      <c r="E19" s="28" t="str">
        <f t="shared" si="6"/>
        <v/>
      </c>
      <c r="F19" s="54" t="str">
        <f t="shared" si="4"/>
        <v>g</v>
      </c>
      <c r="G19" s="46">
        <f t="shared" si="7"/>
        <v>0</v>
      </c>
      <c r="H19" s="18">
        <f t="shared" si="8"/>
        <v>0</v>
      </c>
    </row>
    <row r="20" spans="2:8" ht="36" customHeight="1">
      <c r="B20" s="37"/>
      <c r="C20" s="38"/>
      <c r="D20" s="31"/>
      <c r="E20" s="28" t="str">
        <f t="shared" si="6"/>
        <v/>
      </c>
      <c r="F20" s="54" t="str">
        <f t="shared" si="4"/>
        <v>g</v>
      </c>
      <c r="G20" s="46">
        <f t="shared" si="7"/>
        <v>0</v>
      </c>
      <c r="H20" s="18">
        <f t="shared" si="8"/>
        <v>0</v>
      </c>
    </row>
    <row r="21" spans="2:8" ht="36" customHeight="1">
      <c r="B21" s="37"/>
      <c r="C21" s="38"/>
      <c r="D21" s="31"/>
      <c r="E21" s="28" t="str">
        <f t="shared" si="6"/>
        <v/>
      </c>
      <c r="F21" s="54" t="str">
        <f t="shared" si="4"/>
        <v>g</v>
      </c>
      <c r="G21" s="46">
        <f t="shared" si="7"/>
        <v>0</v>
      </c>
      <c r="H21" s="18">
        <f t="shared" si="8"/>
        <v>0</v>
      </c>
    </row>
    <row r="22" spans="2:8" ht="36" customHeight="1">
      <c r="B22" s="37"/>
      <c r="C22" s="38"/>
      <c r="D22" s="31"/>
      <c r="E22" s="28" t="str">
        <f t="shared" si="6"/>
        <v/>
      </c>
      <c r="F22" s="54" t="str">
        <f t="shared" si="4"/>
        <v>g</v>
      </c>
      <c r="G22" s="46">
        <f t="shared" si="7"/>
        <v>0</v>
      </c>
      <c r="H22" s="18">
        <f t="shared" si="8"/>
        <v>0</v>
      </c>
    </row>
    <row r="23" spans="2:8" ht="36" customHeight="1">
      <c r="B23" s="37"/>
      <c r="C23" s="38"/>
      <c r="D23" s="31"/>
      <c r="E23" s="28" t="str">
        <f t="shared" si="6"/>
        <v/>
      </c>
      <c r="F23" s="54" t="str">
        <f t="shared" si="4"/>
        <v>g</v>
      </c>
      <c r="G23" s="46">
        <f t="shared" si="7"/>
        <v>0</v>
      </c>
      <c r="H23" s="18">
        <f t="shared" si="8"/>
        <v>0</v>
      </c>
    </row>
    <row r="24" spans="2:8" ht="36" customHeight="1">
      <c r="B24" s="37"/>
      <c r="C24" s="38"/>
      <c r="D24" s="31"/>
      <c r="E24" s="28" t="str">
        <f t="shared" si="6"/>
        <v/>
      </c>
      <c r="F24" s="54" t="str">
        <f t="shared" si="4"/>
        <v>g</v>
      </c>
      <c r="G24" s="46">
        <f t="shared" si="7"/>
        <v>0</v>
      </c>
      <c r="H24" s="18">
        <f t="shared" si="8"/>
        <v>0</v>
      </c>
    </row>
    <row r="25" spans="2:8" ht="36" hidden="1" customHeight="1">
      <c r="B25" s="37"/>
      <c r="C25" s="38"/>
      <c r="D25" s="31"/>
      <c r="E25" s="28" t="str">
        <f t="shared" si="6"/>
        <v/>
      </c>
      <c r="F25" s="54" t="str">
        <f t="shared" si="4"/>
        <v>g</v>
      </c>
      <c r="G25" s="46">
        <f t="shared" si="7"/>
        <v>0</v>
      </c>
      <c r="H25" s="18">
        <f t="shared" si="8"/>
        <v>0</v>
      </c>
    </row>
    <row r="26" spans="2:8" ht="36" hidden="1" customHeight="1">
      <c r="B26" s="37"/>
      <c r="C26" s="38"/>
      <c r="D26" s="31"/>
      <c r="E26" s="28" t="str">
        <f t="shared" si="6"/>
        <v/>
      </c>
      <c r="F26" s="54" t="str">
        <f t="shared" si="4"/>
        <v>g</v>
      </c>
      <c r="G26" s="46">
        <f t="shared" si="7"/>
        <v>0</v>
      </c>
      <c r="H26" s="18">
        <f t="shared" si="8"/>
        <v>0</v>
      </c>
    </row>
    <row r="27" spans="2:8" ht="36" hidden="1" customHeight="1">
      <c r="B27" s="37"/>
      <c r="C27" s="38"/>
      <c r="D27" s="31"/>
      <c r="E27" s="28" t="str">
        <f t="shared" si="6"/>
        <v/>
      </c>
      <c r="F27" s="54" t="str">
        <f t="shared" si="4"/>
        <v>g</v>
      </c>
      <c r="G27" s="46">
        <f t="shared" si="7"/>
        <v>0</v>
      </c>
      <c r="H27" s="18">
        <f t="shared" si="8"/>
        <v>0</v>
      </c>
    </row>
    <row r="28" spans="2:8" ht="36" hidden="1" customHeight="1">
      <c r="B28" s="37"/>
      <c r="C28" s="38"/>
      <c r="D28" s="31"/>
      <c r="E28" s="28" t="str">
        <f t="shared" si="6"/>
        <v/>
      </c>
      <c r="F28" s="54" t="str">
        <f t="shared" si="4"/>
        <v>g</v>
      </c>
      <c r="G28" s="46">
        <f t="shared" si="7"/>
        <v>0</v>
      </c>
      <c r="H28" s="18">
        <f t="shared" si="8"/>
        <v>0</v>
      </c>
    </row>
    <row r="29" spans="2:8" ht="36" hidden="1" customHeight="1">
      <c r="B29" s="37"/>
      <c r="C29" s="38"/>
      <c r="D29" s="31"/>
      <c r="E29" s="28" t="str">
        <f t="shared" si="6"/>
        <v/>
      </c>
      <c r="F29" s="54" t="str">
        <f t="shared" si="4"/>
        <v>g</v>
      </c>
      <c r="G29" s="46">
        <f t="shared" si="7"/>
        <v>0</v>
      </c>
      <c r="H29" s="18">
        <f t="shared" si="8"/>
        <v>0</v>
      </c>
    </row>
    <row r="30" spans="2:8" ht="36" hidden="1" customHeight="1">
      <c r="B30" s="37"/>
      <c r="C30" s="38"/>
      <c r="D30" s="31"/>
      <c r="E30" s="28" t="str">
        <f t="shared" si="6"/>
        <v/>
      </c>
      <c r="F30" s="54" t="str">
        <f t="shared" si="4"/>
        <v>g</v>
      </c>
      <c r="G30" s="46">
        <f t="shared" si="7"/>
        <v>0</v>
      </c>
      <c r="H30" s="18">
        <f t="shared" si="8"/>
        <v>0</v>
      </c>
    </row>
    <row r="31" spans="2:8" ht="36" hidden="1" customHeight="1">
      <c r="B31" s="37"/>
      <c r="C31" s="38"/>
      <c r="D31" s="31"/>
      <c r="E31" s="28" t="str">
        <f t="shared" si="6"/>
        <v/>
      </c>
      <c r="F31" s="54" t="str">
        <f t="shared" si="4"/>
        <v>g</v>
      </c>
      <c r="G31" s="46">
        <f t="shared" si="7"/>
        <v>0</v>
      </c>
      <c r="H31" s="18">
        <f t="shared" si="8"/>
        <v>0</v>
      </c>
    </row>
    <row r="32" spans="2:8" ht="36" hidden="1" customHeight="1">
      <c r="B32" s="37"/>
      <c r="C32" s="38"/>
      <c r="D32" s="31"/>
      <c r="E32" s="28" t="str">
        <f t="shared" si="6"/>
        <v/>
      </c>
      <c r="F32" s="54" t="str">
        <f t="shared" si="4"/>
        <v>g</v>
      </c>
      <c r="G32" s="46">
        <f t="shared" si="7"/>
        <v>0</v>
      </c>
      <c r="H32" s="18">
        <f t="shared" si="8"/>
        <v>0</v>
      </c>
    </row>
    <row r="33" spans="2:8" ht="36" hidden="1" customHeight="1">
      <c r="B33" s="37"/>
      <c r="C33" s="38"/>
      <c r="D33" s="31"/>
      <c r="E33" s="28" t="str">
        <f t="shared" si="6"/>
        <v/>
      </c>
      <c r="F33" s="54" t="str">
        <f t="shared" si="4"/>
        <v>g</v>
      </c>
      <c r="G33" s="46">
        <f t="shared" si="7"/>
        <v>0</v>
      </c>
      <c r="H33" s="18">
        <f t="shared" si="8"/>
        <v>0</v>
      </c>
    </row>
    <row r="34" spans="2:8" ht="36" hidden="1" customHeight="1">
      <c r="B34" s="37"/>
      <c r="C34" s="38"/>
      <c r="D34" s="31"/>
      <c r="E34" s="28" t="str">
        <f t="shared" si="6"/>
        <v/>
      </c>
      <c r="F34" s="54" t="str">
        <f t="shared" si="4"/>
        <v>g</v>
      </c>
      <c r="G34" s="46">
        <f t="shared" si="7"/>
        <v>0</v>
      </c>
      <c r="H34" s="18">
        <f t="shared" si="8"/>
        <v>0</v>
      </c>
    </row>
    <row r="35" spans="2:8" ht="36" hidden="1" customHeight="1">
      <c r="B35" s="37"/>
      <c r="C35" s="38"/>
      <c r="D35" s="31"/>
      <c r="E35" s="28" t="str">
        <f t="shared" si="6"/>
        <v/>
      </c>
      <c r="F35" s="54" t="str">
        <f t="shared" si="4"/>
        <v>g</v>
      </c>
      <c r="G35" s="46">
        <f t="shared" si="7"/>
        <v>0</v>
      </c>
      <c r="H35" s="18">
        <f t="shared" si="8"/>
        <v>0</v>
      </c>
    </row>
    <row r="36" spans="2:8" ht="36" hidden="1" customHeight="1">
      <c r="B36" s="37"/>
      <c r="C36" s="38"/>
      <c r="D36" s="31"/>
      <c r="E36" s="28" t="str">
        <f t="shared" si="6"/>
        <v/>
      </c>
      <c r="F36" s="54" t="str">
        <f t="shared" si="4"/>
        <v>g</v>
      </c>
      <c r="G36" s="46">
        <f t="shared" si="7"/>
        <v>0</v>
      </c>
      <c r="H36" s="18">
        <f t="shared" si="8"/>
        <v>0</v>
      </c>
    </row>
    <row r="37" spans="2:8" ht="36" hidden="1" customHeight="1">
      <c r="B37" s="37"/>
      <c r="C37" s="38"/>
      <c r="D37" s="31"/>
      <c r="E37" s="28" t="str">
        <f t="shared" si="6"/>
        <v/>
      </c>
      <c r="F37" s="54" t="str">
        <f t="shared" si="4"/>
        <v>g</v>
      </c>
      <c r="G37" s="46">
        <f t="shared" si="7"/>
        <v>0</v>
      </c>
      <c r="H37" s="18">
        <f t="shared" si="8"/>
        <v>0</v>
      </c>
    </row>
    <row r="38" spans="2:8" ht="36" hidden="1" customHeight="1">
      <c r="B38" s="37"/>
      <c r="C38" s="38"/>
      <c r="D38" s="31"/>
      <c r="E38" s="28" t="str">
        <f t="shared" si="6"/>
        <v/>
      </c>
      <c r="F38" s="54" t="str">
        <f t="shared" si="4"/>
        <v>g</v>
      </c>
      <c r="G38" s="46">
        <f t="shared" si="7"/>
        <v>0</v>
      </c>
      <c r="H38" s="18">
        <f t="shared" si="8"/>
        <v>0</v>
      </c>
    </row>
    <row r="39" spans="2:8" ht="36" hidden="1" customHeight="1">
      <c r="B39" s="37"/>
      <c r="C39" s="38"/>
      <c r="D39" s="31"/>
      <c r="E39" s="28" t="str">
        <f t="shared" si="6"/>
        <v/>
      </c>
      <c r="F39" s="54" t="str">
        <f t="shared" si="4"/>
        <v>g</v>
      </c>
      <c r="G39" s="46">
        <f t="shared" si="7"/>
        <v>0</v>
      </c>
      <c r="H39" s="18">
        <f t="shared" si="8"/>
        <v>0</v>
      </c>
    </row>
    <row r="40" spans="2:8" ht="36" hidden="1" customHeight="1">
      <c r="B40" s="37"/>
      <c r="C40" s="38"/>
      <c r="D40" s="31"/>
      <c r="E40" s="28" t="str">
        <f t="shared" si="6"/>
        <v/>
      </c>
      <c r="F40" s="54" t="str">
        <f t="shared" si="4"/>
        <v>g</v>
      </c>
      <c r="G40" s="46">
        <f t="shared" si="7"/>
        <v>0</v>
      </c>
      <c r="H40" s="18">
        <f t="shared" si="8"/>
        <v>0</v>
      </c>
    </row>
    <row r="41" spans="2:8" ht="36" hidden="1" customHeight="1">
      <c r="B41" s="37"/>
      <c r="C41" s="38"/>
      <c r="D41" s="31"/>
      <c r="E41" s="28" t="str">
        <f t="shared" si="6"/>
        <v/>
      </c>
      <c r="F41" s="54" t="str">
        <f t="shared" si="4"/>
        <v>g</v>
      </c>
      <c r="G41" s="46">
        <f t="shared" si="7"/>
        <v>0</v>
      </c>
      <c r="H41" s="18">
        <f t="shared" si="8"/>
        <v>0</v>
      </c>
    </row>
    <row r="42" spans="2:8" ht="36" hidden="1" customHeight="1">
      <c r="B42" s="37"/>
      <c r="C42" s="38"/>
      <c r="D42" s="31"/>
      <c r="E42" s="28" t="str">
        <f t="shared" si="6"/>
        <v/>
      </c>
      <c r="F42" s="54" t="str">
        <f t="shared" si="4"/>
        <v>g</v>
      </c>
      <c r="G42" s="46">
        <f t="shared" si="7"/>
        <v>0</v>
      </c>
      <c r="H42" s="18">
        <f t="shared" si="8"/>
        <v>0</v>
      </c>
    </row>
    <row r="43" spans="2:8" ht="36" hidden="1" customHeight="1">
      <c r="B43" s="37"/>
      <c r="C43" s="38"/>
      <c r="D43" s="31"/>
      <c r="E43" s="28" t="str">
        <f t="shared" si="6"/>
        <v/>
      </c>
      <c r="F43" s="54" t="str">
        <f t="shared" si="4"/>
        <v>g</v>
      </c>
      <c r="G43" s="46">
        <f t="shared" si="7"/>
        <v>0</v>
      </c>
      <c r="H43" s="18">
        <f t="shared" si="8"/>
        <v>0</v>
      </c>
    </row>
    <row r="44" spans="2:8" ht="36" hidden="1" customHeight="1">
      <c r="B44" s="37"/>
      <c r="C44" s="38"/>
      <c r="D44" s="31"/>
      <c r="E44" s="28" t="str">
        <f t="shared" si="6"/>
        <v/>
      </c>
      <c r="F44" s="54" t="str">
        <f t="shared" si="4"/>
        <v>g</v>
      </c>
      <c r="G44" s="46">
        <f t="shared" si="7"/>
        <v>0</v>
      </c>
      <c r="H44" s="18">
        <f t="shared" si="8"/>
        <v>0</v>
      </c>
    </row>
    <row r="45" spans="2:8" ht="36" hidden="1" customHeight="1">
      <c r="B45" s="37"/>
      <c r="C45" s="38"/>
      <c r="D45" s="31"/>
      <c r="E45" s="28" t="str">
        <f t="shared" si="6"/>
        <v/>
      </c>
      <c r="F45" s="54" t="str">
        <f t="shared" si="4"/>
        <v>g</v>
      </c>
      <c r="G45" s="46">
        <f t="shared" si="7"/>
        <v>0</v>
      </c>
      <c r="H45" s="18">
        <f t="shared" si="8"/>
        <v>0</v>
      </c>
    </row>
    <row r="46" spans="2:8" ht="36" hidden="1" customHeight="1">
      <c r="B46" s="37"/>
      <c r="C46" s="38"/>
      <c r="D46" s="31"/>
      <c r="E46" s="28" t="str">
        <f t="shared" si="6"/>
        <v/>
      </c>
      <c r="F46" s="54" t="str">
        <f t="shared" si="4"/>
        <v>g</v>
      </c>
      <c r="G46" s="46">
        <f t="shared" si="7"/>
        <v>0</v>
      </c>
      <c r="H46" s="18">
        <f t="shared" si="8"/>
        <v>0</v>
      </c>
    </row>
    <row r="47" spans="2:8" ht="36" hidden="1" customHeight="1">
      <c r="B47" s="37"/>
      <c r="C47" s="38"/>
      <c r="D47" s="31"/>
      <c r="E47" s="28" t="str">
        <f t="shared" si="6"/>
        <v/>
      </c>
      <c r="F47" s="54" t="str">
        <f t="shared" si="4"/>
        <v>g</v>
      </c>
      <c r="G47" s="46">
        <f t="shared" si="7"/>
        <v>0</v>
      </c>
      <c r="H47" s="18">
        <f t="shared" si="8"/>
        <v>0</v>
      </c>
    </row>
    <row r="48" spans="2:8" ht="36" hidden="1" customHeight="1">
      <c r="B48" s="37"/>
      <c r="C48" s="38"/>
      <c r="D48" s="31"/>
      <c r="E48" s="28" t="str">
        <f t="shared" si="6"/>
        <v/>
      </c>
      <c r="F48" s="54" t="str">
        <f t="shared" si="4"/>
        <v>g</v>
      </c>
      <c r="G48" s="46">
        <f t="shared" si="7"/>
        <v>0</v>
      </c>
      <c r="H48" s="18">
        <f t="shared" si="8"/>
        <v>0</v>
      </c>
    </row>
    <row r="49" spans="2:8" ht="36" hidden="1" customHeight="1">
      <c r="B49" s="37"/>
      <c r="C49" s="38"/>
      <c r="D49" s="31"/>
      <c r="E49" s="28" t="str">
        <f t="shared" si="6"/>
        <v/>
      </c>
      <c r="F49" s="54" t="str">
        <f t="shared" si="4"/>
        <v>g</v>
      </c>
      <c r="G49" s="46">
        <f t="shared" si="7"/>
        <v>0</v>
      </c>
      <c r="H49" s="18">
        <f t="shared" si="8"/>
        <v>0</v>
      </c>
    </row>
    <row r="50" spans="2:8" ht="36" hidden="1" customHeight="1">
      <c r="B50" s="37"/>
      <c r="C50" s="38"/>
      <c r="D50" s="31"/>
      <c r="E50" s="28" t="str">
        <f t="shared" ref="E50:E73" si="9">IFERROR(H50/G50, IF(D50="", "", 0))</f>
        <v/>
      </c>
      <c r="F50" s="54" t="str">
        <f t="shared" si="4"/>
        <v>g</v>
      </c>
      <c r="G50" s="46">
        <f t="shared" ref="G50:G73" si="10">IF(AND(D50="", B50&lt;&gt;""), 1, ROUNDUP(D50/30,0))</f>
        <v>0</v>
      </c>
      <c r="H50" s="18">
        <f t="shared" ref="H50:H73" si="11">IF(AND(D50="", B50&lt;&gt;""), $E$2, D50*$E$2)</f>
        <v>0</v>
      </c>
    </row>
    <row r="51" spans="2:8" ht="36" hidden="1" customHeight="1">
      <c r="B51" s="37"/>
      <c r="C51" s="38"/>
      <c r="D51" s="31"/>
      <c r="E51" s="28" t="str">
        <f t="shared" si="9"/>
        <v/>
      </c>
      <c r="F51" s="54" t="str">
        <f t="shared" si="4"/>
        <v>g</v>
      </c>
      <c r="G51" s="46">
        <f t="shared" si="10"/>
        <v>0</v>
      </c>
      <c r="H51" s="18">
        <f t="shared" si="11"/>
        <v>0</v>
      </c>
    </row>
    <row r="52" spans="2:8" ht="36" hidden="1" customHeight="1">
      <c r="B52" s="37"/>
      <c r="C52" s="38"/>
      <c r="D52" s="31"/>
      <c r="E52" s="28" t="str">
        <f t="shared" si="9"/>
        <v/>
      </c>
      <c r="F52" s="54" t="str">
        <f t="shared" si="4"/>
        <v>g</v>
      </c>
      <c r="G52" s="46">
        <f t="shared" si="10"/>
        <v>0</v>
      </c>
      <c r="H52" s="18">
        <f t="shared" si="11"/>
        <v>0</v>
      </c>
    </row>
    <row r="53" spans="2:8" ht="36" hidden="1" customHeight="1">
      <c r="B53" s="37"/>
      <c r="C53" s="38"/>
      <c r="D53" s="31"/>
      <c r="E53" s="28" t="str">
        <f t="shared" si="9"/>
        <v/>
      </c>
      <c r="F53" s="54" t="str">
        <f t="shared" si="4"/>
        <v>g</v>
      </c>
      <c r="G53" s="46">
        <f t="shared" si="10"/>
        <v>0</v>
      </c>
      <c r="H53" s="18">
        <f t="shared" si="11"/>
        <v>0</v>
      </c>
    </row>
    <row r="54" spans="2:8" ht="36" hidden="1" customHeight="1">
      <c r="B54" s="37"/>
      <c r="C54" s="38"/>
      <c r="D54" s="31"/>
      <c r="E54" s="28" t="str">
        <f t="shared" si="9"/>
        <v/>
      </c>
      <c r="F54" s="54" t="str">
        <f t="shared" si="4"/>
        <v>g</v>
      </c>
      <c r="G54" s="46">
        <f t="shared" si="10"/>
        <v>0</v>
      </c>
      <c r="H54" s="18">
        <f t="shared" si="11"/>
        <v>0</v>
      </c>
    </row>
    <row r="55" spans="2:8" ht="36" hidden="1" customHeight="1">
      <c r="B55" s="37"/>
      <c r="C55" s="38"/>
      <c r="D55" s="31"/>
      <c r="E55" s="28" t="str">
        <f t="shared" si="9"/>
        <v/>
      </c>
      <c r="F55" s="54" t="str">
        <f t="shared" si="4"/>
        <v>g</v>
      </c>
      <c r="G55" s="46">
        <f t="shared" si="10"/>
        <v>0</v>
      </c>
      <c r="H55" s="18">
        <f t="shared" si="11"/>
        <v>0</v>
      </c>
    </row>
    <row r="56" spans="2:8" ht="36" hidden="1" customHeight="1">
      <c r="B56" s="37"/>
      <c r="C56" s="38"/>
      <c r="D56" s="31"/>
      <c r="E56" s="28" t="str">
        <f t="shared" si="9"/>
        <v/>
      </c>
      <c r="F56" s="54" t="str">
        <f t="shared" si="4"/>
        <v>g</v>
      </c>
      <c r="G56" s="46">
        <f t="shared" si="10"/>
        <v>0</v>
      </c>
      <c r="H56" s="18">
        <f t="shared" si="11"/>
        <v>0</v>
      </c>
    </row>
    <row r="57" spans="2:8" ht="36" hidden="1" customHeight="1">
      <c r="B57" s="37"/>
      <c r="C57" s="38"/>
      <c r="D57" s="31"/>
      <c r="E57" s="28" t="str">
        <f t="shared" si="9"/>
        <v/>
      </c>
      <c r="F57" s="54" t="str">
        <f t="shared" si="4"/>
        <v>g</v>
      </c>
      <c r="G57" s="46">
        <f t="shared" si="10"/>
        <v>0</v>
      </c>
      <c r="H57" s="18">
        <f t="shared" si="11"/>
        <v>0</v>
      </c>
    </row>
    <row r="58" spans="2:8" ht="36" hidden="1" customHeight="1">
      <c r="B58" s="37"/>
      <c r="C58" s="38"/>
      <c r="D58" s="31"/>
      <c r="E58" s="28" t="str">
        <f t="shared" si="9"/>
        <v/>
      </c>
      <c r="F58" s="54" t="str">
        <f t="shared" si="4"/>
        <v>g</v>
      </c>
      <c r="G58" s="46">
        <f t="shared" si="10"/>
        <v>0</v>
      </c>
      <c r="H58" s="18">
        <f t="shared" si="11"/>
        <v>0</v>
      </c>
    </row>
    <row r="59" spans="2:8" ht="36" hidden="1" customHeight="1">
      <c r="B59" s="37"/>
      <c r="C59" s="38"/>
      <c r="D59" s="31"/>
      <c r="E59" s="28" t="str">
        <f t="shared" si="9"/>
        <v/>
      </c>
      <c r="F59" s="54" t="str">
        <f t="shared" si="4"/>
        <v>g</v>
      </c>
      <c r="G59" s="46">
        <f t="shared" si="10"/>
        <v>0</v>
      </c>
      <c r="H59" s="18">
        <f t="shared" si="11"/>
        <v>0</v>
      </c>
    </row>
    <row r="60" spans="2:8" ht="36" hidden="1" customHeight="1">
      <c r="B60" s="37"/>
      <c r="C60" s="38"/>
      <c r="D60" s="31"/>
      <c r="E60" s="28" t="str">
        <f t="shared" si="9"/>
        <v/>
      </c>
      <c r="F60" s="54" t="str">
        <f t="shared" si="4"/>
        <v>g</v>
      </c>
      <c r="G60" s="46">
        <f t="shared" si="10"/>
        <v>0</v>
      </c>
      <c r="H60" s="18">
        <f t="shared" si="11"/>
        <v>0</v>
      </c>
    </row>
    <row r="61" spans="2:8" ht="36" hidden="1" customHeight="1">
      <c r="B61" s="37"/>
      <c r="C61" s="38"/>
      <c r="D61" s="31"/>
      <c r="E61" s="28" t="str">
        <f t="shared" si="9"/>
        <v/>
      </c>
      <c r="F61" s="54" t="str">
        <f t="shared" si="4"/>
        <v>g</v>
      </c>
      <c r="G61" s="46">
        <f t="shared" si="10"/>
        <v>0</v>
      </c>
      <c r="H61" s="18">
        <f t="shared" si="11"/>
        <v>0</v>
      </c>
    </row>
    <row r="62" spans="2:8" ht="36" hidden="1" customHeight="1">
      <c r="B62" s="37"/>
      <c r="C62" s="38"/>
      <c r="D62" s="31"/>
      <c r="E62" s="28" t="str">
        <f t="shared" si="9"/>
        <v/>
      </c>
      <c r="F62" s="54" t="str">
        <f t="shared" si="4"/>
        <v>g</v>
      </c>
      <c r="G62" s="46">
        <f t="shared" si="10"/>
        <v>0</v>
      </c>
      <c r="H62" s="18">
        <f t="shared" si="11"/>
        <v>0</v>
      </c>
    </row>
    <row r="63" spans="2:8" ht="36" hidden="1" customHeight="1">
      <c r="B63" s="37"/>
      <c r="C63" s="38"/>
      <c r="D63" s="31"/>
      <c r="E63" s="28" t="str">
        <f t="shared" si="9"/>
        <v/>
      </c>
      <c r="F63" s="54" t="str">
        <f t="shared" si="4"/>
        <v>g</v>
      </c>
      <c r="G63" s="46">
        <f t="shared" si="10"/>
        <v>0</v>
      </c>
      <c r="H63" s="18">
        <f t="shared" si="11"/>
        <v>0</v>
      </c>
    </row>
    <row r="64" spans="2:8" ht="36" hidden="1" customHeight="1">
      <c r="B64" s="37"/>
      <c r="C64" s="38"/>
      <c r="D64" s="31"/>
      <c r="E64" s="28" t="str">
        <f t="shared" si="9"/>
        <v/>
      </c>
      <c r="F64" s="54" t="str">
        <f t="shared" si="4"/>
        <v>g</v>
      </c>
      <c r="G64" s="46">
        <f t="shared" si="10"/>
        <v>0</v>
      </c>
      <c r="H64" s="18">
        <f t="shared" si="11"/>
        <v>0</v>
      </c>
    </row>
    <row r="65" spans="2:8" ht="36" hidden="1" customHeight="1">
      <c r="B65" s="37"/>
      <c r="C65" s="38"/>
      <c r="D65" s="31"/>
      <c r="E65" s="28" t="str">
        <f t="shared" si="9"/>
        <v/>
      </c>
      <c r="F65" s="54" t="str">
        <f t="shared" si="4"/>
        <v>g</v>
      </c>
      <c r="G65" s="46">
        <f t="shared" si="10"/>
        <v>0</v>
      </c>
      <c r="H65" s="18">
        <f t="shared" si="11"/>
        <v>0</v>
      </c>
    </row>
    <row r="66" spans="2:8" ht="36" hidden="1" customHeight="1">
      <c r="B66" s="37"/>
      <c r="C66" s="38"/>
      <c r="D66" s="31"/>
      <c r="E66" s="28" t="str">
        <f t="shared" si="9"/>
        <v/>
      </c>
      <c r="F66" s="54" t="str">
        <f t="shared" si="4"/>
        <v>g</v>
      </c>
      <c r="G66" s="46">
        <f t="shared" si="10"/>
        <v>0</v>
      </c>
      <c r="H66" s="18">
        <f t="shared" si="11"/>
        <v>0</v>
      </c>
    </row>
    <row r="67" spans="2:8" ht="36" hidden="1" customHeight="1">
      <c r="B67" s="37"/>
      <c r="C67" s="38"/>
      <c r="D67" s="31"/>
      <c r="E67" s="28" t="str">
        <f t="shared" si="9"/>
        <v/>
      </c>
      <c r="F67" s="54" t="str">
        <f t="shared" si="4"/>
        <v>g</v>
      </c>
      <c r="G67" s="46">
        <f t="shared" si="10"/>
        <v>0</v>
      </c>
      <c r="H67" s="18">
        <f t="shared" si="11"/>
        <v>0</v>
      </c>
    </row>
    <row r="68" spans="2:8" ht="36" hidden="1" customHeight="1">
      <c r="B68" s="37"/>
      <c r="C68" s="38"/>
      <c r="D68" s="31"/>
      <c r="E68" s="28" t="str">
        <f t="shared" si="9"/>
        <v/>
      </c>
      <c r="F68" s="54" t="str">
        <f t="shared" si="4"/>
        <v>g</v>
      </c>
      <c r="G68" s="46">
        <f t="shared" si="10"/>
        <v>0</v>
      </c>
      <c r="H68" s="18">
        <f t="shared" si="11"/>
        <v>0</v>
      </c>
    </row>
    <row r="69" spans="2:8" ht="36" hidden="1" customHeight="1">
      <c r="B69" s="37"/>
      <c r="C69" s="38"/>
      <c r="D69" s="31"/>
      <c r="E69" s="28" t="str">
        <f t="shared" si="9"/>
        <v/>
      </c>
      <c r="F69" s="54" t="str">
        <f t="shared" si="4"/>
        <v>g</v>
      </c>
      <c r="G69" s="46">
        <f t="shared" si="10"/>
        <v>0</v>
      </c>
      <c r="H69" s="18">
        <f t="shared" si="11"/>
        <v>0</v>
      </c>
    </row>
    <row r="70" spans="2:8" ht="36" hidden="1" customHeight="1">
      <c r="B70" s="37"/>
      <c r="C70" s="38"/>
      <c r="D70" s="31"/>
      <c r="E70" s="28" t="str">
        <f t="shared" si="9"/>
        <v/>
      </c>
      <c r="F70" s="54" t="str">
        <f t="shared" si="4"/>
        <v>g</v>
      </c>
      <c r="G70" s="46">
        <f t="shared" si="10"/>
        <v>0</v>
      </c>
      <c r="H70" s="18">
        <f t="shared" si="11"/>
        <v>0</v>
      </c>
    </row>
    <row r="71" spans="2:8" ht="36" hidden="1" customHeight="1">
      <c r="B71" s="37"/>
      <c r="C71" s="38"/>
      <c r="D71" s="31"/>
      <c r="E71" s="28" t="str">
        <f t="shared" si="9"/>
        <v/>
      </c>
      <c r="F71" s="54" t="str">
        <f t="shared" si="4"/>
        <v>g</v>
      </c>
      <c r="G71" s="46">
        <f t="shared" si="10"/>
        <v>0</v>
      </c>
      <c r="H71" s="18">
        <f t="shared" si="11"/>
        <v>0</v>
      </c>
    </row>
    <row r="72" spans="2:8" ht="36" hidden="1" customHeight="1">
      <c r="B72" s="37"/>
      <c r="C72" s="38"/>
      <c r="D72" s="31"/>
      <c r="E72" s="28" t="str">
        <f t="shared" si="9"/>
        <v/>
      </c>
      <c r="F72" s="54" t="str">
        <f t="shared" si="4"/>
        <v>g</v>
      </c>
      <c r="G72" s="46">
        <f t="shared" si="10"/>
        <v>0</v>
      </c>
      <c r="H72" s="18">
        <f t="shared" si="11"/>
        <v>0</v>
      </c>
    </row>
    <row r="73" spans="2:8" ht="36" hidden="1" customHeight="1">
      <c r="B73" s="37"/>
      <c r="C73" s="38"/>
      <c r="D73" s="31"/>
      <c r="E73" s="28" t="str">
        <f t="shared" si="9"/>
        <v/>
      </c>
      <c r="F73" s="54" t="str">
        <f t="shared" si="4"/>
        <v>g</v>
      </c>
      <c r="G73" s="46">
        <f t="shared" si="10"/>
        <v>0</v>
      </c>
      <c r="H73" s="18">
        <f t="shared" si="11"/>
        <v>0</v>
      </c>
    </row>
    <row r="74" spans="2:8" ht="36" hidden="1" customHeight="1">
      <c r="B74" s="37"/>
      <c r="C74" s="38"/>
      <c r="D74" s="31"/>
      <c r="E74" s="28" t="str">
        <f t="shared" si="6"/>
        <v/>
      </c>
      <c r="F74" s="54" t="str">
        <f t="shared" si="4"/>
        <v>g</v>
      </c>
      <c r="G74" s="46">
        <f t="shared" si="7"/>
        <v>0</v>
      </c>
      <c r="H74" s="18">
        <f t="shared" si="8"/>
        <v>0</v>
      </c>
    </row>
    <row r="75" spans="2:8" ht="36" hidden="1" customHeight="1">
      <c r="B75" s="37"/>
      <c r="C75" s="38"/>
      <c r="D75" s="31"/>
      <c r="E75" s="28" t="str">
        <f t="shared" si="6"/>
        <v/>
      </c>
      <c r="F75" s="54" t="str">
        <f t="shared" si="4"/>
        <v>g</v>
      </c>
      <c r="G75" s="46">
        <f t="shared" si="7"/>
        <v>0</v>
      </c>
      <c r="H75" s="18">
        <f t="shared" si="8"/>
        <v>0</v>
      </c>
    </row>
    <row r="76" spans="2:8" ht="36" hidden="1" customHeight="1">
      <c r="B76" s="37"/>
      <c r="C76" s="38"/>
      <c r="D76" s="31"/>
      <c r="E76" s="28" t="str">
        <f t="shared" si="6"/>
        <v/>
      </c>
      <c r="F76" s="54" t="str">
        <f t="shared" si="4"/>
        <v>g</v>
      </c>
      <c r="G76" s="46">
        <f t="shared" si="7"/>
        <v>0</v>
      </c>
      <c r="H76" s="18">
        <f t="shared" si="8"/>
        <v>0</v>
      </c>
    </row>
    <row r="77" spans="2:8" ht="36" hidden="1" customHeight="1">
      <c r="B77" s="37"/>
      <c r="C77" s="38"/>
      <c r="D77" s="31"/>
      <c r="E77" s="28" t="str">
        <f t="shared" si="6"/>
        <v/>
      </c>
      <c r="F77" s="54" t="str">
        <f t="shared" si="4"/>
        <v>g</v>
      </c>
      <c r="G77" s="46">
        <f t="shared" si="7"/>
        <v>0</v>
      </c>
      <c r="H77" s="18">
        <f t="shared" si="8"/>
        <v>0</v>
      </c>
    </row>
    <row r="78" spans="2:8" ht="36" hidden="1" customHeight="1">
      <c r="B78" s="37"/>
      <c r="C78" s="38"/>
      <c r="D78" s="31"/>
      <c r="E78" s="28" t="str">
        <f t="shared" si="6"/>
        <v/>
      </c>
      <c r="F78" s="54" t="str">
        <f t="shared" si="4"/>
        <v>g</v>
      </c>
      <c r="G78" s="46">
        <f t="shared" si="7"/>
        <v>0</v>
      </c>
      <c r="H78" s="18">
        <f t="shared" si="8"/>
        <v>0</v>
      </c>
    </row>
    <row r="79" spans="2:8" ht="36" hidden="1" customHeight="1">
      <c r="B79" s="37"/>
      <c r="C79" s="38"/>
      <c r="D79" s="31"/>
      <c r="E79" s="28" t="str">
        <f t="shared" si="6"/>
        <v/>
      </c>
      <c r="F79" s="54" t="str">
        <f t="shared" si="4"/>
        <v>g</v>
      </c>
      <c r="G79" s="46">
        <f t="shared" si="7"/>
        <v>0</v>
      </c>
      <c r="H79" s="18">
        <f t="shared" si="8"/>
        <v>0</v>
      </c>
    </row>
    <row r="80" spans="2:8" ht="36" hidden="1" customHeight="1">
      <c r="B80" s="37"/>
      <c r="C80" s="38"/>
      <c r="D80" s="31"/>
      <c r="E80" s="28" t="str">
        <f t="shared" si="6"/>
        <v/>
      </c>
      <c r="F80" s="54" t="str">
        <f t="shared" si="4"/>
        <v>g</v>
      </c>
      <c r="G80" s="46">
        <f t="shared" si="7"/>
        <v>0</v>
      </c>
      <c r="H80" s="18">
        <f t="shared" si="8"/>
        <v>0</v>
      </c>
    </row>
    <row r="81" spans="2:8" ht="36" hidden="1" customHeight="1">
      <c r="B81" s="37"/>
      <c r="C81" s="38"/>
      <c r="D81" s="31"/>
      <c r="E81" s="28" t="str">
        <f t="shared" si="6"/>
        <v/>
      </c>
      <c r="F81" s="54" t="str">
        <f t="shared" si="4"/>
        <v>g</v>
      </c>
      <c r="G81" s="46">
        <f t="shared" si="7"/>
        <v>0</v>
      </c>
      <c r="H81" s="18">
        <f t="shared" si="8"/>
        <v>0</v>
      </c>
    </row>
    <row r="82" spans="2:8" ht="36" hidden="1" customHeight="1">
      <c r="B82" s="37"/>
      <c r="C82" s="38"/>
      <c r="D82" s="31"/>
      <c r="E82" s="28" t="str">
        <f t="shared" si="6"/>
        <v/>
      </c>
      <c r="F82" s="54" t="str">
        <f t="shared" si="4"/>
        <v>g</v>
      </c>
      <c r="G82" s="46">
        <f t="shared" si="7"/>
        <v>0</v>
      </c>
      <c r="H82" s="18">
        <f t="shared" si="8"/>
        <v>0</v>
      </c>
    </row>
    <row r="83" spans="2:8" ht="36" hidden="1" customHeight="1">
      <c r="B83" s="37"/>
      <c r="C83" s="38"/>
      <c r="D83" s="31"/>
      <c r="E83" s="28" t="str">
        <f t="shared" si="6"/>
        <v/>
      </c>
      <c r="F83" s="54" t="str">
        <f t="shared" si="4"/>
        <v>g</v>
      </c>
      <c r="G83" s="46">
        <f t="shared" si="7"/>
        <v>0</v>
      </c>
      <c r="H83" s="18">
        <f t="shared" si="8"/>
        <v>0</v>
      </c>
    </row>
    <row r="84" spans="2:8" ht="36" hidden="1" customHeight="1">
      <c r="B84" s="37"/>
      <c r="C84" s="38"/>
      <c r="D84" s="31"/>
      <c r="E84" s="28" t="str">
        <f t="shared" si="6"/>
        <v/>
      </c>
      <c r="F84" s="54" t="str">
        <f t="shared" si="4"/>
        <v>g</v>
      </c>
      <c r="G84" s="46">
        <f t="shared" si="7"/>
        <v>0</v>
      </c>
      <c r="H84" s="18">
        <f t="shared" si="8"/>
        <v>0</v>
      </c>
    </row>
    <row r="85" spans="2:8" ht="36" customHeight="1" thickBot="1">
      <c r="B85" s="39"/>
      <c r="C85" s="40"/>
      <c r="D85" s="41"/>
      <c r="E85" s="42" t="str">
        <f t="shared" si="6"/>
        <v/>
      </c>
      <c r="F85" s="56" t="str">
        <f t="shared" si="4"/>
        <v>g</v>
      </c>
      <c r="G85" s="48">
        <f t="shared" si="7"/>
        <v>0</v>
      </c>
      <c r="H85" s="19">
        <f>IF(AND(D85="", B85&lt;&gt;""), $E$2, D85*$E$2)</f>
        <v>0</v>
      </c>
    </row>
    <row r="86" spans="2:8" ht="32.1" customHeight="1">
      <c r="B86" s="2"/>
      <c r="C86" s="2"/>
      <c r="D86" s="2"/>
    </row>
    <row r="87" spans="2:8" ht="32.1" customHeight="1">
      <c r="B87" s="2"/>
      <c r="C87" s="2"/>
      <c r="D87" s="2"/>
    </row>
    <row r="88" spans="2:8" ht="32.1" customHeight="1">
      <c r="B88" s="2"/>
      <c r="C88" s="2"/>
      <c r="D88" s="2"/>
    </row>
    <row r="89" spans="2:8" ht="32.1" customHeight="1">
      <c r="B89" s="2"/>
      <c r="C89" s="2"/>
      <c r="D89" s="2"/>
    </row>
    <row r="90" spans="2:8" ht="32.1" customHeight="1">
      <c r="B90" s="2"/>
      <c r="C90" s="2"/>
      <c r="D90" s="2"/>
    </row>
    <row r="91" spans="2:8" ht="32.1" customHeight="1">
      <c r="B91" s="2"/>
      <c r="C91" s="2"/>
      <c r="D91" s="2"/>
    </row>
    <row r="92" spans="2:8" ht="32.1" customHeight="1">
      <c r="B92" s="2"/>
      <c r="C92" s="2"/>
      <c r="D92" s="2"/>
    </row>
    <row r="93" spans="2:8" ht="32.1" customHeight="1">
      <c r="B93" s="2"/>
      <c r="C93" s="2"/>
      <c r="D93" s="2"/>
    </row>
    <row r="94" spans="2:8" ht="32.1" customHeight="1">
      <c r="B94" s="2"/>
      <c r="C94" s="2"/>
      <c r="D94" s="2"/>
    </row>
    <row r="95" spans="2:8" ht="32.1" customHeight="1">
      <c r="B95" s="2"/>
      <c r="C95" s="2"/>
      <c r="D95" s="2"/>
    </row>
    <row r="96" spans="2:8" ht="32.1" customHeight="1">
      <c r="B96" s="2"/>
      <c r="C96" s="2"/>
      <c r="D96" s="2"/>
    </row>
    <row r="97" spans="2:4" ht="32.1" customHeight="1">
      <c r="B97" s="2"/>
      <c r="C97" s="2"/>
      <c r="D97" s="2"/>
    </row>
    <row r="98" spans="2:4" ht="32.1" customHeight="1">
      <c r="B98" s="2"/>
      <c r="C98" s="2"/>
      <c r="D98" s="2"/>
    </row>
  </sheetData>
  <mergeCells count="9">
    <mergeCell ref="B10:C10"/>
    <mergeCell ref="B11:C11"/>
    <mergeCell ref="B12:C12"/>
    <mergeCell ref="G1:H1"/>
    <mergeCell ref="B4:C4"/>
    <mergeCell ref="E1:F1"/>
    <mergeCell ref="B1:D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85F0-D499-F740-98F3-AB153AC4CFBA}">
  <sheetPr>
    <pageSetUpPr fitToPage="1"/>
  </sheetPr>
  <dimension ref="B1:Q74"/>
  <sheetViews>
    <sheetView showGridLines="0" view="pageBreakPreview" zoomScale="60" zoomScaleNormal="100" workbookViewId="0"/>
  </sheetViews>
  <sheetFormatPr defaultColWidth="13.109375" defaultRowHeight="32.1" customHeight="1"/>
  <cols>
    <col min="1" max="1" width="3.44140625" style="3" customWidth="1"/>
    <col min="2" max="2" width="10.44140625" style="3" customWidth="1"/>
    <col min="3" max="3" width="46.6640625" style="3" customWidth="1"/>
    <col min="4" max="4" width="8.44140625" style="3" customWidth="1"/>
    <col min="5" max="5" width="11.6640625" style="5" customWidth="1"/>
    <col min="6" max="6" width="5.6640625" style="6" customWidth="1"/>
    <col min="7" max="7" width="8.44140625" style="3" customWidth="1"/>
    <col min="8" max="8" width="9.88671875" style="1" hidden="1" customWidth="1"/>
    <col min="9" max="17" width="7.6640625" style="1" customWidth="1"/>
    <col min="18" max="16384" width="13.109375" style="3"/>
  </cols>
  <sheetData>
    <row r="1" spans="2:17" ht="48" customHeight="1" thickBot="1">
      <c r="B1" s="75" t="s">
        <v>3</v>
      </c>
      <c r="C1" s="74"/>
      <c r="D1" s="74"/>
      <c r="E1" s="74"/>
      <c r="F1" s="74"/>
      <c r="G1" s="71"/>
      <c r="H1" s="71"/>
    </row>
    <row r="2" spans="2:17" ht="50.1" customHeight="1">
      <c r="B2" s="76"/>
      <c r="C2" s="77"/>
      <c r="D2" s="77"/>
      <c r="E2" s="23"/>
      <c r="F2" s="52" t="s">
        <v>2</v>
      </c>
      <c r="G2" s="57"/>
      <c r="H2" s="11"/>
    </row>
    <row r="3" spans="2:17" s="4" customFormat="1" ht="36" customHeight="1" thickBot="1">
      <c r="B3" s="9"/>
      <c r="C3" s="10"/>
      <c r="D3" s="26" t="s">
        <v>4</v>
      </c>
      <c r="E3" s="81" t="s">
        <v>3</v>
      </c>
      <c r="F3" s="82"/>
      <c r="G3" s="58" t="s">
        <v>6</v>
      </c>
      <c r="H3" s="12" t="s">
        <v>5</v>
      </c>
      <c r="I3" s="1"/>
      <c r="J3" s="1"/>
      <c r="K3" s="1"/>
      <c r="L3" s="1"/>
      <c r="M3" s="1"/>
      <c r="N3" s="1"/>
      <c r="O3" s="1"/>
      <c r="P3" s="1"/>
      <c r="Q3" s="1"/>
    </row>
    <row r="4" spans="2:17" ht="32.1" customHeight="1" thickTop="1">
      <c r="B4" s="80" t="s">
        <v>1</v>
      </c>
      <c r="C4" s="73"/>
      <c r="D4" s="27">
        <v>1</v>
      </c>
      <c r="E4" s="28">
        <f>D4*$E$2</f>
        <v>0</v>
      </c>
      <c r="F4" s="53" t="str">
        <f>$F$2</f>
        <v>g</v>
      </c>
      <c r="G4" s="59"/>
      <c r="H4" s="13"/>
    </row>
    <row r="5" spans="2:17" ht="32.1" customHeight="1">
      <c r="B5" s="29">
        <v>30</v>
      </c>
      <c r="C5" s="30" t="s">
        <v>10</v>
      </c>
      <c r="D5" s="31">
        <v>1</v>
      </c>
      <c r="E5" s="32">
        <f>B5*$E$2</f>
        <v>0</v>
      </c>
      <c r="F5" s="54" t="str">
        <f t="shared" ref="F5:F9" si="0">$F$2</f>
        <v>g</v>
      </c>
      <c r="G5" s="60">
        <v>0</v>
      </c>
      <c r="H5" s="14">
        <f>B5*G5*$E$2</f>
        <v>0</v>
      </c>
      <c r="I5"/>
      <c r="J5"/>
    </row>
    <row r="6" spans="2:17" ht="32.1" customHeight="1">
      <c r="B6" s="29">
        <v>10</v>
      </c>
      <c r="C6" s="30" t="s">
        <v>11</v>
      </c>
      <c r="D6" s="31">
        <v>1</v>
      </c>
      <c r="E6" s="32">
        <f t="shared" ref="E6:E9" si="1">B6*$E$2</f>
        <v>0</v>
      </c>
      <c r="F6" s="54" t="str">
        <f t="shared" si="0"/>
        <v>g</v>
      </c>
      <c r="G6" s="60">
        <v>2</v>
      </c>
      <c r="H6" s="14">
        <f t="shared" ref="H6:H9" si="2">B6*G6*$E$2</f>
        <v>0</v>
      </c>
      <c r="I6"/>
      <c r="J6"/>
    </row>
    <row r="7" spans="2:17" ht="36" customHeight="1">
      <c r="B7" s="29">
        <v>1</v>
      </c>
      <c r="C7" s="30" t="s">
        <v>13</v>
      </c>
      <c r="D7" s="31">
        <v>1</v>
      </c>
      <c r="E7" s="32">
        <v>50</v>
      </c>
      <c r="F7" s="54" t="str">
        <f t="shared" si="0"/>
        <v>g</v>
      </c>
      <c r="G7" s="44"/>
      <c r="H7" s="14">
        <f t="shared" si="2"/>
        <v>0</v>
      </c>
      <c r="I7"/>
      <c r="J7"/>
    </row>
    <row r="8" spans="2:17" ht="32.1" customHeight="1">
      <c r="B8" s="29">
        <v>1</v>
      </c>
      <c r="C8" s="30" t="s">
        <v>11</v>
      </c>
      <c r="D8" s="31">
        <v>1</v>
      </c>
      <c r="E8" s="32">
        <f t="shared" si="1"/>
        <v>0</v>
      </c>
      <c r="F8" s="54" t="str">
        <f t="shared" si="0"/>
        <v>g</v>
      </c>
      <c r="G8" s="60"/>
      <c r="H8" s="14">
        <f t="shared" si="2"/>
        <v>0</v>
      </c>
      <c r="I8"/>
      <c r="J8"/>
    </row>
    <row r="9" spans="2:17" ht="32.1" customHeight="1" thickBot="1">
      <c r="B9" s="49">
        <v>1</v>
      </c>
      <c r="C9" s="50" t="s">
        <v>12</v>
      </c>
      <c r="D9" s="33">
        <v>1</v>
      </c>
      <c r="E9" s="34">
        <f t="shared" si="1"/>
        <v>0</v>
      </c>
      <c r="F9" s="55" t="str">
        <f t="shared" si="0"/>
        <v>g</v>
      </c>
      <c r="G9" s="61"/>
      <c r="H9" s="15">
        <f t="shared" si="2"/>
        <v>0</v>
      </c>
      <c r="I9"/>
      <c r="J9"/>
    </row>
    <row r="10" spans="2:17" ht="32.1" hidden="1" customHeight="1" thickTop="1">
      <c r="B10" s="35"/>
      <c r="C10" s="36"/>
      <c r="D10" s="27"/>
      <c r="E10" s="28" t="str">
        <f>IFERROR(H10/G10, "")</f>
        <v/>
      </c>
      <c r="F10" s="53" t="str">
        <f t="shared" ref="F10:F61" si="3">$F$2</f>
        <v>g</v>
      </c>
      <c r="G10" s="62">
        <f>ROUNDUP(D10/30,0)</f>
        <v>0</v>
      </c>
      <c r="H10" s="21">
        <f>D10*$E$2</f>
        <v>0</v>
      </c>
    </row>
    <row r="11" spans="2:17" ht="32.1" hidden="1" customHeight="1">
      <c r="B11" s="37"/>
      <c r="C11" s="38"/>
      <c r="D11" s="31"/>
      <c r="E11" s="28" t="str">
        <f>IFERROR(H11/G11, "")</f>
        <v/>
      </c>
      <c r="F11" s="54" t="str">
        <f t="shared" si="3"/>
        <v>g</v>
      </c>
      <c r="G11" s="63">
        <f t="shared" ref="G11:G12" si="4">ROUNDUP(D11/30,0)</f>
        <v>0</v>
      </c>
      <c r="H11" s="18">
        <f t="shared" ref="H11:H12" si="5">D11*$E$2</f>
        <v>0</v>
      </c>
    </row>
    <row r="12" spans="2:17" ht="32.1" hidden="1" customHeight="1">
      <c r="B12" s="37"/>
      <c r="C12" s="38"/>
      <c r="D12" s="31"/>
      <c r="E12" s="28" t="str">
        <f t="shared" ref="E12" si="6">IFERROR(H12/G12, "")</f>
        <v/>
      </c>
      <c r="F12" s="54" t="str">
        <f t="shared" si="3"/>
        <v>g</v>
      </c>
      <c r="G12" s="63">
        <f t="shared" si="4"/>
        <v>0</v>
      </c>
      <c r="H12" s="18">
        <f t="shared" si="5"/>
        <v>0</v>
      </c>
    </row>
    <row r="13" spans="2:17" ht="32.1" customHeight="1" thickTop="1">
      <c r="B13" s="37"/>
      <c r="C13" s="38"/>
      <c r="D13" s="31"/>
      <c r="E13" s="28" t="str">
        <f t="shared" ref="E13:E44" si="7">IFERROR(H13/G13, IF(D13="", "", 0))</f>
        <v/>
      </c>
      <c r="F13" s="54" t="str">
        <f t="shared" si="3"/>
        <v>g</v>
      </c>
      <c r="G13" s="63">
        <f t="shared" ref="G13:G44" si="8">IF(AND(D13="", B13&lt;&gt;""), 1, ROUNDUP(D13/30,0))</f>
        <v>0</v>
      </c>
      <c r="H13" s="18">
        <f t="shared" ref="H13:H44" si="9">IF(AND(D13="", B13&lt;&gt;""), $E$2, D13*$E$2)</f>
        <v>0</v>
      </c>
    </row>
    <row r="14" spans="2:17" ht="32.1" customHeight="1">
      <c r="B14" s="37"/>
      <c r="C14" s="38"/>
      <c r="D14" s="31"/>
      <c r="E14" s="28" t="str">
        <f t="shared" si="7"/>
        <v/>
      </c>
      <c r="F14" s="54" t="str">
        <f t="shared" si="3"/>
        <v>g</v>
      </c>
      <c r="G14" s="63">
        <f t="shared" si="8"/>
        <v>0</v>
      </c>
      <c r="H14" s="18">
        <f t="shared" si="9"/>
        <v>0</v>
      </c>
    </row>
    <row r="15" spans="2:17" ht="32.1" customHeight="1">
      <c r="B15" s="37"/>
      <c r="C15" s="38"/>
      <c r="D15" s="31"/>
      <c r="E15" s="28" t="str">
        <f t="shared" si="7"/>
        <v/>
      </c>
      <c r="F15" s="54" t="str">
        <f t="shared" si="3"/>
        <v>g</v>
      </c>
      <c r="G15" s="63">
        <f t="shared" si="8"/>
        <v>0</v>
      </c>
      <c r="H15" s="18">
        <f t="shared" si="9"/>
        <v>0</v>
      </c>
    </row>
    <row r="16" spans="2:17" ht="32.1" customHeight="1">
      <c r="B16" s="37"/>
      <c r="C16" s="38"/>
      <c r="D16" s="31"/>
      <c r="E16" s="28" t="str">
        <f t="shared" si="7"/>
        <v/>
      </c>
      <c r="F16" s="54" t="str">
        <f t="shared" si="3"/>
        <v>g</v>
      </c>
      <c r="G16" s="63">
        <f t="shared" si="8"/>
        <v>0</v>
      </c>
      <c r="H16" s="18">
        <f t="shared" si="9"/>
        <v>0</v>
      </c>
    </row>
    <row r="17" spans="2:8" ht="32.1" customHeight="1">
      <c r="B17" s="37"/>
      <c r="C17" s="38"/>
      <c r="D17" s="31"/>
      <c r="E17" s="28" t="str">
        <f t="shared" si="7"/>
        <v/>
      </c>
      <c r="F17" s="54" t="str">
        <f t="shared" si="3"/>
        <v>g</v>
      </c>
      <c r="G17" s="63">
        <f t="shared" si="8"/>
        <v>0</v>
      </c>
      <c r="H17" s="18">
        <f t="shared" si="9"/>
        <v>0</v>
      </c>
    </row>
    <row r="18" spans="2:8" ht="32.1" customHeight="1">
      <c r="B18" s="37"/>
      <c r="C18" s="38"/>
      <c r="D18" s="31"/>
      <c r="E18" s="28" t="str">
        <f t="shared" si="7"/>
        <v/>
      </c>
      <c r="F18" s="54" t="str">
        <f t="shared" si="3"/>
        <v>g</v>
      </c>
      <c r="G18" s="63">
        <f t="shared" si="8"/>
        <v>0</v>
      </c>
      <c r="H18" s="18">
        <f t="shared" si="9"/>
        <v>0</v>
      </c>
    </row>
    <row r="19" spans="2:8" ht="32.1" customHeight="1">
      <c r="B19" s="37"/>
      <c r="C19" s="38"/>
      <c r="D19" s="31"/>
      <c r="E19" s="28" t="str">
        <f t="shared" si="7"/>
        <v/>
      </c>
      <c r="F19" s="54" t="str">
        <f t="shared" si="3"/>
        <v>g</v>
      </c>
      <c r="G19" s="63">
        <f t="shared" si="8"/>
        <v>0</v>
      </c>
      <c r="H19" s="18">
        <f t="shared" si="9"/>
        <v>0</v>
      </c>
    </row>
    <row r="20" spans="2:8" ht="32.1" customHeight="1">
      <c r="B20" s="37"/>
      <c r="C20" s="38"/>
      <c r="D20" s="31"/>
      <c r="E20" s="28" t="str">
        <f t="shared" si="7"/>
        <v/>
      </c>
      <c r="F20" s="54" t="str">
        <f t="shared" si="3"/>
        <v>g</v>
      </c>
      <c r="G20" s="63">
        <f t="shared" si="8"/>
        <v>0</v>
      </c>
      <c r="H20" s="18">
        <f t="shared" si="9"/>
        <v>0</v>
      </c>
    </row>
    <row r="21" spans="2:8" ht="32.1" customHeight="1">
      <c r="B21" s="37"/>
      <c r="C21" s="38"/>
      <c r="D21" s="31"/>
      <c r="E21" s="28" t="str">
        <f t="shared" si="7"/>
        <v/>
      </c>
      <c r="F21" s="54" t="str">
        <f t="shared" si="3"/>
        <v>g</v>
      </c>
      <c r="G21" s="63">
        <f t="shared" si="8"/>
        <v>0</v>
      </c>
      <c r="H21" s="18">
        <f t="shared" si="9"/>
        <v>0</v>
      </c>
    </row>
    <row r="22" spans="2:8" ht="32.1" customHeight="1">
      <c r="B22" s="37"/>
      <c r="C22" s="38"/>
      <c r="D22" s="31"/>
      <c r="E22" s="28" t="str">
        <f t="shared" si="7"/>
        <v/>
      </c>
      <c r="F22" s="54" t="str">
        <f t="shared" si="3"/>
        <v>g</v>
      </c>
      <c r="G22" s="63">
        <f t="shared" si="8"/>
        <v>0</v>
      </c>
      <c r="H22" s="18">
        <f t="shared" si="9"/>
        <v>0</v>
      </c>
    </row>
    <row r="23" spans="2:8" ht="32.1" customHeight="1">
      <c r="B23" s="37"/>
      <c r="C23" s="38"/>
      <c r="D23" s="31"/>
      <c r="E23" s="28" t="str">
        <f t="shared" si="7"/>
        <v/>
      </c>
      <c r="F23" s="54" t="str">
        <f t="shared" si="3"/>
        <v>g</v>
      </c>
      <c r="G23" s="63">
        <f t="shared" si="8"/>
        <v>0</v>
      </c>
      <c r="H23" s="18">
        <f t="shared" si="9"/>
        <v>0</v>
      </c>
    </row>
    <row r="24" spans="2:8" ht="32.1" customHeight="1">
      <c r="B24" s="37"/>
      <c r="C24" s="38"/>
      <c r="D24" s="31"/>
      <c r="E24" s="28" t="str">
        <f t="shared" si="7"/>
        <v/>
      </c>
      <c r="F24" s="54" t="str">
        <f t="shared" si="3"/>
        <v>g</v>
      </c>
      <c r="G24" s="63">
        <f t="shared" si="8"/>
        <v>0</v>
      </c>
      <c r="H24" s="18">
        <f t="shared" si="9"/>
        <v>0</v>
      </c>
    </row>
    <row r="25" spans="2:8" ht="32.1" customHeight="1">
      <c r="B25" s="37"/>
      <c r="C25" s="38"/>
      <c r="D25" s="31"/>
      <c r="E25" s="28" t="str">
        <f t="shared" si="7"/>
        <v/>
      </c>
      <c r="F25" s="54" t="str">
        <f t="shared" si="3"/>
        <v>g</v>
      </c>
      <c r="G25" s="63">
        <f t="shared" si="8"/>
        <v>0</v>
      </c>
      <c r="H25" s="18">
        <f t="shared" si="9"/>
        <v>0</v>
      </c>
    </row>
    <row r="26" spans="2:8" ht="32.1" customHeight="1">
      <c r="B26" s="37"/>
      <c r="C26" s="38"/>
      <c r="D26" s="31"/>
      <c r="E26" s="28" t="str">
        <f t="shared" si="7"/>
        <v/>
      </c>
      <c r="F26" s="54" t="str">
        <f t="shared" si="3"/>
        <v>g</v>
      </c>
      <c r="G26" s="63">
        <f t="shared" si="8"/>
        <v>0</v>
      </c>
      <c r="H26" s="18">
        <f t="shared" si="9"/>
        <v>0</v>
      </c>
    </row>
    <row r="27" spans="2:8" ht="32.1" customHeight="1">
      <c r="B27" s="37"/>
      <c r="C27" s="38"/>
      <c r="D27" s="31"/>
      <c r="E27" s="28" t="str">
        <f t="shared" si="7"/>
        <v/>
      </c>
      <c r="F27" s="54" t="str">
        <f t="shared" si="3"/>
        <v>g</v>
      </c>
      <c r="G27" s="63">
        <f t="shared" si="8"/>
        <v>0</v>
      </c>
      <c r="H27" s="18">
        <f t="shared" si="9"/>
        <v>0</v>
      </c>
    </row>
    <row r="28" spans="2:8" ht="32.1" customHeight="1">
      <c r="B28" s="37"/>
      <c r="C28" s="38"/>
      <c r="D28" s="31"/>
      <c r="E28" s="28" t="str">
        <f t="shared" si="7"/>
        <v/>
      </c>
      <c r="F28" s="54" t="str">
        <f t="shared" si="3"/>
        <v>g</v>
      </c>
      <c r="G28" s="63">
        <f t="shared" si="8"/>
        <v>0</v>
      </c>
      <c r="H28" s="18">
        <f t="shared" si="9"/>
        <v>0</v>
      </c>
    </row>
    <row r="29" spans="2:8" ht="32.1" customHeight="1">
      <c r="B29" s="37"/>
      <c r="C29" s="38"/>
      <c r="D29" s="31"/>
      <c r="E29" s="28" t="str">
        <f t="shared" si="7"/>
        <v/>
      </c>
      <c r="F29" s="54" t="str">
        <f t="shared" si="3"/>
        <v>g</v>
      </c>
      <c r="G29" s="63">
        <f t="shared" si="8"/>
        <v>0</v>
      </c>
      <c r="H29" s="18">
        <f t="shared" si="9"/>
        <v>0</v>
      </c>
    </row>
    <row r="30" spans="2:8" ht="32.1" customHeight="1">
      <c r="B30" s="37"/>
      <c r="C30" s="38"/>
      <c r="D30" s="31"/>
      <c r="E30" s="28" t="str">
        <f t="shared" si="7"/>
        <v/>
      </c>
      <c r="F30" s="54" t="str">
        <f t="shared" si="3"/>
        <v>g</v>
      </c>
      <c r="G30" s="63">
        <f t="shared" si="8"/>
        <v>0</v>
      </c>
      <c r="H30" s="18">
        <f t="shared" si="9"/>
        <v>0</v>
      </c>
    </row>
    <row r="31" spans="2:8" ht="32.1" hidden="1" customHeight="1">
      <c r="B31" s="37"/>
      <c r="C31" s="38"/>
      <c r="D31" s="31"/>
      <c r="E31" s="28" t="str">
        <f t="shared" si="7"/>
        <v/>
      </c>
      <c r="F31" s="54" t="str">
        <f t="shared" si="3"/>
        <v>g</v>
      </c>
      <c r="G31" s="63">
        <f t="shared" si="8"/>
        <v>0</v>
      </c>
      <c r="H31" s="18">
        <f t="shared" si="9"/>
        <v>0</v>
      </c>
    </row>
    <row r="32" spans="2:8" ht="32.1" hidden="1" customHeight="1">
      <c r="B32" s="37"/>
      <c r="C32" s="38"/>
      <c r="D32" s="31"/>
      <c r="E32" s="28" t="str">
        <f t="shared" si="7"/>
        <v/>
      </c>
      <c r="F32" s="54" t="str">
        <f t="shared" si="3"/>
        <v>g</v>
      </c>
      <c r="G32" s="63">
        <f t="shared" si="8"/>
        <v>0</v>
      </c>
      <c r="H32" s="18">
        <f t="shared" si="9"/>
        <v>0</v>
      </c>
    </row>
    <row r="33" spans="2:8" ht="32.1" hidden="1" customHeight="1">
      <c r="B33" s="37"/>
      <c r="C33" s="38"/>
      <c r="D33" s="31"/>
      <c r="E33" s="28" t="str">
        <f t="shared" si="7"/>
        <v/>
      </c>
      <c r="F33" s="54" t="str">
        <f t="shared" si="3"/>
        <v>g</v>
      </c>
      <c r="G33" s="63">
        <f t="shared" si="8"/>
        <v>0</v>
      </c>
      <c r="H33" s="18">
        <f t="shared" si="9"/>
        <v>0</v>
      </c>
    </row>
    <row r="34" spans="2:8" ht="32.1" hidden="1" customHeight="1">
      <c r="B34" s="37"/>
      <c r="C34" s="38"/>
      <c r="D34" s="31"/>
      <c r="E34" s="28" t="str">
        <f t="shared" si="7"/>
        <v/>
      </c>
      <c r="F34" s="54" t="str">
        <f t="shared" si="3"/>
        <v>g</v>
      </c>
      <c r="G34" s="63">
        <f t="shared" si="8"/>
        <v>0</v>
      </c>
      <c r="H34" s="18">
        <f t="shared" si="9"/>
        <v>0</v>
      </c>
    </row>
    <row r="35" spans="2:8" ht="32.1" hidden="1" customHeight="1">
      <c r="B35" s="37"/>
      <c r="C35" s="38"/>
      <c r="D35" s="31"/>
      <c r="E35" s="28" t="str">
        <f t="shared" si="7"/>
        <v/>
      </c>
      <c r="F35" s="54" t="str">
        <f t="shared" si="3"/>
        <v>g</v>
      </c>
      <c r="G35" s="63">
        <f t="shared" si="8"/>
        <v>0</v>
      </c>
      <c r="H35" s="18">
        <f t="shared" si="9"/>
        <v>0</v>
      </c>
    </row>
    <row r="36" spans="2:8" ht="32.1" hidden="1" customHeight="1">
      <c r="B36" s="37"/>
      <c r="C36" s="38"/>
      <c r="D36" s="31"/>
      <c r="E36" s="28" t="str">
        <f t="shared" si="7"/>
        <v/>
      </c>
      <c r="F36" s="54" t="str">
        <f t="shared" si="3"/>
        <v>g</v>
      </c>
      <c r="G36" s="63">
        <f t="shared" si="8"/>
        <v>0</v>
      </c>
      <c r="H36" s="18">
        <f t="shared" si="9"/>
        <v>0</v>
      </c>
    </row>
    <row r="37" spans="2:8" ht="32.1" hidden="1" customHeight="1">
      <c r="B37" s="37"/>
      <c r="C37" s="38"/>
      <c r="D37" s="31"/>
      <c r="E37" s="28" t="str">
        <f t="shared" si="7"/>
        <v/>
      </c>
      <c r="F37" s="54" t="str">
        <f t="shared" si="3"/>
        <v>g</v>
      </c>
      <c r="G37" s="63">
        <f t="shared" si="8"/>
        <v>0</v>
      </c>
      <c r="H37" s="18">
        <f t="shared" si="9"/>
        <v>0</v>
      </c>
    </row>
    <row r="38" spans="2:8" ht="32.1" hidden="1" customHeight="1">
      <c r="B38" s="37"/>
      <c r="C38" s="38"/>
      <c r="D38" s="31"/>
      <c r="E38" s="28" t="str">
        <f t="shared" si="7"/>
        <v/>
      </c>
      <c r="F38" s="54" t="str">
        <f t="shared" si="3"/>
        <v>g</v>
      </c>
      <c r="G38" s="63">
        <f t="shared" si="8"/>
        <v>0</v>
      </c>
      <c r="H38" s="18">
        <f t="shared" si="9"/>
        <v>0</v>
      </c>
    </row>
    <row r="39" spans="2:8" ht="32.1" hidden="1" customHeight="1">
      <c r="B39" s="37"/>
      <c r="C39" s="38"/>
      <c r="D39" s="31"/>
      <c r="E39" s="28" t="str">
        <f t="shared" si="7"/>
        <v/>
      </c>
      <c r="F39" s="54" t="str">
        <f t="shared" si="3"/>
        <v>g</v>
      </c>
      <c r="G39" s="63">
        <f t="shared" si="8"/>
        <v>0</v>
      </c>
      <c r="H39" s="18">
        <f t="shared" si="9"/>
        <v>0</v>
      </c>
    </row>
    <row r="40" spans="2:8" ht="32.1" hidden="1" customHeight="1">
      <c r="B40" s="37"/>
      <c r="C40" s="38"/>
      <c r="D40" s="31"/>
      <c r="E40" s="28" t="str">
        <f t="shared" si="7"/>
        <v/>
      </c>
      <c r="F40" s="54" t="str">
        <f t="shared" si="3"/>
        <v>g</v>
      </c>
      <c r="G40" s="63">
        <f t="shared" si="8"/>
        <v>0</v>
      </c>
      <c r="H40" s="18">
        <f t="shared" si="9"/>
        <v>0</v>
      </c>
    </row>
    <row r="41" spans="2:8" ht="32.1" hidden="1" customHeight="1">
      <c r="B41" s="37"/>
      <c r="C41" s="38"/>
      <c r="D41" s="31"/>
      <c r="E41" s="28" t="str">
        <f t="shared" si="7"/>
        <v/>
      </c>
      <c r="F41" s="54" t="str">
        <f t="shared" si="3"/>
        <v>g</v>
      </c>
      <c r="G41" s="63">
        <f t="shared" si="8"/>
        <v>0</v>
      </c>
      <c r="H41" s="18">
        <f t="shared" si="9"/>
        <v>0</v>
      </c>
    </row>
    <row r="42" spans="2:8" ht="32.1" hidden="1" customHeight="1">
      <c r="B42" s="37"/>
      <c r="C42" s="38"/>
      <c r="D42" s="31"/>
      <c r="E42" s="28" t="str">
        <f t="shared" si="7"/>
        <v/>
      </c>
      <c r="F42" s="54" t="str">
        <f t="shared" si="3"/>
        <v>g</v>
      </c>
      <c r="G42" s="63">
        <f t="shared" si="8"/>
        <v>0</v>
      </c>
      <c r="H42" s="18">
        <f t="shared" si="9"/>
        <v>0</v>
      </c>
    </row>
    <row r="43" spans="2:8" ht="32.1" hidden="1" customHeight="1">
      <c r="B43" s="37"/>
      <c r="C43" s="38"/>
      <c r="D43" s="31"/>
      <c r="E43" s="28" t="str">
        <f t="shared" si="7"/>
        <v/>
      </c>
      <c r="F43" s="54" t="str">
        <f t="shared" si="3"/>
        <v>g</v>
      </c>
      <c r="G43" s="63">
        <f t="shared" si="8"/>
        <v>0</v>
      </c>
      <c r="H43" s="18">
        <f t="shared" si="9"/>
        <v>0</v>
      </c>
    </row>
    <row r="44" spans="2:8" ht="32.1" hidden="1" customHeight="1">
      <c r="B44" s="37"/>
      <c r="C44" s="38"/>
      <c r="D44" s="31"/>
      <c r="E44" s="28" t="str">
        <f t="shared" si="7"/>
        <v/>
      </c>
      <c r="F44" s="54" t="str">
        <f t="shared" si="3"/>
        <v>g</v>
      </c>
      <c r="G44" s="63">
        <f t="shared" si="8"/>
        <v>0</v>
      </c>
      <c r="H44" s="18">
        <f t="shared" si="9"/>
        <v>0</v>
      </c>
    </row>
    <row r="45" spans="2:8" ht="32.1" hidden="1" customHeight="1">
      <c r="B45" s="37"/>
      <c r="C45" s="38"/>
      <c r="D45" s="31"/>
      <c r="E45" s="28" t="str">
        <f t="shared" ref="E45:E61" si="10">IFERROR(H45/G45, IF(D45="", "", 0))</f>
        <v/>
      </c>
      <c r="F45" s="54" t="str">
        <f t="shared" si="3"/>
        <v>g</v>
      </c>
      <c r="G45" s="63">
        <f t="shared" ref="G45:G61" si="11">IF(AND(D45="", B45&lt;&gt;""), 1, ROUNDUP(D45/30,0))</f>
        <v>0</v>
      </c>
      <c r="H45" s="18">
        <f t="shared" ref="H45:H61" si="12">IF(AND(D45="", B45&lt;&gt;""), $E$2, D45*$E$2)</f>
        <v>0</v>
      </c>
    </row>
    <row r="46" spans="2:8" ht="32.1" hidden="1" customHeight="1">
      <c r="B46" s="37"/>
      <c r="C46" s="38"/>
      <c r="D46" s="31"/>
      <c r="E46" s="28" t="str">
        <f t="shared" si="10"/>
        <v/>
      </c>
      <c r="F46" s="54" t="str">
        <f t="shared" si="3"/>
        <v>g</v>
      </c>
      <c r="G46" s="63">
        <f t="shared" si="11"/>
        <v>0</v>
      </c>
      <c r="H46" s="18">
        <f t="shared" si="12"/>
        <v>0</v>
      </c>
    </row>
    <row r="47" spans="2:8" ht="32.1" hidden="1" customHeight="1">
      <c r="B47" s="37"/>
      <c r="C47" s="38"/>
      <c r="D47" s="31"/>
      <c r="E47" s="28" t="str">
        <f t="shared" si="10"/>
        <v/>
      </c>
      <c r="F47" s="54" t="str">
        <f t="shared" si="3"/>
        <v>g</v>
      </c>
      <c r="G47" s="63">
        <f t="shared" si="11"/>
        <v>0</v>
      </c>
      <c r="H47" s="18">
        <f t="shared" si="12"/>
        <v>0</v>
      </c>
    </row>
    <row r="48" spans="2:8" ht="32.1" hidden="1" customHeight="1">
      <c r="B48" s="37"/>
      <c r="C48" s="38"/>
      <c r="D48" s="31"/>
      <c r="E48" s="28" t="str">
        <f t="shared" si="10"/>
        <v/>
      </c>
      <c r="F48" s="54" t="str">
        <f t="shared" si="3"/>
        <v>g</v>
      </c>
      <c r="G48" s="63">
        <f t="shared" si="11"/>
        <v>0</v>
      </c>
      <c r="H48" s="18">
        <f t="shared" si="12"/>
        <v>0</v>
      </c>
    </row>
    <row r="49" spans="2:8" ht="32.1" hidden="1" customHeight="1">
      <c r="B49" s="37"/>
      <c r="C49" s="38"/>
      <c r="D49" s="31"/>
      <c r="E49" s="28" t="str">
        <f t="shared" si="10"/>
        <v/>
      </c>
      <c r="F49" s="54" t="str">
        <f t="shared" si="3"/>
        <v>g</v>
      </c>
      <c r="G49" s="63">
        <f t="shared" si="11"/>
        <v>0</v>
      </c>
      <c r="H49" s="18">
        <f t="shared" si="12"/>
        <v>0</v>
      </c>
    </row>
    <row r="50" spans="2:8" ht="32.1" hidden="1" customHeight="1">
      <c r="B50" s="37"/>
      <c r="C50" s="38"/>
      <c r="D50" s="31"/>
      <c r="E50" s="28" t="str">
        <f t="shared" si="10"/>
        <v/>
      </c>
      <c r="F50" s="54" t="str">
        <f t="shared" si="3"/>
        <v>g</v>
      </c>
      <c r="G50" s="63">
        <f t="shared" si="11"/>
        <v>0</v>
      </c>
      <c r="H50" s="18">
        <f t="shared" si="12"/>
        <v>0</v>
      </c>
    </row>
    <row r="51" spans="2:8" ht="32.1" hidden="1" customHeight="1">
      <c r="B51" s="37"/>
      <c r="C51" s="38"/>
      <c r="D51" s="31"/>
      <c r="E51" s="28" t="str">
        <f t="shared" si="10"/>
        <v/>
      </c>
      <c r="F51" s="54" t="str">
        <f t="shared" si="3"/>
        <v>g</v>
      </c>
      <c r="G51" s="63">
        <f t="shared" si="11"/>
        <v>0</v>
      </c>
      <c r="H51" s="18">
        <f t="shared" si="12"/>
        <v>0</v>
      </c>
    </row>
    <row r="52" spans="2:8" ht="32.1" hidden="1" customHeight="1">
      <c r="B52" s="37"/>
      <c r="C52" s="38"/>
      <c r="D52" s="31"/>
      <c r="E52" s="28" t="str">
        <f t="shared" si="10"/>
        <v/>
      </c>
      <c r="F52" s="54" t="str">
        <f t="shared" si="3"/>
        <v>g</v>
      </c>
      <c r="G52" s="63">
        <f t="shared" si="11"/>
        <v>0</v>
      </c>
      <c r="H52" s="18">
        <f t="shared" si="12"/>
        <v>0</v>
      </c>
    </row>
    <row r="53" spans="2:8" ht="32.1" hidden="1" customHeight="1">
      <c r="B53" s="37"/>
      <c r="C53" s="38"/>
      <c r="D53" s="31"/>
      <c r="E53" s="28" t="str">
        <f t="shared" si="10"/>
        <v/>
      </c>
      <c r="F53" s="54" t="str">
        <f t="shared" si="3"/>
        <v>g</v>
      </c>
      <c r="G53" s="63">
        <f t="shared" si="11"/>
        <v>0</v>
      </c>
      <c r="H53" s="18">
        <f t="shared" si="12"/>
        <v>0</v>
      </c>
    </row>
    <row r="54" spans="2:8" ht="32.1" hidden="1" customHeight="1">
      <c r="B54" s="37"/>
      <c r="C54" s="38"/>
      <c r="D54" s="31"/>
      <c r="E54" s="28" t="str">
        <f t="shared" si="10"/>
        <v/>
      </c>
      <c r="F54" s="54" t="str">
        <f t="shared" si="3"/>
        <v>g</v>
      </c>
      <c r="G54" s="63">
        <f t="shared" si="11"/>
        <v>0</v>
      </c>
      <c r="H54" s="18">
        <f t="shared" si="12"/>
        <v>0</v>
      </c>
    </row>
    <row r="55" spans="2:8" ht="32.1" hidden="1" customHeight="1">
      <c r="B55" s="37"/>
      <c r="C55" s="38"/>
      <c r="D55" s="31"/>
      <c r="E55" s="28" t="str">
        <f t="shared" si="10"/>
        <v/>
      </c>
      <c r="F55" s="54" t="str">
        <f t="shared" si="3"/>
        <v>g</v>
      </c>
      <c r="G55" s="63">
        <f t="shared" si="11"/>
        <v>0</v>
      </c>
      <c r="H55" s="18">
        <f t="shared" si="12"/>
        <v>0</v>
      </c>
    </row>
    <row r="56" spans="2:8" ht="32.1" hidden="1" customHeight="1">
      <c r="B56" s="37"/>
      <c r="C56" s="38"/>
      <c r="D56" s="31"/>
      <c r="E56" s="28" t="str">
        <f t="shared" si="10"/>
        <v/>
      </c>
      <c r="F56" s="54" t="str">
        <f t="shared" si="3"/>
        <v>g</v>
      </c>
      <c r="G56" s="63">
        <f t="shared" si="11"/>
        <v>0</v>
      </c>
      <c r="H56" s="18">
        <f t="shared" si="12"/>
        <v>0</v>
      </c>
    </row>
    <row r="57" spans="2:8" ht="32.1" hidden="1" customHeight="1">
      <c r="B57" s="37"/>
      <c r="C57" s="38"/>
      <c r="D57" s="31"/>
      <c r="E57" s="28" t="str">
        <f t="shared" si="10"/>
        <v/>
      </c>
      <c r="F57" s="54" t="str">
        <f t="shared" si="3"/>
        <v>g</v>
      </c>
      <c r="G57" s="63">
        <f t="shared" si="11"/>
        <v>0</v>
      </c>
      <c r="H57" s="18">
        <f t="shared" si="12"/>
        <v>0</v>
      </c>
    </row>
    <row r="58" spans="2:8" ht="32.1" hidden="1" customHeight="1">
      <c r="B58" s="37"/>
      <c r="C58" s="38"/>
      <c r="D58" s="31"/>
      <c r="E58" s="28" t="str">
        <f t="shared" si="10"/>
        <v/>
      </c>
      <c r="F58" s="54" t="str">
        <f t="shared" si="3"/>
        <v>g</v>
      </c>
      <c r="G58" s="63">
        <f t="shared" si="11"/>
        <v>0</v>
      </c>
      <c r="H58" s="18">
        <f t="shared" si="12"/>
        <v>0</v>
      </c>
    </row>
    <row r="59" spans="2:8" ht="32.1" hidden="1" customHeight="1">
      <c r="B59" s="37"/>
      <c r="C59" s="38"/>
      <c r="D59" s="31"/>
      <c r="E59" s="28" t="str">
        <f t="shared" si="10"/>
        <v/>
      </c>
      <c r="F59" s="54" t="str">
        <f t="shared" si="3"/>
        <v>g</v>
      </c>
      <c r="G59" s="63">
        <f t="shared" si="11"/>
        <v>0</v>
      </c>
      <c r="H59" s="18">
        <f t="shared" si="12"/>
        <v>0</v>
      </c>
    </row>
    <row r="60" spans="2:8" ht="32.1" hidden="1" customHeight="1">
      <c r="B60" s="37"/>
      <c r="C60" s="38"/>
      <c r="D60" s="31"/>
      <c r="E60" s="28" t="str">
        <f t="shared" si="10"/>
        <v/>
      </c>
      <c r="F60" s="54" t="str">
        <f t="shared" si="3"/>
        <v>g</v>
      </c>
      <c r="G60" s="63">
        <f t="shared" si="11"/>
        <v>0</v>
      </c>
      <c r="H60" s="18">
        <f t="shared" si="12"/>
        <v>0</v>
      </c>
    </row>
    <row r="61" spans="2:8" ht="32.1" customHeight="1" thickBot="1">
      <c r="B61" s="39"/>
      <c r="C61" s="40"/>
      <c r="D61" s="41"/>
      <c r="E61" s="51" t="str">
        <f t="shared" si="10"/>
        <v/>
      </c>
      <c r="F61" s="56" t="str">
        <f t="shared" si="3"/>
        <v>g</v>
      </c>
      <c r="G61" s="64">
        <f t="shared" si="11"/>
        <v>0</v>
      </c>
      <c r="H61" s="19">
        <f t="shared" si="12"/>
        <v>0</v>
      </c>
    </row>
    <row r="62" spans="2:8" ht="32.1" customHeight="1">
      <c r="B62" s="2"/>
      <c r="C62" s="2"/>
      <c r="D62" s="2"/>
    </row>
    <row r="63" spans="2:8" ht="32.1" customHeight="1">
      <c r="B63" s="2"/>
      <c r="C63" s="2"/>
      <c r="D63" s="2"/>
    </row>
    <row r="64" spans="2:8" ht="32.1" customHeight="1">
      <c r="B64" s="2"/>
      <c r="C64" s="2"/>
      <c r="D64" s="2"/>
    </row>
    <row r="65" spans="2:17" ht="32.1" customHeight="1">
      <c r="B65" s="2"/>
      <c r="C65" s="2"/>
      <c r="D65" s="2"/>
    </row>
    <row r="66" spans="2:17" ht="32.1" customHeight="1">
      <c r="B66" s="2"/>
      <c r="C66" s="2"/>
      <c r="D66" s="2"/>
    </row>
    <row r="67" spans="2:17" ht="32.1" customHeight="1">
      <c r="B67" s="2"/>
      <c r="C67" s="2"/>
      <c r="D67" s="2"/>
    </row>
    <row r="68" spans="2:17" ht="32.1" customHeight="1">
      <c r="B68" s="2"/>
      <c r="C68" s="2"/>
      <c r="D68" s="2"/>
    </row>
    <row r="69" spans="2:17" s="5" customFormat="1" ht="32.1" customHeight="1">
      <c r="B69" s="2"/>
      <c r="C69" s="2"/>
      <c r="D69" s="2"/>
      <c r="F69" s="6"/>
      <c r="G69" s="3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2:17" s="5" customFormat="1" ht="32.1" customHeight="1">
      <c r="B70" s="2"/>
      <c r="C70" s="2"/>
      <c r="D70" s="2"/>
      <c r="F70" s="6"/>
      <c r="G70" s="3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2:17" s="5" customFormat="1" ht="32.1" customHeight="1">
      <c r="B71" s="2"/>
      <c r="C71" s="2"/>
      <c r="D71" s="2"/>
      <c r="F71" s="6"/>
      <c r="G71" s="3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2:17" s="5" customFormat="1" ht="32.1" customHeight="1">
      <c r="B72" s="2"/>
      <c r="C72" s="2"/>
      <c r="D72" s="2"/>
      <c r="F72" s="6"/>
      <c r="G72" s="3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2:17" s="5" customFormat="1" ht="32.1" customHeight="1">
      <c r="B73" s="2"/>
      <c r="C73" s="2"/>
      <c r="D73" s="2"/>
      <c r="F73" s="6"/>
      <c r="G73" s="3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2:17" s="5" customFormat="1" ht="32.1" customHeight="1">
      <c r="B74" s="2"/>
      <c r="C74" s="2"/>
      <c r="D74" s="2"/>
      <c r="F74" s="6"/>
      <c r="G74" s="3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6">
    <mergeCell ref="G1:H1"/>
    <mergeCell ref="B4:C4"/>
    <mergeCell ref="E1:F1"/>
    <mergeCell ref="B1:D1"/>
    <mergeCell ref="B2:D2"/>
    <mergeCell ref="E3:F3"/>
  </mergeCells>
  <phoneticPr fontId="3"/>
  <pageMargins left="0.70866141732283472" right="0.70866141732283472" top="0.74803149606299213" bottom="0.74803149606299213" header="0.31496062992125984" footer="0.31496062992125984"/>
  <pageSetup paperSize="9" scale="78" fitToHeight="0" orientation="portrait" r:id="rId1"/>
  <headerFooter scaleWithDoc="0" alignWithMargins="0"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具_常食</vt:lpstr>
      <vt:lpstr>具_薄味</vt:lpstr>
      <vt:lpstr>具_常食!Print_Area</vt:lpstr>
      <vt:lpstr>具_薄味!Print_Area</vt:lpstr>
      <vt:lpstr>具_常食!Print_Titles</vt:lpstr>
      <vt:lpstr>具_薄味!Print_Titles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加藤大介</cp:lastModifiedBy>
  <cp:lastPrinted>2022-10-06T05:46:35Z</cp:lastPrinted>
  <dcterms:created xsi:type="dcterms:W3CDTF">2022-04-09T08:43:38Z</dcterms:created>
  <dcterms:modified xsi:type="dcterms:W3CDTF">2023-08-09T06:53:16Z</dcterms:modified>
</cp:coreProperties>
</file>