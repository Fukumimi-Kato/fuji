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E41A2E4B-FFEE-46CF-AB87-7B724CD520F7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常食" sheetId="13" r:id="rId1"/>
    <sheet name="具_薄味" sheetId="14" r:id="rId2"/>
    <sheet name="具_ソフト" sheetId="5" r:id="rId3"/>
    <sheet name="具_ミキサー" sheetId="6" r:id="rId4"/>
    <sheet name="具_ゼリー" sheetId="7" r:id="rId5"/>
    <sheet name="汁_常食" sheetId="10" r:id="rId6"/>
    <sheet name="汁_ソフト" sheetId="18" r:id="rId7"/>
    <sheet name="汁_ミキサー" sheetId="19" r:id="rId8"/>
    <sheet name="汁_ゼリー" sheetId="20" r:id="rId9"/>
    <sheet name="汁_薄味" sheetId="12" r:id="rId10"/>
  </sheets>
  <definedNames>
    <definedName name="_xlnm.Print_Area" localSheetId="0">具_常食!$A$1:$H$84</definedName>
    <definedName name="_xlnm.Print_Area" localSheetId="1">具_薄味!$A$1:$G$61</definedName>
    <definedName name="_xlnm.Print_Area" localSheetId="5">汁_常食!$A$1:$F$81</definedName>
    <definedName name="_xlnm.Print_Area" localSheetId="9">汁_薄味!$A$1:$F$60</definedName>
    <definedName name="_xlnm.Print_Titles" localSheetId="4">具_ゼリー!$1:$3</definedName>
    <definedName name="_xlnm.Print_Titles" localSheetId="2">具_ソフト!$1:$3</definedName>
    <definedName name="_xlnm.Print_Titles" localSheetId="3">具_ミキサー!$1:$3</definedName>
    <definedName name="_xlnm.Print_Titles" localSheetId="0">具_常食!$1:$3</definedName>
    <definedName name="_xlnm.Print_Titles" localSheetId="1">具_薄味!$1:$3</definedName>
    <definedName name="_xlnm.Print_Titles" localSheetId="8">汁_ゼリー!$1:$4</definedName>
    <definedName name="_xlnm.Print_Titles" localSheetId="6">汁_ソフト!$1:$4</definedName>
    <definedName name="_xlnm.Print_Titles" localSheetId="7">汁_ミキサー!$1:$4</definedName>
    <definedName name="_xlnm.Print_Titles" localSheetId="5">汁_常食!$1:$4</definedName>
    <definedName name="_xlnm.Print_Titles" localSheetId="9">汁_薄味!$1:$4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20" l="1"/>
  <c r="D11" i="19"/>
  <c r="D11" i="18"/>
  <c r="D8" i="7"/>
  <c r="D8" i="6"/>
  <c r="D8" i="5"/>
  <c r="E6" i="7"/>
  <c r="E6" i="6"/>
  <c r="E6" i="5"/>
  <c r="F8" i="20"/>
  <c r="F8" i="19"/>
  <c r="F8" i="18"/>
  <c r="F9" i="10"/>
  <c r="F9" i="12"/>
  <c r="E9" i="12"/>
  <c r="E9" i="10"/>
  <c r="H6" i="7"/>
  <c r="F6" i="7"/>
  <c r="B6" i="7"/>
  <c r="H6" i="6"/>
  <c r="F6" i="6"/>
  <c r="B6" i="6"/>
  <c r="H6" i="5"/>
  <c r="F6" i="5"/>
  <c r="B6" i="5"/>
  <c r="H7" i="14"/>
  <c r="F7" i="14"/>
  <c r="E7" i="14"/>
  <c r="H7" i="13"/>
  <c r="F7" i="13"/>
  <c r="D64" i="10"/>
  <c r="F64" i="10" s="1"/>
  <c r="D63" i="10"/>
  <c r="F63" i="10" s="1"/>
  <c r="D62" i="10"/>
  <c r="F62" i="10" s="1"/>
  <c r="D61" i="10"/>
  <c r="F61" i="10" s="1"/>
  <c r="D60" i="10"/>
  <c r="F60" i="10" s="1"/>
  <c r="D59" i="10"/>
  <c r="F59" i="10" s="1"/>
  <c r="D58" i="10"/>
  <c r="F58" i="10" s="1"/>
  <c r="D57" i="10"/>
  <c r="F57" i="10" s="1"/>
  <c r="D56" i="10"/>
  <c r="F56" i="10" s="1"/>
  <c r="D55" i="10"/>
  <c r="F55" i="10" s="1"/>
  <c r="D54" i="10"/>
  <c r="F54" i="10" s="1"/>
  <c r="D53" i="10"/>
  <c r="F53" i="10" s="1"/>
  <c r="D52" i="10"/>
  <c r="F52" i="10" s="1"/>
  <c r="D51" i="10"/>
  <c r="F51" i="10" s="1"/>
  <c r="D50" i="10"/>
  <c r="F50" i="10" s="1"/>
  <c r="D49" i="10"/>
  <c r="F49" i="10" s="1"/>
  <c r="D48" i="10"/>
  <c r="F48" i="10" s="1"/>
  <c r="D47" i="10"/>
  <c r="F47" i="10" s="1"/>
  <c r="D46" i="10"/>
  <c r="F46" i="10" s="1"/>
  <c r="D45" i="10"/>
  <c r="F45" i="10" s="1"/>
  <c r="D44" i="10"/>
  <c r="F44" i="10" s="1"/>
  <c r="H71" i="13"/>
  <c r="G71" i="13"/>
  <c r="F71" i="13"/>
  <c r="H70" i="13"/>
  <c r="E70" i="13" s="1"/>
  <c r="G70" i="13"/>
  <c r="F70" i="13"/>
  <c r="H69" i="13"/>
  <c r="E69" i="13" s="1"/>
  <c r="G69" i="13"/>
  <c r="F69" i="13"/>
  <c r="H68" i="13"/>
  <c r="G68" i="13"/>
  <c r="F68" i="13"/>
  <c r="E68" i="13"/>
  <c r="H67" i="13"/>
  <c r="G67" i="13"/>
  <c r="F67" i="13"/>
  <c r="H66" i="13"/>
  <c r="G66" i="13"/>
  <c r="F66" i="13"/>
  <c r="E66" i="13"/>
  <c r="H65" i="13"/>
  <c r="E65" i="13" s="1"/>
  <c r="G65" i="13"/>
  <c r="F65" i="13"/>
  <c r="H64" i="13"/>
  <c r="G64" i="13"/>
  <c r="F64" i="13"/>
  <c r="H63" i="13"/>
  <c r="G63" i="13"/>
  <c r="F63" i="13"/>
  <c r="H62" i="13"/>
  <c r="G62" i="13"/>
  <c r="F62" i="13"/>
  <c r="H61" i="13"/>
  <c r="G61" i="13"/>
  <c r="F61" i="13"/>
  <c r="H60" i="13"/>
  <c r="G60" i="13"/>
  <c r="F60" i="13"/>
  <c r="H59" i="13"/>
  <c r="G59" i="13"/>
  <c r="F59" i="13"/>
  <c r="H58" i="13"/>
  <c r="G58" i="13"/>
  <c r="F58" i="13"/>
  <c r="H57" i="13"/>
  <c r="E57" i="13" s="1"/>
  <c r="G57" i="13"/>
  <c r="F57" i="13"/>
  <c r="H56" i="13"/>
  <c r="E56" i="13" s="1"/>
  <c r="G56" i="13"/>
  <c r="F56" i="13"/>
  <c r="H55" i="13"/>
  <c r="G55" i="13"/>
  <c r="F55" i="13"/>
  <c r="H54" i="13"/>
  <c r="G54" i="13"/>
  <c r="F54" i="13"/>
  <c r="H53" i="13"/>
  <c r="G53" i="13"/>
  <c r="F53" i="13"/>
  <c r="H52" i="13"/>
  <c r="E52" i="13" s="1"/>
  <c r="G52" i="13"/>
  <c r="F52" i="13"/>
  <c r="H51" i="13"/>
  <c r="G51" i="13"/>
  <c r="F51" i="13"/>
  <c r="H50" i="13"/>
  <c r="G50" i="13"/>
  <c r="F50" i="13"/>
  <c r="E50" i="13"/>
  <c r="H49" i="13"/>
  <c r="G49" i="13"/>
  <c r="F49" i="13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19" i="7"/>
  <c r="G19" i="7"/>
  <c r="F19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27" i="7"/>
  <c r="G27" i="7"/>
  <c r="F27" i="7"/>
  <c r="H26" i="7"/>
  <c r="G26" i="7"/>
  <c r="F26" i="7"/>
  <c r="H39" i="7"/>
  <c r="G39" i="7"/>
  <c r="F39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46" i="7"/>
  <c r="G46" i="7"/>
  <c r="F46" i="7"/>
  <c r="H45" i="7"/>
  <c r="G45" i="7"/>
  <c r="F45" i="7"/>
  <c r="H44" i="7"/>
  <c r="G44" i="7"/>
  <c r="F44" i="7"/>
  <c r="H43" i="7"/>
  <c r="G43" i="7"/>
  <c r="F43" i="7"/>
  <c r="H42" i="7"/>
  <c r="G42" i="7"/>
  <c r="F42" i="7"/>
  <c r="H41" i="7"/>
  <c r="G41" i="7"/>
  <c r="F41" i="7"/>
  <c r="H40" i="7"/>
  <c r="G40" i="7"/>
  <c r="F40" i="7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50" i="6"/>
  <c r="G50" i="6"/>
  <c r="F50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F6" i="12"/>
  <c r="E7" i="12"/>
  <c r="E6" i="12"/>
  <c r="B7" i="12"/>
  <c r="F7" i="12" s="1"/>
  <c r="B7" i="10"/>
  <c r="E7" i="10" s="1"/>
  <c r="B6" i="10"/>
  <c r="E6" i="10" s="1"/>
  <c r="F10" i="20"/>
  <c r="F9" i="20"/>
  <c r="F10" i="19"/>
  <c r="F9" i="19"/>
  <c r="F10" i="18"/>
  <c r="F9" i="18"/>
  <c r="D60" i="18"/>
  <c r="E59" i="20"/>
  <c r="F59" i="20" s="1"/>
  <c r="E58" i="20"/>
  <c r="F58" i="20" s="1"/>
  <c r="E57" i="20"/>
  <c r="F57" i="20" s="1"/>
  <c r="E56" i="20"/>
  <c r="F56" i="20" s="1"/>
  <c r="E55" i="20"/>
  <c r="F55" i="20" s="1"/>
  <c r="E54" i="20"/>
  <c r="F54" i="20" s="1"/>
  <c r="E53" i="20"/>
  <c r="F53" i="20" s="1"/>
  <c r="E52" i="20"/>
  <c r="F52" i="20" s="1"/>
  <c r="E51" i="20"/>
  <c r="F51" i="20" s="1"/>
  <c r="E50" i="20"/>
  <c r="F50" i="20" s="1"/>
  <c r="E49" i="20"/>
  <c r="F49" i="20" s="1"/>
  <c r="E48" i="20"/>
  <c r="F48" i="20" s="1"/>
  <c r="E47" i="20"/>
  <c r="F47" i="20" s="1"/>
  <c r="E46" i="20"/>
  <c r="F46" i="20" s="1"/>
  <c r="E45" i="20"/>
  <c r="F45" i="20" s="1"/>
  <c r="E44" i="20"/>
  <c r="F44" i="20" s="1"/>
  <c r="E43" i="20"/>
  <c r="F43" i="20" s="1"/>
  <c r="E42" i="20"/>
  <c r="F42" i="20" s="1"/>
  <c r="E41" i="20"/>
  <c r="F41" i="20" s="1"/>
  <c r="E40" i="20"/>
  <c r="F40" i="20" s="1"/>
  <c r="E39" i="20"/>
  <c r="F39" i="20" s="1"/>
  <c r="E38" i="20"/>
  <c r="F38" i="20" s="1"/>
  <c r="E37" i="20"/>
  <c r="F37" i="20" s="1"/>
  <c r="E36" i="20"/>
  <c r="F36" i="20" s="1"/>
  <c r="E35" i="20"/>
  <c r="F35" i="20" s="1"/>
  <c r="E34" i="20"/>
  <c r="F34" i="20" s="1"/>
  <c r="E33" i="20"/>
  <c r="F33" i="20" s="1"/>
  <c r="E32" i="20"/>
  <c r="F32" i="20" s="1"/>
  <c r="E31" i="20"/>
  <c r="F31" i="20" s="1"/>
  <c r="E30" i="20"/>
  <c r="F30" i="20" s="1"/>
  <c r="E29" i="20"/>
  <c r="F29" i="20" s="1"/>
  <c r="E28" i="20"/>
  <c r="F28" i="20" s="1"/>
  <c r="E27" i="20"/>
  <c r="F27" i="20" s="1"/>
  <c r="E26" i="20"/>
  <c r="F26" i="20" s="1"/>
  <c r="E25" i="20"/>
  <c r="F25" i="20" s="1"/>
  <c r="E24" i="20"/>
  <c r="F24" i="20" s="1"/>
  <c r="E23" i="20"/>
  <c r="F23" i="20" s="1"/>
  <c r="E22" i="20"/>
  <c r="F22" i="20" s="1"/>
  <c r="E21" i="20"/>
  <c r="F21" i="20" s="1"/>
  <c r="E20" i="20"/>
  <c r="F20" i="20" s="1"/>
  <c r="E19" i="20"/>
  <c r="F19" i="20" s="1"/>
  <c r="E18" i="20"/>
  <c r="F18" i="20" s="1"/>
  <c r="E17" i="20"/>
  <c r="F17" i="20" s="1"/>
  <c r="E16" i="20"/>
  <c r="F16" i="20" s="1"/>
  <c r="E15" i="20"/>
  <c r="F15" i="20" s="1"/>
  <c r="E14" i="20"/>
  <c r="F14" i="20" s="1"/>
  <c r="E13" i="20"/>
  <c r="F13" i="20" s="1"/>
  <c r="E12" i="20"/>
  <c r="F12" i="20" s="1"/>
  <c r="F7" i="20"/>
  <c r="E7" i="20"/>
  <c r="F6" i="20"/>
  <c r="E6" i="20"/>
  <c r="F59" i="19"/>
  <c r="E59" i="19"/>
  <c r="E58" i="19"/>
  <c r="F58" i="19" s="1"/>
  <c r="E57" i="19"/>
  <c r="F57" i="19" s="1"/>
  <c r="E56" i="19"/>
  <c r="F56" i="19" s="1"/>
  <c r="E55" i="19"/>
  <c r="F55" i="19" s="1"/>
  <c r="E54" i="19"/>
  <c r="F54" i="19" s="1"/>
  <c r="E53" i="19"/>
  <c r="F53" i="19" s="1"/>
  <c r="E52" i="19"/>
  <c r="F52" i="19" s="1"/>
  <c r="E51" i="19"/>
  <c r="F51" i="19" s="1"/>
  <c r="E50" i="19"/>
  <c r="F50" i="19" s="1"/>
  <c r="E49" i="19"/>
  <c r="F49" i="19" s="1"/>
  <c r="E48" i="19"/>
  <c r="F48" i="19" s="1"/>
  <c r="E47" i="19"/>
  <c r="F47" i="19" s="1"/>
  <c r="E46" i="19"/>
  <c r="F46" i="19" s="1"/>
  <c r="E45" i="19"/>
  <c r="F45" i="19" s="1"/>
  <c r="E44" i="19"/>
  <c r="F44" i="19" s="1"/>
  <c r="E43" i="19"/>
  <c r="F43" i="19" s="1"/>
  <c r="E42" i="19"/>
  <c r="F42" i="19" s="1"/>
  <c r="E41" i="19"/>
  <c r="F41" i="19" s="1"/>
  <c r="E40" i="19"/>
  <c r="F40" i="19" s="1"/>
  <c r="E39" i="19"/>
  <c r="F39" i="19" s="1"/>
  <c r="E38" i="19"/>
  <c r="F38" i="19" s="1"/>
  <c r="E37" i="19"/>
  <c r="F37" i="19" s="1"/>
  <c r="E36" i="19"/>
  <c r="F36" i="19" s="1"/>
  <c r="E35" i="19"/>
  <c r="F35" i="19" s="1"/>
  <c r="E34" i="19"/>
  <c r="F34" i="19" s="1"/>
  <c r="E33" i="19"/>
  <c r="F33" i="19" s="1"/>
  <c r="E32" i="19"/>
  <c r="F32" i="19" s="1"/>
  <c r="E31" i="19"/>
  <c r="F31" i="19" s="1"/>
  <c r="E30" i="19"/>
  <c r="F30" i="19" s="1"/>
  <c r="E29" i="19"/>
  <c r="F29" i="19" s="1"/>
  <c r="E28" i="19"/>
  <c r="F28" i="19" s="1"/>
  <c r="E27" i="19"/>
  <c r="F27" i="19" s="1"/>
  <c r="E26" i="19"/>
  <c r="F26" i="19" s="1"/>
  <c r="E25" i="19"/>
  <c r="F25" i="19" s="1"/>
  <c r="E24" i="19"/>
  <c r="F24" i="19" s="1"/>
  <c r="E23" i="19"/>
  <c r="F23" i="19" s="1"/>
  <c r="E22" i="19"/>
  <c r="F22" i="19" s="1"/>
  <c r="E21" i="19"/>
  <c r="F21" i="19" s="1"/>
  <c r="E20" i="19"/>
  <c r="F20" i="19" s="1"/>
  <c r="F19" i="19"/>
  <c r="E19" i="19"/>
  <c r="E18" i="19"/>
  <c r="F18" i="19" s="1"/>
  <c r="E17" i="19"/>
  <c r="F17" i="19" s="1"/>
  <c r="E16" i="19"/>
  <c r="F16" i="19" s="1"/>
  <c r="E15" i="19"/>
  <c r="F15" i="19" s="1"/>
  <c r="E14" i="19"/>
  <c r="F14" i="19" s="1"/>
  <c r="E13" i="19"/>
  <c r="F13" i="19" s="1"/>
  <c r="E12" i="19"/>
  <c r="F12" i="19" s="1"/>
  <c r="F7" i="19"/>
  <c r="E7" i="19"/>
  <c r="F6" i="19"/>
  <c r="E6" i="19"/>
  <c r="E59" i="18"/>
  <c r="F59" i="18" s="1"/>
  <c r="E58" i="18"/>
  <c r="F58" i="18" s="1"/>
  <c r="E57" i="18"/>
  <c r="F57" i="18" s="1"/>
  <c r="E56" i="18"/>
  <c r="F56" i="18" s="1"/>
  <c r="E55" i="18"/>
  <c r="F55" i="18" s="1"/>
  <c r="E54" i="18"/>
  <c r="F54" i="18" s="1"/>
  <c r="E53" i="18"/>
  <c r="F53" i="18" s="1"/>
  <c r="E52" i="18"/>
  <c r="F52" i="18" s="1"/>
  <c r="E51" i="18"/>
  <c r="F51" i="18" s="1"/>
  <c r="E50" i="18"/>
  <c r="F50" i="18" s="1"/>
  <c r="E49" i="18"/>
  <c r="F49" i="18" s="1"/>
  <c r="E48" i="18"/>
  <c r="F48" i="18" s="1"/>
  <c r="E47" i="18"/>
  <c r="F47" i="18" s="1"/>
  <c r="E46" i="18"/>
  <c r="F46" i="18" s="1"/>
  <c r="E45" i="18"/>
  <c r="F45" i="18" s="1"/>
  <c r="E44" i="18"/>
  <c r="F44" i="18" s="1"/>
  <c r="E43" i="18"/>
  <c r="F43" i="18" s="1"/>
  <c r="E42" i="18"/>
  <c r="F42" i="18" s="1"/>
  <c r="E41" i="18"/>
  <c r="F41" i="18" s="1"/>
  <c r="E40" i="18"/>
  <c r="F40" i="18" s="1"/>
  <c r="E39" i="18"/>
  <c r="F39" i="18" s="1"/>
  <c r="E38" i="18"/>
  <c r="F38" i="18" s="1"/>
  <c r="E37" i="18"/>
  <c r="F37" i="18" s="1"/>
  <c r="E36" i="18"/>
  <c r="F36" i="18" s="1"/>
  <c r="E35" i="18"/>
  <c r="F35" i="18" s="1"/>
  <c r="E34" i="18"/>
  <c r="F34" i="18" s="1"/>
  <c r="E33" i="18"/>
  <c r="F33" i="18" s="1"/>
  <c r="E32" i="18"/>
  <c r="F32" i="18" s="1"/>
  <c r="E31" i="18"/>
  <c r="F31" i="18" s="1"/>
  <c r="E30" i="18"/>
  <c r="F30" i="18" s="1"/>
  <c r="E29" i="18"/>
  <c r="F29" i="18" s="1"/>
  <c r="E28" i="18"/>
  <c r="F28" i="18" s="1"/>
  <c r="E27" i="18"/>
  <c r="F27" i="18" s="1"/>
  <c r="E26" i="18"/>
  <c r="F26" i="18" s="1"/>
  <c r="E25" i="18"/>
  <c r="F25" i="18" s="1"/>
  <c r="E24" i="18"/>
  <c r="F24" i="18" s="1"/>
  <c r="E23" i="18"/>
  <c r="F23" i="18" s="1"/>
  <c r="E22" i="18"/>
  <c r="F22" i="18" s="1"/>
  <c r="E21" i="18"/>
  <c r="F21" i="18" s="1"/>
  <c r="E20" i="18"/>
  <c r="F20" i="18" s="1"/>
  <c r="E19" i="18"/>
  <c r="F19" i="18" s="1"/>
  <c r="E18" i="18"/>
  <c r="F18" i="18" s="1"/>
  <c r="F17" i="18"/>
  <c r="E17" i="18"/>
  <c r="E16" i="18"/>
  <c r="F16" i="18" s="1"/>
  <c r="E15" i="18"/>
  <c r="F15" i="18" s="1"/>
  <c r="E14" i="18"/>
  <c r="F14" i="18" s="1"/>
  <c r="E13" i="18"/>
  <c r="F13" i="18" s="1"/>
  <c r="E12" i="18"/>
  <c r="F12" i="18" s="1"/>
  <c r="F7" i="18"/>
  <c r="E7" i="18"/>
  <c r="F6" i="18"/>
  <c r="E6" i="18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E22" i="14" s="1"/>
  <c r="H21" i="14"/>
  <c r="H20" i="14"/>
  <c r="H19" i="14"/>
  <c r="H18" i="14"/>
  <c r="H17" i="14"/>
  <c r="E17" i="14" s="1"/>
  <c r="H16" i="14"/>
  <c r="E16" i="14" s="1"/>
  <c r="H15" i="14"/>
  <c r="H14" i="14"/>
  <c r="E14" i="14" s="1"/>
  <c r="H13" i="14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E21" i="13" s="1"/>
  <c r="H20" i="13"/>
  <c r="H19" i="13"/>
  <c r="H18" i="13"/>
  <c r="H17" i="13"/>
  <c r="H16" i="13"/>
  <c r="H15" i="13"/>
  <c r="H14" i="13"/>
  <c r="H13" i="13"/>
  <c r="E13" i="13" s="1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E18" i="14" s="1"/>
  <c r="G17" i="14"/>
  <c r="G16" i="14"/>
  <c r="G15" i="14"/>
  <c r="G14" i="14"/>
  <c r="G13" i="14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F6" i="10" l="1"/>
  <c r="E15" i="14"/>
  <c r="E20" i="14"/>
  <c r="E19" i="14"/>
  <c r="E13" i="14"/>
  <c r="E21" i="14"/>
  <c r="E62" i="13"/>
  <c r="E60" i="13"/>
  <c r="E53" i="13"/>
  <c r="E58" i="13"/>
  <c r="E20" i="13"/>
  <c r="E17" i="13"/>
  <c r="E49" i="13"/>
  <c r="E54" i="13"/>
  <c r="E64" i="13"/>
  <c r="F7" i="10"/>
  <c r="E18" i="13"/>
  <c r="E51" i="13"/>
  <c r="E67" i="13"/>
  <c r="E19" i="13"/>
  <c r="E63" i="13"/>
  <c r="E84" i="13"/>
  <c r="E61" i="13"/>
  <c r="E14" i="13"/>
  <c r="E22" i="13"/>
  <c r="E30" i="13"/>
  <c r="E38" i="13"/>
  <c r="E46" i="13"/>
  <c r="E77" i="13"/>
  <c r="E59" i="13"/>
  <c r="E15" i="13"/>
  <c r="E23" i="13"/>
  <c r="E16" i="13"/>
  <c r="E24" i="13"/>
  <c r="E55" i="13"/>
  <c r="E71" i="13"/>
  <c r="E32" i="13"/>
  <c r="E40" i="13"/>
  <c r="E48" i="13"/>
  <c r="E79" i="13"/>
  <c r="E25" i="13"/>
  <c r="E33" i="13"/>
  <c r="E41" i="13"/>
  <c r="E72" i="13"/>
  <c r="E80" i="13"/>
  <c r="E81" i="13"/>
  <c r="E27" i="13"/>
  <c r="E35" i="13"/>
  <c r="E43" i="13"/>
  <c r="E74" i="13"/>
  <c r="E82" i="13"/>
  <c r="E42" i="13"/>
  <c r="E28" i="13"/>
  <c r="E36" i="13"/>
  <c r="E44" i="13"/>
  <c r="E75" i="13"/>
  <c r="E83" i="13"/>
  <c r="E26" i="13"/>
  <c r="E29" i="13"/>
  <c r="E37" i="13"/>
  <c r="E45" i="13"/>
  <c r="E76" i="13"/>
  <c r="E73" i="13"/>
  <c r="E34" i="13"/>
  <c r="E31" i="13"/>
  <c r="E39" i="13"/>
  <c r="E47" i="13"/>
  <c r="E78" i="13"/>
  <c r="E30" i="14"/>
  <c r="E38" i="14"/>
  <c r="E46" i="14"/>
  <c r="E54" i="14"/>
  <c r="E23" i="14"/>
  <c r="E48" i="14"/>
  <c r="E32" i="14"/>
  <c r="E26" i="14"/>
  <c r="E34" i="14"/>
  <c r="E42" i="14"/>
  <c r="E50" i="14"/>
  <c r="E58" i="14"/>
  <c r="E40" i="14"/>
  <c r="E56" i="14"/>
  <c r="E61" i="14"/>
  <c r="E24" i="14"/>
  <c r="E25" i="14"/>
  <c r="E33" i="14"/>
  <c r="E41" i="14"/>
  <c r="E49" i="14"/>
  <c r="E57" i="14"/>
  <c r="E27" i="14"/>
  <c r="E35" i="14"/>
  <c r="E43" i="14"/>
  <c r="E51" i="14"/>
  <c r="E59" i="14"/>
  <c r="E28" i="14"/>
  <c r="E36" i="14"/>
  <c r="E44" i="14"/>
  <c r="E52" i="14"/>
  <c r="E60" i="14"/>
  <c r="E29" i="14"/>
  <c r="E37" i="14"/>
  <c r="E45" i="14"/>
  <c r="E53" i="14"/>
  <c r="E31" i="14"/>
  <c r="E39" i="14"/>
  <c r="E47" i="14"/>
  <c r="E55" i="14"/>
  <c r="E8" i="7"/>
  <c r="E7" i="7"/>
  <c r="E5" i="7"/>
  <c r="E4" i="7"/>
  <c r="E8" i="6"/>
  <c r="E7" i="6"/>
  <c r="E5" i="6"/>
  <c r="E4" i="6"/>
  <c r="E8" i="5"/>
  <c r="E7" i="5"/>
  <c r="E5" i="5"/>
  <c r="E4" i="5"/>
  <c r="E10" i="12"/>
  <c r="E8" i="12"/>
  <c r="E10" i="10"/>
  <c r="E8" i="10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8" i="10"/>
  <c r="F10" i="12"/>
  <c r="F8" i="12"/>
  <c r="K4" i="10"/>
  <c r="J4" i="10"/>
  <c r="I4" i="10"/>
  <c r="K4" i="12"/>
  <c r="J4" i="12"/>
  <c r="I4" i="12"/>
  <c r="Q11" i="12"/>
  <c r="O11" i="12"/>
  <c r="N11" i="12"/>
  <c r="L11" i="12"/>
  <c r="K11" i="12"/>
  <c r="I11" i="12"/>
  <c r="I11" i="10"/>
  <c r="K11" i="10"/>
  <c r="Q11" i="10" l="1"/>
  <c r="O11" i="10"/>
  <c r="N11" i="10"/>
  <c r="L11" i="10"/>
  <c r="H9" i="14"/>
  <c r="F9" i="14"/>
  <c r="E9" i="14"/>
  <c r="H8" i="14"/>
  <c r="F8" i="14"/>
  <c r="E8" i="14"/>
  <c r="H6" i="14"/>
  <c r="F6" i="14"/>
  <c r="E6" i="14"/>
  <c r="H5" i="14"/>
  <c r="F5" i="14"/>
  <c r="E5" i="14"/>
  <c r="H9" i="13"/>
  <c r="F9" i="13"/>
  <c r="E9" i="13"/>
  <c r="H8" i="13"/>
  <c r="F8" i="13"/>
  <c r="E8" i="13"/>
  <c r="H6" i="13"/>
  <c r="F6" i="13"/>
  <c r="E6" i="13"/>
  <c r="H5" i="13"/>
  <c r="F5" i="13"/>
  <c r="E5" i="13"/>
  <c r="F61" i="14" l="1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H12" i="14"/>
  <c r="G12" i="14"/>
  <c r="E12" i="14" s="1"/>
  <c r="F12" i="14"/>
  <c r="H11" i="14"/>
  <c r="G11" i="14"/>
  <c r="F11" i="14"/>
  <c r="H10" i="14"/>
  <c r="G10" i="14"/>
  <c r="F10" i="14"/>
  <c r="F4" i="14"/>
  <c r="E4" i="14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4" i="13"/>
  <c r="E4" i="13"/>
  <c r="E10" i="14" l="1"/>
  <c r="E11" i="14"/>
  <c r="H7" i="5"/>
  <c r="H10" i="5"/>
  <c r="H11" i="5"/>
  <c r="H12" i="5"/>
  <c r="H13" i="5"/>
  <c r="H14" i="5"/>
  <c r="H15" i="5"/>
  <c r="H16" i="5"/>
  <c r="H17" i="5"/>
  <c r="H18" i="5"/>
  <c r="H19" i="5"/>
  <c r="H20" i="5"/>
  <c r="H21" i="5"/>
  <c r="H50" i="5"/>
  <c r="H51" i="5"/>
  <c r="H52" i="5"/>
  <c r="H53" i="5"/>
  <c r="H54" i="5"/>
  <c r="H55" i="5"/>
  <c r="H56" i="5"/>
  <c r="H57" i="5"/>
  <c r="D60" i="12" l="1"/>
  <c r="D81" i="10" l="1"/>
  <c r="H7" i="7" l="1"/>
  <c r="H7" i="6"/>
  <c r="D12" i="13" l="1"/>
  <c r="E12" i="13" s="1"/>
  <c r="D58" i="7"/>
  <c r="D11" i="13"/>
  <c r="E11" i="13" s="1"/>
  <c r="D59" i="6"/>
  <c r="D58" i="5"/>
  <c r="D10" i="13"/>
  <c r="E10" i="13" s="1"/>
  <c r="F8" i="7"/>
  <c r="F7" i="7"/>
  <c r="B7" i="7"/>
  <c r="F5" i="7"/>
  <c r="B5" i="7"/>
  <c r="F8" i="6"/>
  <c r="F7" i="6"/>
  <c r="B7" i="6"/>
  <c r="F5" i="6"/>
  <c r="B5" i="6"/>
  <c r="B5" i="5"/>
  <c r="F8" i="5"/>
  <c r="F7" i="5"/>
  <c r="B7" i="5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G57" i="5"/>
  <c r="G56" i="5"/>
  <c r="G55" i="5"/>
  <c r="G54" i="5"/>
  <c r="G53" i="5"/>
  <c r="G52" i="5"/>
  <c r="G51" i="5"/>
  <c r="G50" i="5"/>
  <c r="G21" i="5"/>
  <c r="G20" i="5"/>
  <c r="G19" i="5"/>
  <c r="G18" i="5"/>
  <c r="G17" i="5"/>
  <c r="G16" i="5"/>
  <c r="G15" i="5"/>
  <c r="G14" i="5"/>
  <c r="G13" i="5"/>
  <c r="G12" i="5"/>
  <c r="G11" i="5"/>
  <c r="G10" i="5"/>
  <c r="F57" i="7" l="1"/>
  <c r="F56" i="7"/>
  <c r="F55" i="7"/>
  <c r="F54" i="7"/>
  <c r="F53" i="7"/>
  <c r="F52" i="7"/>
  <c r="F51" i="7"/>
  <c r="F50" i="7"/>
  <c r="F49" i="7"/>
  <c r="F48" i="7"/>
  <c r="F47" i="7"/>
  <c r="F18" i="7"/>
  <c r="F17" i="7"/>
  <c r="F16" i="7"/>
  <c r="F15" i="7"/>
  <c r="F14" i="7"/>
  <c r="F13" i="7"/>
  <c r="F12" i="7"/>
  <c r="F11" i="7"/>
  <c r="F10" i="7"/>
  <c r="F4" i="7"/>
  <c r="F58" i="6"/>
  <c r="F57" i="6"/>
  <c r="F56" i="6"/>
  <c r="F55" i="6"/>
  <c r="F54" i="6"/>
  <c r="F53" i="6"/>
  <c r="F52" i="6"/>
  <c r="F51" i="6"/>
  <c r="F18" i="6"/>
  <c r="F17" i="6"/>
  <c r="F16" i="6"/>
  <c r="F15" i="6"/>
  <c r="F14" i="6"/>
  <c r="F13" i="6"/>
  <c r="F12" i="6"/>
  <c r="F11" i="6"/>
  <c r="F10" i="6"/>
  <c r="F4" i="6"/>
  <c r="F57" i="5"/>
  <c r="F56" i="5"/>
  <c r="F55" i="5"/>
  <c r="F54" i="5"/>
  <c r="F53" i="5"/>
  <c r="F52" i="5"/>
  <c r="F51" i="5"/>
  <c r="F50" i="5"/>
  <c r="F21" i="5"/>
  <c r="F20" i="5"/>
  <c r="F19" i="5"/>
  <c r="F18" i="5"/>
  <c r="F17" i="5"/>
  <c r="F16" i="5"/>
  <c r="F15" i="5"/>
  <c r="F14" i="5"/>
  <c r="F13" i="5"/>
  <c r="F12" i="5"/>
  <c r="F11" i="5"/>
  <c r="F10" i="5"/>
  <c r="F5" i="5"/>
  <c r="F4" i="5"/>
</calcChain>
</file>

<file path=xl/sharedStrings.xml><?xml version="1.0" encoding="utf-8"?>
<sst xmlns="http://schemas.openxmlformats.org/spreadsheetml/2006/main" count="160" uniqueCount="51">
  <si>
    <t>常食</t>
  </si>
  <si>
    <t>1人</t>
  </si>
  <si>
    <t>g</t>
  </si>
  <si>
    <t>薄味</t>
  </si>
  <si>
    <t>注文数</t>
  </si>
  <si>
    <t>端数</t>
  </si>
  <si>
    <t>合計</t>
  </si>
  <si>
    <t>人</t>
  </si>
  <si>
    <t>人（針刺し用）</t>
  </si>
  <si>
    <t>袋数</t>
  </si>
  <si>
    <t>ソフト食</t>
  </si>
  <si>
    <t>ミキサー食</t>
  </si>
  <si>
    <t>ゼリー食</t>
  </si>
  <si>
    <t>ソフト合計</t>
  </si>
  <si>
    <t>ミキサー合計</t>
  </si>
  <si>
    <t>ゼリー合計</t>
  </si>
  <si>
    <t>人（保存用）</t>
    <rPh sb="2" eb="4">
      <t xml:space="preserve">ホゾｎ </t>
    </rPh>
    <phoneticPr fontId="3"/>
  </si>
  <si>
    <t>ゼリー合計</t>
    <phoneticPr fontId="3"/>
  </si>
  <si>
    <t>ミキサー合計</t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</si>
  <si>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</si>
  <si>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</si>
  <si>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袋数</t>
    <rPh sb="0" eb="1">
      <t>フクロ</t>
    </rPh>
    <rPh sb="1" eb="2">
      <t>スウ</t>
    </rPh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</si>
  <si>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</si>
  <si>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</si>
  <si>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薄味</t>
    <rPh sb="0" eb="2">
      <t>ウスアジ</t>
    </rPh>
    <phoneticPr fontId="3"/>
  </si>
  <si>
    <t>常食</t>
    <phoneticPr fontId="3"/>
  </si>
  <si>
    <t>単位袋10</t>
  </si>
  <si>
    <t>10の1人用</t>
  </si>
  <si>
    <t>単位袋7</t>
  </si>
  <si>
    <t>7の端数袋
入数</t>
  </si>
  <si>
    <t>7の1人用</t>
  </si>
  <si>
    <t>単位袋5</t>
  </si>
  <si>
    <t>5の端数袋
入数</t>
  </si>
  <si>
    <t>5の1人用</t>
  </si>
  <si>
    <t>10の端数袋
入数</t>
    <phoneticPr fontId="3"/>
  </si>
  <si>
    <t>端数</t>
    <rPh sb="0" eb="2">
      <t>ハスウ</t>
    </rPh>
    <phoneticPr fontId="3"/>
  </si>
  <si>
    <t>数量(/袋)</t>
    <rPh sb="0" eb="2">
      <t>スウリョウ</t>
    </rPh>
    <phoneticPr fontId="3"/>
  </si>
  <si>
    <t>人前（保存用）</t>
    <rPh sb="1" eb="2">
      <t>マエ</t>
    </rPh>
    <rPh sb="3" eb="5">
      <t>ホゾン</t>
    </rPh>
    <phoneticPr fontId="3"/>
  </si>
  <si>
    <t>人前（写真用）</t>
    <rPh sb="1" eb="2">
      <t>マエ</t>
    </rPh>
    <rPh sb="3" eb="5">
      <t>シャシン</t>
    </rPh>
    <phoneticPr fontId="3"/>
  </si>
  <si>
    <t>単位袋10</t>
    <phoneticPr fontId="3"/>
  </si>
  <si>
    <t>単位袋1</t>
    <phoneticPr fontId="3"/>
  </si>
  <si>
    <t>ソフト食</t>
    <phoneticPr fontId="3"/>
  </si>
  <si>
    <t>合計(/袋)</t>
    <phoneticPr fontId="3"/>
  </si>
  <si>
    <t>ミキサー食</t>
    <phoneticPr fontId="3"/>
  </si>
  <si>
    <t>ゼリー食</t>
    <phoneticPr fontId="3"/>
  </si>
  <si>
    <t>使用する袋</t>
    <rPh sb="0" eb="2">
      <t>シヨウ</t>
    </rPh>
    <rPh sb="4" eb="5">
      <t>フクロ</t>
    </rPh>
    <phoneticPr fontId="3"/>
  </si>
  <si>
    <t>人用</t>
    <rPh sb="0" eb="2">
      <t>ニンヨウ</t>
    </rPh>
    <phoneticPr fontId="3"/>
  </si>
  <si>
    <t>ソフト合計</t>
    <phoneticPr fontId="3"/>
  </si>
  <si>
    <t>人前（保存用50g）</t>
    <rPh sb="1" eb="2">
      <t>マエ</t>
    </rPh>
    <rPh sb="3" eb="5">
      <t>ホゾン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</si>
  <si>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</si>
  <si>
    <t>人前（保存用50g）</t>
    <rPh sb="1" eb="2">
      <t>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</si>
</sst>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23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10"/>
      <color theme="1"/>
      <name val="Meiryo"/>
      <family val="2"/>
      <charset val="128"/>
    </font>
    <font>
      <sz val="16"/>
      <color theme="1"/>
      <name val="Meiryo UI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36"/>
      <color theme="1"/>
      <name val="Meiryo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8"/>
      <color theme="1"/>
      <name val="Meiryo"/>
      <charset val="128"/>
    </font>
    <font>
      <b/>
      <sz val="28"/>
      <color theme="1"/>
      <name val="Meiryo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4"/>
      <color theme="1"/>
      <name val="Meiryo"/>
      <charset val="128"/>
    </font>
    <font>
      <sz val="22"/>
      <color theme="1"/>
      <name val="Meiryo"/>
      <family val="2"/>
      <charset val="128"/>
    </font>
    <font>
      <sz val="22"/>
      <color theme="1"/>
      <name val="Meiry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hair">
        <color theme="0" tint="-4.9989318521683403E-2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hair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hair">
        <color theme="0" tint="-4.9989318521683403E-2"/>
      </right>
      <top style="thin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24994659260841701"/>
      </right>
      <top style="thin">
        <color theme="0" tint="-0.2499465926084170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hair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8" xfId="0" applyFont="1" applyFill="1" applyBorder="1" applyAlignment="1">
      <alignment horizontal="center" vertical="center" shrinkToFit="1"/>
    </xf>
    <xf numFmtId="0" fontId="1" fillId="4" borderId="42" xfId="0" applyFont="1" applyFill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0" fillId="0" borderId="56" xfId="0" applyBorder="1"/>
    <xf numFmtId="1" fontId="4" fillId="0" borderId="15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vertical="center" shrinkToFit="1"/>
    </xf>
    <xf numFmtId="1" fontId="4" fillId="0" borderId="65" xfId="0" applyNumberFormat="1" applyFont="1" applyBorder="1" applyAlignment="1">
      <alignment vertical="center" shrinkToFit="1"/>
    </xf>
    <xf numFmtId="0" fontId="2" fillId="0" borderId="66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0" borderId="68" xfId="0" applyFont="1" applyBorder="1" applyAlignment="1">
      <alignment horizontal="center" vertical="center" shrinkToFit="1"/>
    </xf>
    <xf numFmtId="0" fontId="2" fillId="0" borderId="69" xfId="0" applyFont="1" applyBorder="1" applyAlignment="1">
      <alignment horizontal="center" vertical="center" shrinkToFit="1"/>
    </xf>
    <xf numFmtId="0" fontId="2" fillId="0" borderId="70" xfId="0" applyFont="1" applyBorder="1" applyAlignment="1">
      <alignment horizontal="center" vertical="center" shrinkToFit="1"/>
    </xf>
    <xf numFmtId="0" fontId="2" fillId="6" borderId="71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7" fillId="6" borderId="73" xfId="0" applyFont="1" applyFill="1" applyBorder="1" applyAlignment="1">
      <alignment horizontal="center" vertical="center" wrapText="1"/>
    </xf>
    <xf numFmtId="0" fontId="7" fillId="6" borderId="74" xfId="0" applyFont="1" applyFill="1" applyBorder="1" applyAlignment="1">
      <alignment horizontal="center" vertical="center" wrapText="1"/>
    </xf>
    <xf numFmtId="0" fontId="7" fillId="6" borderId="75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 shrinkToFit="1"/>
    </xf>
    <xf numFmtId="0" fontId="2" fillId="0" borderId="73" xfId="0" applyFont="1" applyBorder="1" applyAlignment="1">
      <alignment horizontal="center" vertical="center" shrinkToFit="1"/>
    </xf>
    <xf numFmtId="0" fontId="2" fillId="0" borderId="74" xfId="0" applyFont="1" applyBorder="1" applyAlignment="1">
      <alignment horizontal="center" vertical="center" shrinkToFit="1"/>
    </xf>
    <xf numFmtId="0" fontId="2" fillId="0" borderId="75" xfId="0" applyFont="1" applyBorder="1" applyAlignment="1">
      <alignment horizontal="center" vertical="center" shrinkToFit="1"/>
    </xf>
    <xf numFmtId="0" fontId="2" fillId="0" borderId="77" xfId="0" applyFont="1" applyBorder="1" applyAlignment="1">
      <alignment horizontal="center" vertical="center" shrinkToFit="1"/>
    </xf>
    <xf numFmtId="0" fontId="2" fillId="0" borderId="78" xfId="0" applyFont="1" applyBorder="1" applyAlignment="1">
      <alignment horizontal="center" vertical="center" shrinkToFit="1"/>
    </xf>
    <xf numFmtId="0" fontId="2" fillId="0" borderId="79" xfId="0" applyFont="1" applyBorder="1" applyAlignment="1">
      <alignment horizontal="center" vertical="center" shrinkToFit="1"/>
    </xf>
    <xf numFmtId="0" fontId="2" fillId="6" borderId="80" xfId="0" applyFont="1" applyFill="1" applyBorder="1" applyAlignment="1">
      <alignment horizontal="center" vertical="center"/>
    </xf>
    <xf numFmtId="0" fontId="2" fillId="6" borderId="81" xfId="0" applyFont="1" applyFill="1" applyBorder="1" applyAlignment="1">
      <alignment horizontal="center" vertical="center"/>
    </xf>
    <xf numFmtId="0" fontId="2" fillId="6" borderId="82" xfId="0" applyFont="1" applyFill="1" applyBorder="1" applyAlignment="1">
      <alignment horizontal="center" vertical="center"/>
    </xf>
    <xf numFmtId="0" fontId="2" fillId="0" borderId="80" xfId="0" applyFont="1" applyBorder="1" applyAlignment="1">
      <alignment horizontal="center" vertical="center" shrinkToFit="1"/>
    </xf>
    <xf numFmtId="0" fontId="2" fillId="0" borderId="81" xfId="0" quotePrefix="1" applyFont="1" applyBorder="1" applyAlignment="1">
      <alignment horizontal="center" vertical="center" shrinkToFit="1"/>
    </xf>
    <xf numFmtId="0" fontId="2" fillId="0" borderId="81" xfId="0" applyFont="1" applyBorder="1" applyAlignment="1">
      <alignment horizontal="center" vertical="center" shrinkToFit="1"/>
    </xf>
    <xf numFmtId="0" fontId="2" fillId="0" borderId="82" xfId="0" quotePrefix="1" applyFont="1" applyBorder="1" applyAlignment="1">
      <alignment horizontal="center" vertical="center" shrinkToFit="1"/>
    </xf>
    <xf numFmtId="0" fontId="2" fillId="0" borderId="83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1" fontId="4" fillId="0" borderId="89" xfId="0" applyNumberFormat="1" applyFont="1" applyBorder="1" applyAlignment="1">
      <alignment horizontal="right" vertical="center" shrinkToFit="1"/>
    </xf>
    <xf numFmtId="1" fontId="4" fillId="0" borderId="16" xfId="0" applyNumberFormat="1" applyFont="1" applyBorder="1" applyAlignment="1">
      <alignment horizontal="right" vertical="center" shrinkToFit="1"/>
    </xf>
    <xf numFmtId="1" fontId="4" fillId="0" borderId="65" xfId="0" applyNumberFormat="1" applyFont="1" applyBorder="1" applyAlignment="1">
      <alignment horizontal="right" vertical="center" shrinkToFit="1"/>
    </xf>
    <xf numFmtId="1" fontId="4" fillId="0" borderId="89" xfId="0" applyNumberFormat="1" applyFont="1" applyBorder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13" fillId="0" borderId="27" xfId="0" applyFont="1" applyBorder="1" applyAlignment="1">
      <alignment horizontal="right" vertical="center" shrinkToFit="1"/>
    </xf>
    <xf numFmtId="176" fontId="13" fillId="0" borderId="27" xfId="0" applyNumberFormat="1" applyFont="1" applyBorder="1" applyAlignment="1">
      <alignment horizontal="right" vertical="center" shrinkToFit="1"/>
    </xf>
    <xf numFmtId="177" fontId="15" fillId="0" borderId="63" xfId="0" applyNumberFormat="1" applyFont="1" applyBorder="1" applyAlignment="1">
      <alignment horizontal="right" vertical="center" shrinkToFit="1"/>
    </xf>
    <xf numFmtId="0" fontId="16" fillId="2" borderId="11" xfId="0" applyFont="1" applyFill="1" applyBorder="1" applyAlignment="1">
      <alignment horizontal="center" vertical="center" shrinkToFit="1"/>
    </xf>
    <xf numFmtId="0" fontId="17" fillId="2" borderId="31" xfId="0" applyFont="1" applyFill="1" applyBorder="1" applyAlignment="1">
      <alignment horizontal="center" vertical="center" shrinkToFit="1"/>
    </xf>
    <xf numFmtId="0" fontId="16" fillId="3" borderId="11" xfId="0" applyFont="1" applyFill="1" applyBorder="1" applyAlignment="1">
      <alignment horizontal="center" vertical="center" shrinkToFit="1"/>
    </xf>
    <xf numFmtId="0" fontId="16" fillId="4" borderId="43" xfId="0" applyFont="1" applyFill="1" applyBorder="1" applyAlignment="1">
      <alignment horizontal="center" vertical="center" shrinkToFit="1"/>
    </xf>
    <xf numFmtId="0" fontId="17" fillId="4" borderId="44" xfId="0" applyFont="1" applyFill="1" applyBorder="1" applyAlignment="1">
      <alignment horizontal="center" vertical="center" shrinkToFit="1"/>
    </xf>
    <xf numFmtId="1" fontId="17" fillId="4" borderId="44" xfId="0" applyNumberFormat="1" applyFont="1" applyFill="1" applyBorder="1" applyAlignment="1">
      <alignment horizontal="center" vertical="center" shrinkToFit="1"/>
    </xf>
    <xf numFmtId="0" fontId="17" fillId="4" borderId="45" xfId="0" applyFont="1" applyFill="1" applyBorder="1" applyAlignment="1">
      <alignment horizontal="center" vertical="center" shrinkToFit="1"/>
    </xf>
    <xf numFmtId="0" fontId="16" fillId="4" borderId="44" xfId="0" applyFont="1" applyFill="1" applyBorder="1" applyAlignment="1">
      <alignment horizontal="center" vertical="center" shrinkToFit="1"/>
    </xf>
    <xf numFmtId="0" fontId="16" fillId="5" borderId="43" xfId="0" applyFont="1" applyFill="1" applyBorder="1" applyAlignment="1">
      <alignment horizontal="center" vertical="center" shrinkToFit="1"/>
    </xf>
    <xf numFmtId="0" fontId="17" fillId="5" borderId="44" xfId="0" applyFont="1" applyFill="1" applyBorder="1" applyAlignment="1">
      <alignment horizontal="center" vertical="center" shrinkToFit="1"/>
    </xf>
    <xf numFmtId="1" fontId="17" fillId="5" borderId="44" xfId="0" applyNumberFormat="1" applyFont="1" applyFill="1" applyBorder="1" applyAlignment="1">
      <alignment horizontal="center" vertical="center" shrinkToFit="1"/>
    </xf>
    <xf numFmtId="0" fontId="17" fillId="5" borderId="45" xfId="0" applyFont="1" applyFill="1" applyBorder="1" applyAlignment="1">
      <alignment horizontal="center" vertical="center" shrinkToFit="1"/>
    </xf>
    <xf numFmtId="0" fontId="17" fillId="0" borderId="10" xfId="0" applyFont="1" applyBorder="1" applyAlignment="1">
      <alignment vertical="center" shrinkToFit="1"/>
    </xf>
    <xf numFmtId="1" fontId="18" fillId="0" borderId="1" xfId="0" applyNumberFormat="1" applyFont="1" applyBorder="1" applyAlignment="1">
      <alignment vertical="center" shrinkToFit="1"/>
    </xf>
    <xf numFmtId="0" fontId="17" fillId="0" borderId="51" xfId="0" applyFont="1" applyBorder="1" applyAlignment="1">
      <alignment horizontal="right" vertical="center" shrinkToFit="1"/>
    </xf>
    <xf numFmtId="0" fontId="17" fillId="0" borderId="52" xfId="0" applyFont="1" applyBorder="1" applyAlignment="1">
      <alignment horizontal="left" vertical="center" shrinkToFit="1"/>
    </xf>
    <xf numFmtId="0" fontId="17" fillId="0" borderId="7" xfId="0" applyFont="1" applyBorder="1" applyAlignment="1">
      <alignment vertical="center" shrinkToFit="1"/>
    </xf>
    <xf numFmtId="1" fontId="18" fillId="0" borderId="3" xfId="0" applyNumberFormat="1" applyFont="1" applyBorder="1" applyAlignment="1">
      <alignment vertical="center" shrinkToFit="1"/>
    </xf>
    <xf numFmtId="0" fontId="17" fillId="0" borderId="11" xfId="0" applyFont="1" applyBorder="1" applyAlignment="1">
      <alignment vertical="center" shrinkToFit="1"/>
    </xf>
    <xf numFmtId="1" fontId="18" fillId="0" borderId="12" xfId="0" applyNumberFormat="1" applyFont="1" applyBorder="1" applyAlignment="1">
      <alignment vertical="center" shrinkToFit="1"/>
    </xf>
    <xf numFmtId="0" fontId="17" fillId="0" borderId="22" xfId="0" applyFont="1" applyBorder="1" applyAlignment="1">
      <alignment vertical="center" shrinkToFit="1"/>
    </xf>
    <xf numFmtId="0" fontId="17" fillId="0" borderId="2" xfId="0" applyFont="1" applyBorder="1" applyAlignment="1">
      <alignment vertical="center" shrinkToFit="1"/>
    </xf>
    <xf numFmtId="0" fontId="17" fillId="0" borderId="23" xfId="0" applyFont="1" applyBorder="1" applyAlignment="1">
      <alignment vertical="center" shrinkToFit="1"/>
    </xf>
    <xf numFmtId="0" fontId="17" fillId="0" borderId="4" xfId="0" applyFont="1" applyBorder="1" applyAlignment="1">
      <alignment vertical="center" shrinkToFit="1"/>
    </xf>
    <xf numFmtId="0" fontId="17" fillId="0" borderId="24" xfId="0" applyFont="1" applyBorder="1" applyAlignment="1">
      <alignment vertical="center" shrinkToFit="1"/>
    </xf>
    <xf numFmtId="0" fontId="17" fillId="0" borderId="19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1" fontId="18" fillId="0" borderId="48" xfId="0" applyNumberFormat="1" applyFont="1" applyBorder="1" applyAlignment="1">
      <alignment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5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9" fillId="0" borderId="47" xfId="0" applyFont="1" applyBorder="1" applyAlignment="1">
      <alignment horizontal="center" vertical="center" shrinkToFit="1"/>
    </xf>
    <xf numFmtId="0" fontId="19" fillId="0" borderId="29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0" fontId="19" fillId="0" borderId="32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right" vertical="center" shrinkToFit="1"/>
    </xf>
    <xf numFmtId="0" fontId="17" fillId="0" borderId="18" xfId="0" applyFont="1" applyBorder="1" applyAlignment="1">
      <alignment horizontal="left" vertical="center" shrinkToFit="1"/>
    </xf>
    <xf numFmtId="1" fontId="18" fillId="0" borderId="13" xfId="0" applyNumberFormat="1" applyFont="1" applyBorder="1" applyAlignment="1">
      <alignment vertical="center" shrinkToFit="1"/>
    </xf>
    <xf numFmtId="0" fontId="16" fillId="0" borderId="25" xfId="0" applyFont="1" applyBorder="1" applyAlignment="1">
      <alignment horizontal="right" vertical="center" shrinkToFit="1"/>
    </xf>
    <xf numFmtId="0" fontId="16" fillId="0" borderId="26" xfId="0" applyFont="1" applyBorder="1" applyAlignment="1">
      <alignment horizontal="left" vertical="center" shrinkToFit="1"/>
    </xf>
    <xf numFmtId="1" fontId="18" fillId="0" borderId="1" xfId="0" applyNumberFormat="1" applyFont="1" applyBorder="1" applyAlignment="1">
      <alignment horizontal="right" vertical="center" shrinkToFit="1"/>
    </xf>
    <xf numFmtId="0" fontId="17" fillId="0" borderId="53" xfId="0" applyFont="1" applyBorder="1" applyAlignment="1">
      <alignment vertical="center" shrinkToFit="1"/>
    </xf>
    <xf numFmtId="1" fontId="18" fillId="0" borderId="50" xfId="0" applyNumberFormat="1" applyFont="1" applyBorder="1" applyAlignment="1">
      <alignment horizontal="right" vertical="center" shrinkToFit="1"/>
    </xf>
    <xf numFmtId="1" fontId="18" fillId="0" borderId="12" xfId="0" applyNumberFormat="1" applyFont="1" applyBorder="1" applyAlignment="1">
      <alignment horizontal="right" vertical="center" shrinkToFit="1"/>
    </xf>
    <xf numFmtId="0" fontId="17" fillId="0" borderId="0" xfId="0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0" fontId="16" fillId="0" borderId="55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56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7" fillId="0" borderId="38" xfId="0" applyFont="1" applyBorder="1" applyAlignment="1">
      <alignment vertical="center" shrinkToFit="1"/>
    </xf>
    <xf numFmtId="0" fontId="17" fillId="0" borderId="9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57" xfId="0" applyFont="1" applyBorder="1" applyAlignment="1">
      <alignment vertical="center" shrinkToFit="1"/>
    </xf>
    <xf numFmtId="177" fontId="17" fillId="0" borderId="58" xfId="0" applyNumberFormat="1" applyFont="1" applyBorder="1" applyAlignment="1">
      <alignment horizontal="right" vertical="center" shrinkToFit="1"/>
    </xf>
    <xf numFmtId="1" fontId="17" fillId="0" borderId="57" xfId="0" applyNumberFormat="1" applyFont="1" applyBorder="1" applyAlignment="1">
      <alignment horizontal="right" vertical="center" shrinkToFit="1"/>
    </xf>
    <xf numFmtId="0" fontId="17" fillId="0" borderId="23" xfId="0" applyFont="1" applyBorder="1" applyAlignment="1">
      <alignment horizontal="right" vertical="center" shrinkToFit="1"/>
    </xf>
    <xf numFmtId="0" fontId="17" fillId="0" borderId="4" xfId="0" applyFont="1" applyBorder="1" applyAlignment="1">
      <alignment horizontal="left" vertical="center" shrinkToFit="1"/>
    </xf>
    <xf numFmtId="0" fontId="17" fillId="0" borderId="31" xfId="0" applyFont="1" applyBorder="1" applyAlignment="1">
      <alignment vertical="center" shrinkToFit="1"/>
    </xf>
    <xf numFmtId="177" fontId="17" fillId="0" borderId="59" xfId="0" applyNumberFormat="1" applyFont="1" applyBorder="1" applyAlignment="1">
      <alignment horizontal="right" vertical="center" shrinkToFit="1"/>
    </xf>
    <xf numFmtId="1" fontId="17" fillId="0" borderId="31" xfId="0" applyNumberFormat="1" applyFont="1" applyBorder="1" applyAlignment="1">
      <alignment horizontal="right" vertical="center" shrinkToFit="1"/>
    </xf>
    <xf numFmtId="0" fontId="17" fillId="0" borderId="36" xfId="0" applyFont="1" applyBorder="1" applyAlignment="1">
      <alignment vertical="center" shrinkToFit="1"/>
    </xf>
    <xf numFmtId="0" fontId="17" fillId="0" borderId="39" xfId="0" applyFont="1" applyBorder="1" applyAlignment="1">
      <alignment vertical="center" shrinkToFit="1"/>
    </xf>
    <xf numFmtId="177" fontId="17" fillId="0" borderId="9" xfId="0" applyNumberFormat="1" applyFont="1" applyBorder="1" applyAlignment="1">
      <alignment horizontal="right" vertical="center" shrinkToFit="1"/>
    </xf>
    <xf numFmtId="1" fontId="17" fillId="0" borderId="29" xfId="0" applyNumberFormat="1" applyFont="1" applyBorder="1" applyAlignment="1">
      <alignment horizontal="right" vertical="center" shrinkToFit="1"/>
    </xf>
    <xf numFmtId="0" fontId="17" fillId="0" borderId="40" xfId="0" applyFont="1" applyBorder="1" applyAlignment="1">
      <alignment vertical="center" shrinkToFit="1"/>
    </xf>
    <xf numFmtId="0" fontId="17" fillId="0" borderId="37" xfId="0" applyFont="1" applyBorder="1" applyAlignment="1">
      <alignment vertical="center" shrinkToFit="1"/>
    </xf>
    <xf numFmtId="0" fontId="17" fillId="0" borderId="41" xfId="0" applyFont="1" applyBorder="1" applyAlignment="1">
      <alignment vertical="center" shrinkToFit="1"/>
    </xf>
    <xf numFmtId="177" fontId="17" fillId="0" borderId="60" xfId="0" applyNumberFormat="1" applyFont="1" applyBorder="1" applyAlignment="1">
      <alignment horizontal="right" vertical="center" shrinkToFit="1"/>
    </xf>
    <xf numFmtId="1" fontId="17" fillId="0" borderId="61" xfId="0" applyNumberFormat="1" applyFont="1" applyBorder="1" applyAlignment="1">
      <alignment horizontal="right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84" xfId="0" applyFont="1" applyBorder="1" applyAlignment="1">
      <alignment horizontal="right" vertical="center" shrinkToFit="1"/>
    </xf>
    <xf numFmtId="0" fontId="17" fillId="0" borderId="85" xfId="0" applyFont="1" applyBorder="1" applyAlignment="1">
      <alignment horizontal="left" vertical="center" shrinkToFit="1"/>
    </xf>
    <xf numFmtId="0" fontId="17" fillId="0" borderId="86" xfId="0" applyFont="1" applyBorder="1" applyAlignment="1">
      <alignment vertical="center" shrinkToFit="1"/>
    </xf>
    <xf numFmtId="177" fontId="17" fillId="0" borderId="87" xfId="0" applyNumberFormat="1" applyFont="1" applyBorder="1" applyAlignment="1">
      <alignment horizontal="right" vertical="center" shrinkToFit="1"/>
    </xf>
    <xf numFmtId="1" fontId="17" fillId="0" borderId="86" xfId="0" applyNumberFormat="1" applyFont="1" applyBorder="1" applyAlignment="1">
      <alignment horizontal="right" vertical="center" shrinkToFit="1"/>
    </xf>
    <xf numFmtId="0" fontId="18" fillId="0" borderId="36" xfId="0" applyFont="1" applyBorder="1" applyAlignment="1">
      <alignment vertical="center" shrinkToFit="1"/>
    </xf>
    <xf numFmtId="0" fontId="21" fillId="0" borderId="88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4" xfId="0" applyFont="1" applyBorder="1" applyAlignment="1">
      <alignment horizontal="center" vertical="center" shrinkToFit="1"/>
    </xf>
    <xf numFmtId="0" fontId="21" fillId="0" borderId="18" xfId="0" applyFont="1" applyBorder="1" applyAlignment="1">
      <alignment horizontal="center" vertical="center" shrinkToFit="1"/>
    </xf>
    <xf numFmtId="0" fontId="21" fillId="0" borderId="26" xfId="0" applyFont="1" applyBorder="1" applyAlignment="1">
      <alignment horizontal="center" vertical="center" shrinkToFit="1"/>
    </xf>
    <xf numFmtId="0" fontId="21" fillId="0" borderId="19" xfId="0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1" fillId="0" borderId="54" xfId="0" applyFont="1" applyBorder="1" applyAlignment="1">
      <alignment horizontal="center" vertical="center" shrinkToFit="1"/>
    </xf>
    <xf numFmtId="0" fontId="21" fillId="0" borderId="49" xfId="0" applyFont="1" applyBorder="1" applyAlignment="1">
      <alignment horizontal="center" vertical="center" shrinkToFit="1"/>
    </xf>
    <xf numFmtId="0" fontId="21" fillId="0" borderId="36" xfId="0" applyFont="1" applyBorder="1" applyAlignment="1">
      <alignment horizontal="center" vertical="center" shrinkToFit="1"/>
    </xf>
    <xf numFmtId="0" fontId="21" fillId="0" borderId="37" xfId="0" applyFont="1" applyBorder="1" applyAlignment="1">
      <alignment horizontal="center" vertical="center" shrinkToFit="1"/>
    </xf>
    <xf numFmtId="0" fontId="21" fillId="0" borderId="28" xfId="0" applyFont="1" applyBorder="1" applyAlignment="1">
      <alignment horizontal="center" vertical="center" shrinkToFit="1"/>
    </xf>
    <xf numFmtId="0" fontId="21" fillId="0" borderId="16" xfId="0" applyFont="1" applyBorder="1" applyAlignment="1">
      <alignment horizontal="center" vertical="center" shrinkToFit="1"/>
    </xf>
    <xf numFmtId="0" fontId="21" fillId="0" borderId="56" xfId="0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17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6" xfId="0" applyFont="1" applyBorder="1" applyAlignment="1">
      <alignment horizontal="center" vertical="center" shrinkToFit="1"/>
    </xf>
    <xf numFmtId="0" fontId="17" fillId="2" borderId="15" xfId="0" applyFont="1" applyFill="1" applyBorder="1" applyAlignment="1">
      <alignment horizontal="center" vertical="center" shrinkToFit="1"/>
    </xf>
    <xf numFmtId="0" fontId="16" fillId="0" borderId="16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5" xfId="0" applyFont="1" applyBorder="1" applyAlignment="1">
      <alignment horizontal="center" vertical="center" shrinkToFit="1"/>
    </xf>
    <xf numFmtId="0" fontId="19" fillId="0" borderId="89" xfId="0" applyFont="1" applyBorder="1" applyAlignment="1">
      <alignment horizontal="center" vertical="center" shrinkToFit="1"/>
    </xf>
    <xf numFmtId="0" fontId="19" fillId="0" borderId="65" xfId="0" applyFont="1" applyBorder="1" applyAlignment="1">
      <alignment horizontal="center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1" fillId="0" borderId="83" xfId="0" applyFont="1" applyBorder="1" applyAlignment="1">
      <alignment horizontal="center" vertical="center" shrinkToFit="1"/>
    </xf>
    <xf numFmtId="0" fontId="17" fillId="0" borderId="90" xfId="0" applyFont="1" applyBorder="1" applyAlignment="1">
      <alignment vertical="center" shrinkToFit="1"/>
    </xf>
    <xf numFmtId="1" fontId="18" fillId="0" borderId="91" xfId="0" applyNumberFormat="1" applyFont="1" applyBorder="1" applyAlignment="1">
      <alignment horizontal="right" vertical="center" shrinkToFit="1"/>
    </xf>
    <xf numFmtId="0" fontId="21" fillId="0" borderId="92" xfId="0" applyFont="1" applyBorder="1" applyAlignment="1">
      <alignment horizontal="center" vertical="center" shrinkToFit="1"/>
    </xf>
    <xf numFmtId="0" fontId="19" fillId="0" borderId="86" xfId="0" applyFont="1" applyBorder="1" applyAlignment="1">
      <alignment horizontal="center" vertical="center" shrinkToFit="1"/>
    </xf>
    <xf numFmtId="1" fontId="18" fillId="0" borderId="3" xfId="0" applyNumberFormat="1" applyFont="1" applyBorder="1" applyAlignment="1">
      <alignment horizontal="right" vertical="center" shrinkToFit="1"/>
    </xf>
    <xf numFmtId="0" fontId="19" fillId="0" borderId="57" xfId="0" applyFont="1" applyBorder="1" applyAlignment="1">
      <alignment horizontal="center" vertic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shrinkToFit="1"/>
    </xf>
    <xf numFmtId="0" fontId="18" fillId="0" borderId="21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1" fontId="17" fillId="2" borderId="12" xfId="0" applyNumberFormat="1" applyFont="1" applyFill="1" applyBorder="1" applyAlignment="1">
      <alignment horizontal="center" vertical="center" shrinkToFit="1"/>
    </xf>
    <xf numFmtId="1" fontId="17" fillId="2" borderId="18" xfId="0" applyNumberFormat="1" applyFont="1" applyFill="1" applyBorder="1" applyAlignment="1">
      <alignment horizontal="center" vertical="center" shrinkToFit="1"/>
    </xf>
    <xf numFmtId="0" fontId="16" fillId="0" borderId="25" xfId="0" applyFont="1" applyBorder="1" applyAlignment="1">
      <alignment horizontal="left" vertical="center" shrinkToFit="1"/>
    </xf>
    <xf numFmtId="0" fontId="17" fillId="0" borderId="26" xfId="0" applyFont="1" applyBorder="1" applyAlignment="1">
      <alignment horizontal="left" vertical="center" shrinkToFit="1"/>
    </xf>
    <xf numFmtId="0" fontId="18" fillId="0" borderId="25" xfId="0" applyFont="1" applyBorder="1" applyAlignment="1">
      <alignment horizontal="center" shrinkToFit="1"/>
    </xf>
    <xf numFmtId="0" fontId="18" fillId="0" borderId="26" xfId="0" applyFont="1" applyBorder="1" applyAlignment="1">
      <alignment horizontal="center" shrinkToFit="1"/>
    </xf>
    <xf numFmtId="1" fontId="17" fillId="3" borderId="12" xfId="0" applyNumberFormat="1" applyFont="1" applyFill="1" applyBorder="1" applyAlignment="1">
      <alignment horizontal="center" vertical="center" shrinkToFit="1"/>
    </xf>
    <xf numFmtId="1" fontId="17" fillId="3" borderId="15" xfId="0" applyNumberFormat="1" applyFont="1" applyFill="1" applyBorder="1" applyAlignment="1">
      <alignment horizontal="center" vertical="center" shrinkToFit="1"/>
    </xf>
    <xf numFmtId="0" fontId="18" fillId="0" borderId="22" xfId="0" applyFont="1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0" fontId="11" fillId="0" borderId="20" xfId="0" applyFont="1" applyBorder="1" applyAlignment="1">
      <alignment horizontal="center" vertical="center" shrinkToFit="1"/>
    </xf>
    <xf numFmtId="1" fontId="17" fillId="2" borderId="34" xfId="0" applyNumberFormat="1" applyFont="1" applyFill="1" applyBorder="1" applyAlignment="1">
      <alignment horizontal="center" vertical="center" shrinkToFit="1"/>
    </xf>
    <xf numFmtId="1" fontId="17" fillId="2" borderId="15" xfId="0" applyNumberFormat="1" applyFont="1" applyFill="1" applyBorder="1" applyAlignment="1">
      <alignment horizontal="center" vertical="center" shrinkToFit="1"/>
    </xf>
    <xf numFmtId="0" fontId="16" fillId="0" borderId="30" xfId="0" applyFont="1" applyBorder="1" applyAlignment="1">
      <alignment horizontal="left" vertical="center" shrinkToFit="1"/>
    </xf>
    <xf numFmtId="0" fontId="17" fillId="0" borderId="33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0" fontId="14" fillId="0" borderId="62" xfId="0" applyFont="1" applyBorder="1" applyAlignment="1">
      <alignment horizontal="center" vertical="center" shrinkToFit="1"/>
    </xf>
    <xf numFmtId="0" fontId="14" fillId="0" borderId="64" xfId="0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left" vertical="center" shrinkToFit="1"/>
    </xf>
    <xf numFmtId="177" fontId="17" fillId="0" borderId="39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51E8-764E-4426-95EC-0D59E91FFA77}">
  <sheetPr>
    <pageSetUpPr fitToPage="1"/>
  </sheetPr>
  <dimension ref="B1:Q97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80" t="s">
        <v>0</v>
      </c>
      <c r="C1" s="181"/>
      <c r="D1" s="181"/>
      <c r="E1" s="181"/>
      <c r="F1" s="181"/>
      <c r="G1" s="182"/>
      <c r="H1" s="182"/>
    </row>
    <row r="2" spans="2:17" ht="50.1" customHeight="1">
      <c r="B2" s="183"/>
      <c r="C2" s="184"/>
      <c r="D2" s="184"/>
      <c r="E2" s="59"/>
      <c r="F2" s="140" t="s">
        <v>2</v>
      </c>
      <c r="G2" s="16"/>
      <c r="H2" s="50"/>
    </row>
    <row r="3" spans="2:17" s="4" customFormat="1" ht="36" customHeight="1" thickBot="1">
      <c r="B3" s="8"/>
      <c r="C3" s="9"/>
      <c r="D3" s="62" t="s">
        <v>5</v>
      </c>
      <c r="E3" s="185" t="s">
        <v>0</v>
      </c>
      <c r="F3" s="186"/>
      <c r="G3" s="63" t="s">
        <v>9</v>
      </c>
      <c r="H3" s="18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87" t="s">
        <v>1</v>
      </c>
      <c r="C4" s="188"/>
      <c r="D4" s="74">
        <v>1</v>
      </c>
      <c r="E4" s="75">
        <f>D4*$E$2</f>
        <v>0</v>
      </c>
      <c r="F4" s="141" t="str">
        <f>$F$2</f>
        <v>g</v>
      </c>
      <c r="G4" s="90"/>
      <c r="H4" s="19"/>
    </row>
    <row r="5" spans="2:17" ht="36" customHeight="1">
      <c r="B5" s="76">
        <v>30</v>
      </c>
      <c r="C5" s="77" t="s">
        <v>22</v>
      </c>
      <c r="D5" s="78">
        <v>1</v>
      </c>
      <c r="E5" s="79">
        <f>B5*$E$2</f>
        <v>0</v>
      </c>
      <c r="F5" s="142" t="str">
        <f t="shared" ref="F5:F9" si="0">$F$2</f>
        <v>g</v>
      </c>
      <c r="G5" s="91">
        <v>2</v>
      </c>
      <c r="H5" s="51">
        <f>B5*G5*$E$2</f>
        <v>0</v>
      </c>
      <c r="I5"/>
      <c r="J5"/>
    </row>
    <row r="6" spans="2:17" ht="36" customHeight="1">
      <c r="B6" s="76">
        <v>10</v>
      </c>
      <c r="C6" s="77" t="s">
        <v>37</v>
      </c>
      <c r="D6" s="78">
        <v>1</v>
      </c>
      <c r="E6" s="79">
        <f t="shared" ref="E6:E9" si="1">B6*$E$2</f>
        <v>0</v>
      </c>
      <c r="F6" s="142" t="str">
        <f t="shared" si="0"/>
        <v>g</v>
      </c>
      <c r="G6" s="91">
        <v>3</v>
      </c>
      <c r="H6" s="51">
        <f t="shared" ref="H6:H9" si="2">B6*G6*$E$2</f>
        <v>0</v>
      </c>
      <c r="I6"/>
      <c r="J6"/>
    </row>
    <row r="7" spans="2:17" ht="36" customHeight="1">
      <c r="B7" s="76">
        <v>1</v>
      </c>
      <c r="C7" s="77" t="s">
        <v>48</v>
      </c>
      <c r="D7" s="78">
        <v>1</v>
      </c>
      <c r="E7" s="79">
        <v>50</v>
      </c>
      <c r="F7" s="142" t="str">
        <f t="shared" si="0"/>
        <v>g</v>
      </c>
      <c r="G7" s="91"/>
      <c r="H7" s="51">
        <f t="shared" ref="H7" si="3">B7*G7*$E$2</f>
        <v>0</v>
      </c>
      <c r="I7"/>
      <c r="J7"/>
    </row>
    <row r="8" spans="2:17" ht="36" customHeight="1">
      <c r="B8" s="76">
        <v>1</v>
      </c>
      <c r="C8" s="77" t="s">
        <v>37</v>
      </c>
      <c r="D8" s="78">
        <v>1</v>
      </c>
      <c r="E8" s="79">
        <f t="shared" si="1"/>
        <v>0</v>
      </c>
      <c r="F8" s="142" t="str">
        <f t="shared" si="0"/>
        <v>g</v>
      </c>
      <c r="G8" s="91"/>
      <c r="H8" s="51">
        <f t="shared" si="2"/>
        <v>0</v>
      </c>
      <c r="I8"/>
      <c r="J8"/>
    </row>
    <row r="9" spans="2:17" ht="36" customHeight="1" thickBot="1">
      <c r="B9" s="76">
        <v>1</v>
      </c>
      <c r="C9" s="77" t="s">
        <v>38</v>
      </c>
      <c r="D9" s="80">
        <v>1</v>
      </c>
      <c r="E9" s="81">
        <f t="shared" si="1"/>
        <v>0</v>
      </c>
      <c r="F9" s="143" t="str">
        <f t="shared" si="0"/>
        <v>g</v>
      </c>
      <c r="G9" s="92"/>
      <c r="H9" s="52">
        <f t="shared" si="2"/>
        <v>0</v>
      </c>
      <c r="I9"/>
      <c r="J9"/>
    </row>
    <row r="10" spans="2:17" ht="36" customHeight="1" thickTop="1">
      <c r="B10" s="189" t="s">
        <v>13</v>
      </c>
      <c r="C10" s="190"/>
      <c r="D10" s="74">
        <f>具_ソフト!D8</f>
        <v>0</v>
      </c>
      <c r="E10" s="75">
        <f>D10*$E$2</f>
        <v>0</v>
      </c>
      <c r="F10" s="144" t="str">
        <f t="shared" ref="F10:F84" si="4">$F$2</f>
        <v>g</v>
      </c>
      <c r="G10" s="93"/>
      <c r="H10" s="56"/>
    </row>
    <row r="11" spans="2:17" ht="36" customHeight="1">
      <c r="B11" s="176" t="s">
        <v>14</v>
      </c>
      <c r="C11" s="177"/>
      <c r="D11" s="74">
        <f>具_ミキサー!D8</f>
        <v>0</v>
      </c>
      <c r="E11" s="79">
        <f t="shared" ref="E11:E12" si="5">D11*$E$2</f>
        <v>0</v>
      </c>
      <c r="F11" s="142" t="str">
        <f t="shared" si="4"/>
        <v>g</v>
      </c>
      <c r="G11" s="94"/>
      <c r="H11" s="22"/>
    </row>
    <row r="12" spans="2:17" ht="36" customHeight="1" thickBot="1">
      <c r="B12" s="178" t="s">
        <v>15</v>
      </c>
      <c r="C12" s="179"/>
      <c r="D12" s="80">
        <f>具_ゼリー!D8</f>
        <v>0</v>
      </c>
      <c r="E12" s="81">
        <f t="shared" si="5"/>
        <v>0</v>
      </c>
      <c r="F12" s="143" t="str">
        <f t="shared" si="4"/>
        <v>g</v>
      </c>
      <c r="G12" s="95"/>
      <c r="H12" s="21"/>
    </row>
    <row r="13" spans="2:17" ht="36" customHeight="1" thickTop="1">
      <c r="B13" s="82"/>
      <c r="C13" s="83"/>
      <c r="D13" s="74"/>
      <c r="E13" s="75" t="str">
        <f>IFERROR(H13/G13,  IF(D13="", "", 0))</f>
        <v/>
      </c>
      <c r="F13" s="141" t="str">
        <f t="shared" si="4"/>
        <v>g</v>
      </c>
      <c r="G13" s="94">
        <f>IF(AND(D13="", B13&lt;&gt;""), 1, ROUNDUP(D13/30,0))</f>
        <v>0</v>
      </c>
      <c r="H13" s="54">
        <f>IF(AND(D13="", B13&lt;&gt;""), $E$2, D13*$E$2)</f>
        <v>0</v>
      </c>
    </row>
    <row r="14" spans="2:17" ht="36" customHeight="1">
      <c r="B14" s="84"/>
      <c r="C14" s="85"/>
      <c r="D14" s="78"/>
      <c r="E14" s="75" t="str">
        <f t="shared" ref="E14:E84" si="6">IFERROR(H14/G14,  IF(D14="", "", 0))</f>
        <v/>
      </c>
      <c r="F14" s="142" t="str">
        <f t="shared" si="4"/>
        <v>g</v>
      </c>
      <c r="G14" s="94">
        <f t="shared" ref="G14:G84" si="7">IF(AND(D14="", B14&lt;&gt;""), 1, ROUNDUP(D14/30,0))</f>
        <v>0</v>
      </c>
      <c r="H14" s="54">
        <f t="shared" ref="H14:H84" si="8">IF(AND(D14="", B14&lt;&gt;""), $E$2, D14*$E$2)</f>
        <v>0</v>
      </c>
    </row>
    <row r="15" spans="2:17" ht="36" customHeight="1">
      <c r="B15" s="84"/>
      <c r="C15" s="85"/>
      <c r="D15" s="78"/>
      <c r="E15" s="75" t="str">
        <f t="shared" si="6"/>
        <v/>
      </c>
      <c r="F15" s="142" t="str">
        <f t="shared" si="4"/>
        <v>g</v>
      </c>
      <c r="G15" s="94">
        <f t="shared" si="7"/>
        <v>0</v>
      </c>
      <c r="H15" s="54">
        <f t="shared" si="8"/>
        <v>0</v>
      </c>
    </row>
    <row r="16" spans="2:17" ht="36" customHeight="1">
      <c r="B16" s="84"/>
      <c r="C16" s="85"/>
      <c r="D16" s="78"/>
      <c r="E16" s="75" t="str">
        <f t="shared" si="6"/>
        <v/>
      </c>
      <c r="F16" s="142" t="str">
        <f t="shared" si="4"/>
        <v>g</v>
      </c>
      <c r="G16" s="94">
        <f t="shared" si="7"/>
        <v>0</v>
      </c>
      <c r="H16" s="54">
        <f t="shared" si="8"/>
        <v>0</v>
      </c>
    </row>
    <row r="17" spans="2:8" ht="36" customHeight="1">
      <c r="B17" s="84"/>
      <c r="C17" s="85"/>
      <c r="D17" s="78"/>
      <c r="E17" s="75" t="str">
        <f t="shared" si="6"/>
        <v/>
      </c>
      <c r="F17" s="142" t="str">
        <f t="shared" si="4"/>
        <v>g</v>
      </c>
      <c r="G17" s="94">
        <f t="shared" si="7"/>
        <v>0</v>
      </c>
      <c r="H17" s="54">
        <f t="shared" si="8"/>
        <v>0</v>
      </c>
    </row>
    <row r="18" spans="2:8" ht="36" customHeight="1">
      <c r="B18" s="84"/>
      <c r="C18" s="85"/>
      <c r="D18" s="78"/>
      <c r="E18" s="75" t="str">
        <f t="shared" si="6"/>
        <v/>
      </c>
      <c r="F18" s="142" t="str">
        <f t="shared" si="4"/>
        <v>g</v>
      </c>
      <c r="G18" s="94">
        <f t="shared" si="7"/>
        <v>0</v>
      </c>
      <c r="H18" s="54">
        <f t="shared" si="8"/>
        <v>0</v>
      </c>
    </row>
    <row r="19" spans="2:8" ht="36" customHeight="1">
      <c r="B19" s="84"/>
      <c r="C19" s="85"/>
      <c r="D19" s="78"/>
      <c r="E19" s="75" t="str">
        <f t="shared" si="6"/>
        <v/>
      </c>
      <c r="F19" s="142" t="str">
        <f t="shared" si="4"/>
        <v>g</v>
      </c>
      <c r="G19" s="94">
        <f t="shared" si="7"/>
        <v>0</v>
      </c>
      <c r="H19" s="54">
        <f t="shared" si="8"/>
        <v>0</v>
      </c>
    </row>
    <row r="20" spans="2:8" ht="36" customHeight="1">
      <c r="B20" s="84"/>
      <c r="C20" s="85"/>
      <c r="D20" s="78"/>
      <c r="E20" s="75" t="str">
        <f t="shared" si="6"/>
        <v/>
      </c>
      <c r="F20" s="142" t="str">
        <f t="shared" si="4"/>
        <v>g</v>
      </c>
      <c r="G20" s="94">
        <f t="shared" si="7"/>
        <v>0</v>
      </c>
      <c r="H20" s="54">
        <f t="shared" si="8"/>
        <v>0</v>
      </c>
    </row>
    <row r="21" spans="2:8" ht="36" customHeight="1">
      <c r="B21" s="84"/>
      <c r="C21" s="85"/>
      <c r="D21" s="78"/>
      <c r="E21" s="75" t="str">
        <f t="shared" si="6"/>
        <v/>
      </c>
      <c r="F21" s="142" t="str">
        <f t="shared" si="4"/>
        <v>g</v>
      </c>
      <c r="G21" s="94">
        <f t="shared" si="7"/>
        <v>0</v>
      </c>
      <c r="H21" s="54">
        <f t="shared" si="8"/>
        <v>0</v>
      </c>
    </row>
    <row r="22" spans="2:8" ht="36" customHeight="1">
      <c r="B22" s="84"/>
      <c r="C22" s="85"/>
      <c r="D22" s="78"/>
      <c r="E22" s="75" t="str">
        <f t="shared" si="6"/>
        <v/>
      </c>
      <c r="F22" s="142" t="str">
        <f t="shared" si="4"/>
        <v>g</v>
      </c>
      <c r="G22" s="94">
        <f t="shared" si="7"/>
        <v>0</v>
      </c>
      <c r="H22" s="54">
        <f t="shared" si="8"/>
        <v>0</v>
      </c>
    </row>
    <row r="23" spans="2:8" ht="36" customHeight="1">
      <c r="B23" s="84"/>
      <c r="C23" s="85"/>
      <c r="D23" s="78"/>
      <c r="E23" s="75" t="str">
        <f t="shared" si="6"/>
        <v/>
      </c>
      <c r="F23" s="142" t="str">
        <f t="shared" si="4"/>
        <v>g</v>
      </c>
      <c r="G23" s="94">
        <f t="shared" si="7"/>
        <v>0</v>
      </c>
      <c r="H23" s="54">
        <f t="shared" si="8"/>
        <v>0</v>
      </c>
    </row>
    <row r="24" spans="2:8" ht="36" hidden="1" customHeight="1">
      <c r="B24" s="84"/>
      <c r="C24" s="85"/>
      <c r="D24" s="78"/>
      <c r="E24" s="75" t="str">
        <f t="shared" si="6"/>
        <v/>
      </c>
      <c r="F24" s="142" t="str">
        <f t="shared" si="4"/>
        <v>g</v>
      </c>
      <c r="G24" s="94">
        <f t="shared" si="7"/>
        <v>0</v>
      </c>
      <c r="H24" s="54">
        <f t="shared" si="8"/>
        <v>0</v>
      </c>
    </row>
    <row r="25" spans="2:8" ht="36" hidden="1" customHeight="1">
      <c r="B25" s="84"/>
      <c r="C25" s="85"/>
      <c r="D25" s="78"/>
      <c r="E25" s="75" t="str">
        <f t="shared" si="6"/>
        <v/>
      </c>
      <c r="F25" s="142" t="str">
        <f t="shared" si="4"/>
        <v>g</v>
      </c>
      <c r="G25" s="94">
        <f t="shared" si="7"/>
        <v>0</v>
      </c>
      <c r="H25" s="54">
        <f t="shared" si="8"/>
        <v>0</v>
      </c>
    </row>
    <row r="26" spans="2:8" ht="36" hidden="1" customHeight="1">
      <c r="B26" s="84"/>
      <c r="C26" s="85"/>
      <c r="D26" s="78"/>
      <c r="E26" s="75" t="str">
        <f t="shared" si="6"/>
        <v/>
      </c>
      <c r="F26" s="142" t="str">
        <f t="shared" si="4"/>
        <v>g</v>
      </c>
      <c r="G26" s="94">
        <f t="shared" si="7"/>
        <v>0</v>
      </c>
      <c r="H26" s="54">
        <f t="shared" si="8"/>
        <v>0</v>
      </c>
    </row>
    <row r="27" spans="2:8" ht="36" hidden="1" customHeight="1">
      <c r="B27" s="84"/>
      <c r="C27" s="85"/>
      <c r="D27" s="78"/>
      <c r="E27" s="75" t="str">
        <f t="shared" si="6"/>
        <v/>
      </c>
      <c r="F27" s="142" t="str">
        <f t="shared" si="4"/>
        <v>g</v>
      </c>
      <c r="G27" s="94">
        <f t="shared" si="7"/>
        <v>0</v>
      </c>
      <c r="H27" s="54">
        <f t="shared" si="8"/>
        <v>0</v>
      </c>
    </row>
    <row r="28" spans="2:8" ht="36" hidden="1" customHeight="1">
      <c r="B28" s="84"/>
      <c r="C28" s="85"/>
      <c r="D28" s="78"/>
      <c r="E28" s="75" t="str">
        <f t="shared" si="6"/>
        <v/>
      </c>
      <c r="F28" s="142" t="str">
        <f t="shared" si="4"/>
        <v>g</v>
      </c>
      <c r="G28" s="94">
        <f t="shared" si="7"/>
        <v>0</v>
      </c>
      <c r="H28" s="54">
        <f t="shared" si="8"/>
        <v>0</v>
      </c>
    </row>
    <row r="29" spans="2:8" ht="36" hidden="1" customHeight="1">
      <c r="B29" s="84"/>
      <c r="C29" s="85"/>
      <c r="D29" s="78"/>
      <c r="E29" s="75" t="str">
        <f t="shared" si="6"/>
        <v/>
      </c>
      <c r="F29" s="142" t="str">
        <f t="shared" si="4"/>
        <v>g</v>
      </c>
      <c r="G29" s="94">
        <f t="shared" si="7"/>
        <v>0</v>
      </c>
      <c r="H29" s="54">
        <f t="shared" si="8"/>
        <v>0</v>
      </c>
    </row>
    <row r="30" spans="2:8" ht="36" hidden="1" customHeight="1">
      <c r="B30" s="84"/>
      <c r="C30" s="85"/>
      <c r="D30" s="78"/>
      <c r="E30" s="75" t="str">
        <f t="shared" si="6"/>
        <v/>
      </c>
      <c r="F30" s="142" t="str">
        <f t="shared" si="4"/>
        <v>g</v>
      </c>
      <c r="G30" s="94">
        <f t="shared" si="7"/>
        <v>0</v>
      </c>
      <c r="H30" s="54">
        <f t="shared" si="8"/>
        <v>0</v>
      </c>
    </row>
    <row r="31" spans="2:8" ht="36" hidden="1" customHeight="1">
      <c r="B31" s="84"/>
      <c r="C31" s="85"/>
      <c r="D31" s="78"/>
      <c r="E31" s="75" t="str">
        <f t="shared" si="6"/>
        <v/>
      </c>
      <c r="F31" s="142" t="str">
        <f t="shared" si="4"/>
        <v>g</v>
      </c>
      <c r="G31" s="94">
        <f t="shared" si="7"/>
        <v>0</v>
      </c>
      <c r="H31" s="54">
        <f t="shared" si="8"/>
        <v>0</v>
      </c>
    </row>
    <row r="32" spans="2:8" ht="36" hidden="1" customHeight="1">
      <c r="B32" s="84"/>
      <c r="C32" s="85"/>
      <c r="D32" s="78"/>
      <c r="E32" s="75" t="str">
        <f t="shared" si="6"/>
        <v/>
      </c>
      <c r="F32" s="142" t="str">
        <f t="shared" si="4"/>
        <v>g</v>
      </c>
      <c r="G32" s="94">
        <f t="shared" si="7"/>
        <v>0</v>
      </c>
      <c r="H32" s="54">
        <f t="shared" si="8"/>
        <v>0</v>
      </c>
    </row>
    <row r="33" spans="2:8" ht="36" hidden="1" customHeight="1">
      <c r="B33" s="84"/>
      <c r="C33" s="85"/>
      <c r="D33" s="78"/>
      <c r="E33" s="75" t="str">
        <f t="shared" si="6"/>
        <v/>
      </c>
      <c r="F33" s="142" t="str">
        <f t="shared" si="4"/>
        <v>g</v>
      </c>
      <c r="G33" s="94">
        <f t="shared" si="7"/>
        <v>0</v>
      </c>
      <c r="H33" s="54">
        <f t="shared" si="8"/>
        <v>0</v>
      </c>
    </row>
    <row r="34" spans="2:8" ht="36" hidden="1" customHeight="1">
      <c r="B34" s="84"/>
      <c r="C34" s="85"/>
      <c r="D34" s="78"/>
      <c r="E34" s="75" t="str">
        <f t="shared" si="6"/>
        <v/>
      </c>
      <c r="F34" s="142" t="str">
        <f t="shared" si="4"/>
        <v>g</v>
      </c>
      <c r="G34" s="94">
        <f t="shared" si="7"/>
        <v>0</v>
      </c>
      <c r="H34" s="54">
        <f t="shared" si="8"/>
        <v>0</v>
      </c>
    </row>
    <row r="35" spans="2:8" ht="36" hidden="1" customHeight="1">
      <c r="B35" s="84"/>
      <c r="C35" s="85"/>
      <c r="D35" s="78"/>
      <c r="E35" s="75" t="str">
        <f t="shared" si="6"/>
        <v/>
      </c>
      <c r="F35" s="142" t="str">
        <f t="shared" si="4"/>
        <v>g</v>
      </c>
      <c r="G35" s="94">
        <f t="shared" si="7"/>
        <v>0</v>
      </c>
      <c r="H35" s="54">
        <f t="shared" si="8"/>
        <v>0</v>
      </c>
    </row>
    <row r="36" spans="2:8" ht="36" hidden="1" customHeight="1">
      <c r="B36" s="84"/>
      <c r="C36" s="85"/>
      <c r="D36" s="78"/>
      <c r="E36" s="75" t="str">
        <f t="shared" si="6"/>
        <v/>
      </c>
      <c r="F36" s="142" t="str">
        <f t="shared" si="4"/>
        <v>g</v>
      </c>
      <c r="G36" s="94">
        <f t="shared" si="7"/>
        <v>0</v>
      </c>
      <c r="H36" s="54">
        <f t="shared" si="8"/>
        <v>0</v>
      </c>
    </row>
    <row r="37" spans="2:8" ht="36" hidden="1" customHeight="1">
      <c r="B37" s="84"/>
      <c r="C37" s="85"/>
      <c r="D37" s="78"/>
      <c r="E37" s="75" t="str">
        <f t="shared" si="6"/>
        <v/>
      </c>
      <c r="F37" s="142" t="str">
        <f t="shared" si="4"/>
        <v>g</v>
      </c>
      <c r="G37" s="94">
        <f t="shared" si="7"/>
        <v>0</v>
      </c>
      <c r="H37" s="54">
        <f t="shared" si="8"/>
        <v>0</v>
      </c>
    </row>
    <row r="38" spans="2:8" ht="36" hidden="1" customHeight="1">
      <c r="B38" s="84"/>
      <c r="C38" s="85"/>
      <c r="D38" s="78"/>
      <c r="E38" s="75" t="str">
        <f t="shared" si="6"/>
        <v/>
      </c>
      <c r="F38" s="142" t="str">
        <f t="shared" si="4"/>
        <v>g</v>
      </c>
      <c r="G38" s="94">
        <f t="shared" si="7"/>
        <v>0</v>
      </c>
      <c r="H38" s="54">
        <f t="shared" si="8"/>
        <v>0</v>
      </c>
    </row>
    <row r="39" spans="2:8" ht="36" hidden="1" customHeight="1">
      <c r="B39" s="84"/>
      <c r="C39" s="85"/>
      <c r="D39" s="78"/>
      <c r="E39" s="75" t="str">
        <f t="shared" si="6"/>
        <v/>
      </c>
      <c r="F39" s="142" t="str">
        <f t="shared" si="4"/>
        <v>g</v>
      </c>
      <c r="G39" s="94">
        <f t="shared" si="7"/>
        <v>0</v>
      </c>
      <c r="H39" s="54">
        <f t="shared" si="8"/>
        <v>0</v>
      </c>
    </row>
    <row r="40" spans="2:8" ht="36" hidden="1" customHeight="1">
      <c r="B40" s="84"/>
      <c r="C40" s="85"/>
      <c r="D40" s="78"/>
      <c r="E40" s="75" t="str">
        <f t="shared" si="6"/>
        <v/>
      </c>
      <c r="F40" s="142" t="str">
        <f t="shared" si="4"/>
        <v>g</v>
      </c>
      <c r="G40" s="94">
        <f t="shared" si="7"/>
        <v>0</v>
      </c>
      <c r="H40" s="54">
        <f t="shared" si="8"/>
        <v>0</v>
      </c>
    </row>
    <row r="41" spans="2:8" ht="36" hidden="1" customHeight="1">
      <c r="B41" s="84"/>
      <c r="C41" s="85"/>
      <c r="D41" s="78"/>
      <c r="E41" s="75" t="str">
        <f t="shared" si="6"/>
        <v/>
      </c>
      <c r="F41" s="142" t="str">
        <f t="shared" si="4"/>
        <v>g</v>
      </c>
      <c r="G41" s="94">
        <f t="shared" si="7"/>
        <v>0</v>
      </c>
      <c r="H41" s="54">
        <f t="shared" si="8"/>
        <v>0</v>
      </c>
    </row>
    <row r="42" spans="2:8" ht="36" hidden="1" customHeight="1">
      <c r="B42" s="84"/>
      <c r="C42" s="85"/>
      <c r="D42" s="78"/>
      <c r="E42" s="75" t="str">
        <f t="shared" si="6"/>
        <v/>
      </c>
      <c r="F42" s="142" t="str">
        <f t="shared" si="4"/>
        <v>g</v>
      </c>
      <c r="G42" s="94">
        <f t="shared" si="7"/>
        <v>0</v>
      </c>
      <c r="H42" s="54">
        <f t="shared" si="8"/>
        <v>0</v>
      </c>
    </row>
    <row r="43" spans="2:8" ht="36" hidden="1" customHeight="1">
      <c r="B43" s="84"/>
      <c r="C43" s="85"/>
      <c r="D43" s="78"/>
      <c r="E43" s="75" t="str">
        <f t="shared" si="6"/>
        <v/>
      </c>
      <c r="F43" s="142" t="str">
        <f t="shared" si="4"/>
        <v>g</v>
      </c>
      <c r="G43" s="94">
        <f t="shared" si="7"/>
        <v>0</v>
      </c>
      <c r="H43" s="54">
        <f t="shared" si="8"/>
        <v>0</v>
      </c>
    </row>
    <row r="44" spans="2:8" ht="36" hidden="1" customHeight="1">
      <c r="B44" s="84"/>
      <c r="C44" s="85"/>
      <c r="D44" s="78"/>
      <c r="E44" s="75" t="str">
        <f t="shared" si="6"/>
        <v/>
      </c>
      <c r="F44" s="142" t="str">
        <f t="shared" si="4"/>
        <v>g</v>
      </c>
      <c r="G44" s="94">
        <f t="shared" si="7"/>
        <v>0</v>
      </c>
      <c r="H44" s="54">
        <f t="shared" si="8"/>
        <v>0</v>
      </c>
    </row>
    <row r="45" spans="2:8" ht="36" hidden="1" customHeight="1">
      <c r="B45" s="84"/>
      <c r="C45" s="85"/>
      <c r="D45" s="78"/>
      <c r="E45" s="75" t="str">
        <f t="shared" si="6"/>
        <v/>
      </c>
      <c r="F45" s="142" t="str">
        <f t="shared" si="4"/>
        <v>g</v>
      </c>
      <c r="G45" s="94">
        <f t="shared" si="7"/>
        <v>0</v>
      </c>
      <c r="H45" s="54">
        <f t="shared" si="8"/>
        <v>0</v>
      </c>
    </row>
    <row r="46" spans="2:8" ht="36" hidden="1" customHeight="1">
      <c r="B46" s="84"/>
      <c r="C46" s="85"/>
      <c r="D46" s="78"/>
      <c r="E46" s="75" t="str">
        <f t="shared" si="6"/>
        <v/>
      </c>
      <c r="F46" s="142" t="str">
        <f t="shared" si="4"/>
        <v>g</v>
      </c>
      <c r="G46" s="94">
        <f t="shared" si="7"/>
        <v>0</v>
      </c>
      <c r="H46" s="54">
        <f t="shared" si="8"/>
        <v>0</v>
      </c>
    </row>
    <row r="47" spans="2:8" ht="36" hidden="1" customHeight="1">
      <c r="B47" s="84"/>
      <c r="C47" s="85"/>
      <c r="D47" s="78"/>
      <c r="E47" s="75" t="str">
        <f t="shared" si="6"/>
        <v/>
      </c>
      <c r="F47" s="142" t="str">
        <f t="shared" si="4"/>
        <v>g</v>
      </c>
      <c r="G47" s="94">
        <f t="shared" si="7"/>
        <v>0</v>
      </c>
      <c r="H47" s="54">
        <f t="shared" si="8"/>
        <v>0</v>
      </c>
    </row>
    <row r="48" spans="2:8" ht="36" hidden="1" customHeight="1">
      <c r="B48" s="84"/>
      <c r="C48" s="85"/>
      <c r="D48" s="78"/>
      <c r="E48" s="75" t="str">
        <f t="shared" si="6"/>
        <v/>
      </c>
      <c r="F48" s="142" t="str">
        <f t="shared" si="4"/>
        <v>g</v>
      </c>
      <c r="G48" s="94">
        <f t="shared" si="7"/>
        <v>0</v>
      </c>
      <c r="H48" s="54">
        <f t="shared" si="8"/>
        <v>0</v>
      </c>
    </row>
    <row r="49" spans="2:8" ht="36" hidden="1" customHeight="1">
      <c r="B49" s="84"/>
      <c r="C49" s="85"/>
      <c r="D49" s="78"/>
      <c r="E49" s="75" t="str">
        <f t="shared" ref="E49:E71" si="9">IFERROR(H49/G49,  IF(D49="", "", 0))</f>
        <v/>
      </c>
      <c r="F49" s="142" t="str">
        <f t="shared" si="4"/>
        <v>g</v>
      </c>
      <c r="G49" s="94">
        <f t="shared" ref="G49:G71" si="10">IF(AND(D49="", B49&lt;&gt;""), 1, ROUNDUP(D49/30,0))</f>
        <v>0</v>
      </c>
      <c r="H49" s="54">
        <f t="shared" ref="H49:H71" si="11">IF(AND(D49="", B49&lt;&gt;""), $E$2, D49*$E$2)</f>
        <v>0</v>
      </c>
    </row>
    <row r="50" spans="2:8" ht="36" hidden="1" customHeight="1">
      <c r="B50" s="84"/>
      <c r="C50" s="85"/>
      <c r="D50" s="78"/>
      <c r="E50" s="75" t="str">
        <f t="shared" si="9"/>
        <v/>
      </c>
      <c r="F50" s="142" t="str">
        <f t="shared" si="4"/>
        <v>g</v>
      </c>
      <c r="G50" s="94">
        <f t="shared" si="10"/>
        <v>0</v>
      </c>
      <c r="H50" s="54">
        <f t="shared" si="11"/>
        <v>0</v>
      </c>
    </row>
    <row r="51" spans="2:8" ht="36" hidden="1" customHeight="1">
      <c r="B51" s="84"/>
      <c r="C51" s="85"/>
      <c r="D51" s="78"/>
      <c r="E51" s="75" t="str">
        <f t="shared" si="9"/>
        <v/>
      </c>
      <c r="F51" s="142" t="str">
        <f t="shared" si="4"/>
        <v>g</v>
      </c>
      <c r="G51" s="94">
        <f t="shared" si="10"/>
        <v>0</v>
      </c>
      <c r="H51" s="54">
        <f t="shared" si="11"/>
        <v>0</v>
      </c>
    </row>
    <row r="52" spans="2:8" ht="36" hidden="1" customHeight="1">
      <c r="B52" s="84"/>
      <c r="C52" s="85"/>
      <c r="D52" s="78"/>
      <c r="E52" s="75" t="str">
        <f t="shared" si="9"/>
        <v/>
      </c>
      <c r="F52" s="142" t="str">
        <f t="shared" si="4"/>
        <v>g</v>
      </c>
      <c r="G52" s="94">
        <f t="shared" si="10"/>
        <v>0</v>
      </c>
      <c r="H52" s="54">
        <f t="shared" si="11"/>
        <v>0</v>
      </c>
    </row>
    <row r="53" spans="2:8" ht="36" hidden="1" customHeight="1">
      <c r="B53" s="84"/>
      <c r="C53" s="85"/>
      <c r="D53" s="78"/>
      <c r="E53" s="75" t="str">
        <f t="shared" si="9"/>
        <v/>
      </c>
      <c r="F53" s="142" t="str">
        <f t="shared" si="4"/>
        <v>g</v>
      </c>
      <c r="G53" s="94">
        <f t="shared" si="10"/>
        <v>0</v>
      </c>
      <c r="H53" s="54">
        <f t="shared" si="11"/>
        <v>0</v>
      </c>
    </row>
    <row r="54" spans="2:8" ht="36" hidden="1" customHeight="1">
      <c r="B54" s="84"/>
      <c r="C54" s="85"/>
      <c r="D54" s="78"/>
      <c r="E54" s="75" t="str">
        <f t="shared" si="9"/>
        <v/>
      </c>
      <c r="F54" s="142" t="str">
        <f t="shared" si="4"/>
        <v>g</v>
      </c>
      <c r="G54" s="94">
        <f t="shared" si="10"/>
        <v>0</v>
      </c>
      <c r="H54" s="54">
        <f t="shared" si="11"/>
        <v>0</v>
      </c>
    </row>
    <row r="55" spans="2:8" ht="36" hidden="1" customHeight="1">
      <c r="B55" s="84"/>
      <c r="C55" s="85"/>
      <c r="D55" s="78"/>
      <c r="E55" s="75" t="str">
        <f t="shared" si="9"/>
        <v/>
      </c>
      <c r="F55" s="142" t="str">
        <f t="shared" si="4"/>
        <v>g</v>
      </c>
      <c r="G55" s="94">
        <f t="shared" si="10"/>
        <v>0</v>
      </c>
      <c r="H55" s="54">
        <f t="shared" si="11"/>
        <v>0</v>
      </c>
    </row>
    <row r="56" spans="2:8" ht="36" hidden="1" customHeight="1">
      <c r="B56" s="84"/>
      <c r="C56" s="85"/>
      <c r="D56" s="78"/>
      <c r="E56" s="75" t="str">
        <f t="shared" si="9"/>
        <v/>
      </c>
      <c r="F56" s="142" t="str">
        <f t="shared" si="4"/>
        <v>g</v>
      </c>
      <c r="G56" s="94">
        <f t="shared" si="10"/>
        <v>0</v>
      </c>
      <c r="H56" s="54">
        <f t="shared" si="11"/>
        <v>0</v>
      </c>
    </row>
    <row r="57" spans="2:8" ht="36" hidden="1" customHeight="1">
      <c r="B57" s="84"/>
      <c r="C57" s="85"/>
      <c r="D57" s="78"/>
      <c r="E57" s="75" t="str">
        <f t="shared" si="9"/>
        <v/>
      </c>
      <c r="F57" s="142" t="str">
        <f t="shared" si="4"/>
        <v>g</v>
      </c>
      <c r="G57" s="94">
        <f t="shared" si="10"/>
        <v>0</v>
      </c>
      <c r="H57" s="54">
        <f t="shared" si="11"/>
        <v>0</v>
      </c>
    </row>
    <row r="58" spans="2:8" ht="36" hidden="1" customHeight="1">
      <c r="B58" s="84"/>
      <c r="C58" s="85"/>
      <c r="D58" s="78"/>
      <c r="E58" s="75" t="str">
        <f t="shared" si="9"/>
        <v/>
      </c>
      <c r="F58" s="142" t="str">
        <f t="shared" si="4"/>
        <v>g</v>
      </c>
      <c r="G58" s="94">
        <f t="shared" si="10"/>
        <v>0</v>
      </c>
      <c r="H58" s="54">
        <f t="shared" si="11"/>
        <v>0</v>
      </c>
    </row>
    <row r="59" spans="2:8" ht="36" hidden="1" customHeight="1">
      <c r="B59" s="84"/>
      <c r="C59" s="85"/>
      <c r="D59" s="78"/>
      <c r="E59" s="75" t="str">
        <f t="shared" si="9"/>
        <v/>
      </c>
      <c r="F59" s="142" t="str">
        <f t="shared" si="4"/>
        <v>g</v>
      </c>
      <c r="G59" s="94">
        <f t="shared" si="10"/>
        <v>0</v>
      </c>
      <c r="H59" s="54">
        <f t="shared" si="11"/>
        <v>0</v>
      </c>
    </row>
    <row r="60" spans="2:8" ht="36" hidden="1" customHeight="1">
      <c r="B60" s="84"/>
      <c r="C60" s="85"/>
      <c r="D60" s="78"/>
      <c r="E60" s="75" t="str">
        <f t="shared" si="9"/>
        <v/>
      </c>
      <c r="F60" s="142" t="str">
        <f t="shared" si="4"/>
        <v>g</v>
      </c>
      <c r="G60" s="94">
        <f t="shared" si="10"/>
        <v>0</v>
      </c>
      <c r="H60" s="54">
        <f t="shared" si="11"/>
        <v>0</v>
      </c>
    </row>
    <row r="61" spans="2:8" ht="36" hidden="1" customHeight="1">
      <c r="B61" s="84"/>
      <c r="C61" s="85"/>
      <c r="D61" s="78"/>
      <c r="E61" s="75" t="str">
        <f t="shared" si="9"/>
        <v/>
      </c>
      <c r="F61" s="142" t="str">
        <f t="shared" si="4"/>
        <v>g</v>
      </c>
      <c r="G61" s="94">
        <f t="shared" si="10"/>
        <v>0</v>
      </c>
      <c r="H61" s="54">
        <f t="shared" si="11"/>
        <v>0</v>
      </c>
    </row>
    <row r="62" spans="2:8" ht="36" hidden="1" customHeight="1">
      <c r="B62" s="84"/>
      <c r="C62" s="85"/>
      <c r="D62" s="78"/>
      <c r="E62" s="75" t="str">
        <f t="shared" si="9"/>
        <v/>
      </c>
      <c r="F62" s="142" t="str">
        <f t="shared" si="4"/>
        <v>g</v>
      </c>
      <c r="G62" s="94">
        <f t="shared" si="10"/>
        <v>0</v>
      </c>
      <c r="H62" s="54">
        <f t="shared" si="11"/>
        <v>0</v>
      </c>
    </row>
    <row r="63" spans="2:8" ht="36" hidden="1" customHeight="1">
      <c r="B63" s="84"/>
      <c r="C63" s="85"/>
      <c r="D63" s="78"/>
      <c r="E63" s="75" t="str">
        <f t="shared" si="9"/>
        <v/>
      </c>
      <c r="F63" s="142" t="str">
        <f t="shared" si="4"/>
        <v>g</v>
      </c>
      <c r="G63" s="94">
        <f t="shared" si="10"/>
        <v>0</v>
      </c>
      <c r="H63" s="54">
        <f t="shared" si="11"/>
        <v>0</v>
      </c>
    </row>
    <row r="64" spans="2:8" ht="36" hidden="1" customHeight="1">
      <c r="B64" s="84"/>
      <c r="C64" s="85"/>
      <c r="D64" s="78"/>
      <c r="E64" s="75" t="str">
        <f t="shared" si="9"/>
        <v/>
      </c>
      <c r="F64" s="142" t="str">
        <f t="shared" si="4"/>
        <v>g</v>
      </c>
      <c r="G64" s="94">
        <f t="shared" si="10"/>
        <v>0</v>
      </c>
      <c r="H64" s="54">
        <f t="shared" si="11"/>
        <v>0</v>
      </c>
    </row>
    <row r="65" spans="2:8" ht="36" hidden="1" customHeight="1">
      <c r="B65" s="84"/>
      <c r="C65" s="85"/>
      <c r="D65" s="78"/>
      <c r="E65" s="75" t="str">
        <f t="shared" si="9"/>
        <v/>
      </c>
      <c r="F65" s="142" t="str">
        <f t="shared" si="4"/>
        <v>g</v>
      </c>
      <c r="G65" s="94">
        <f t="shared" si="10"/>
        <v>0</v>
      </c>
      <c r="H65" s="54">
        <f t="shared" si="11"/>
        <v>0</v>
      </c>
    </row>
    <row r="66" spans="2:8" ht="36" hidden="1" customHeight="1">
      <c r="B66" s="84"/>
      <c r="C66" s="85"/>
      <c r="D66" s="78"/>
      <c r="E66" s="75" t="str">
        <f t="shared" si="9"/>
        <v/>
      </c>
      <c r="F66" s="142" t="str">
        <f t="shared" si="4"/>
        <v>g</v>
      </c>
      <c r="G66" s="94">
        <f t="shared" si="10"/>
        <v>0</v>
      </c>
      <c r="H66" s="54">
        <f t="shared" si="11"/>
        <v>0</v>
      </c>
    </row>
    <row r="67" spans="2:8" ht="36" hidden="1" customHeight="1">
      <c r="B67" s="84"/>
      <c r="C67" s="85"/>
      <c r="D67" s="78"/>
      <c r="E67" s="75" t="str">
        <f t="shared" si="9"/>
        <v/>
      </c>
      <c r="F67" s="142" t="str">
        <f t="shared" si="4"/>
        <v>g</v>
      </c>
      <c r="G67" s="94">
        <f t="shared" si="10"/>
        <v>0</v>
      </c>
      <c r="H67" s="54">
        <f t="shared" si="11"/>
        <v>0</v>
      </c>
    </row>
    <row r="68" spans="2:8" ht="36" hidden="1" customHeight="1">
      <c r="B68" s="84"/>
      <c r="C68" s="85"/>
      <c r="D68" s="78"/>
      <c r="E68" s="75" t="str">
        <f t="shared" si="9"/>
        <v/>
      </c>
      <c r="F68" s="142" t="str">
        <f t="shared" si="4"/>
        <v>g</v>
      </c>
      <c r="G68" s="94">
        <f t="shared" si="10"/>
        <v>0</v>
      </c>
      <c r="H68" s="54">
        <f t="shared" si="11"/>
        <v>0</v>
      </c>
    </row>
    <row r="69" spans="2:8" ht="36" hidden="1" customHeight="1">
      <c r="B69" s="84"/>
      <c r="C69" s="85"/>
      <c r="D69" s="78"/>
      <c r="E69" s="75" t="str">
        <f t="shared" si="9"/>
        <v/>
      </c>
      <c r="F69" s="142" t="str">
        <f t="shared" si="4"/>
        <v>g</v>
      </c>
      <c r="G69" s="94">
        <f t="shared" si="10"/>
        <v>0</v>
      </c>
      <c r="H69" s="54">
        <f t="shared" si="11"/>
        <v>0</v>
      </c>
    </row>
    <row r="70" spans="2:8" ht="36" hidden="1" customHeight="1">
      <c r="B70" s="84"/>
      <c r="C70" s="85"/>
      <c r="D70" s="78"/>
      <c r="E70" s="75" t="str">
        <f t="shared" si="9"/>
        <v/>
      </c>
      <c r="F70" s="142" t="str">
        <f t="shared" si="4"/>
        <v>g</v>
      </c>
      <c r="G70" s="94">
        <f t="shared" si="10"/>
        <v>0</v>
      </c>
      <c r="H70" s="54">
        <f t="shared" si="11"/>
        <v>0</v>
      </c>
    </row>
    <row r="71" spans="2:8" ht="36" hidden="1" customHeight="1">
      <c r="B71" s="84"/>
      <c r="C71" s="85"/>
      <c r="D71" s="78"/>
      <c r="E71" s="75" t="str">
        <f t="shared" si="9"/>
        <v/>
      </c>
      <c r="F71" s="142" t="str">
        <f t="shared" si="4"/>
        <v>g</v>
      </c>
      <c r="G71" s="94">
        <f t="shared" si="10"/>
        <v>0</v>
      </c>
      <c r="H71" s="54">
        <f t="shared" si="11"/>
        <v>0</v>
      </c>
    </row>
    <row r="72" spans="2:8" ht="36" hidden="1" customHeight="1">
      <c r="B72" s="84"/>
      <c r="C72" s="85"/>
      <c r="D72" s="78"/>
      <c r="E72" s="75" t="str">
        <f t="shared" si="6"/>
        <v/>
      </c>
      <c r="F72" s="142" t="str">
        <f t="shared" si="4"/>
        <v>g</v>
      </c>
      <c r="G72" s="94">
        <f t="shared" si="7"/>
        <v>0</v>
      </c>
      <c r="H72" s="54">
        <f t="shared" si="8"/>
        <v>0</v>
      </c>
    </row>
    <row r="73" spans="2:8" ht="36" hidden="1" customHeight="1">
      <c r="B73" s="84"/>
      <c r="C73" s="85"/>
      <c r="D73" s="78"/>
      <c r="E73" s="75" t="str">
        <f t="shared" si="6"/>
        <v/>
      </c>
      <c r="F73" s="142" t="str">
        <f t="shared" si="4"/>
        <v>g</v>
      </c>
      <c r="G73" s="94">
        <f t="shared" si="7"/>
        <v>0</v>
      </c>
      <c r="H73" s="54">
        <f t="shared" si="8"/>
        <v>0</v>
      </c>
    </row>
    <row r="74" spans="2:8" ht="36" hidden="1" customHeight="1">
      <c r="B74" s="84"/>
      <c r="C74" s="85"/>
      <c r="D74" s="78"/>
      <c r="E74" s="75" t="str">
        <f t="shared" si="6"/>
        <v/>
      </c>
      <c r="F74" s="142" t="str">
        <f t="shared" si="4"/>
        <v>g</v>
      </c>
      <c r="G74" s="94">
        <f t="shared" si="7"/>
        <v>0</v>
      </c>
      <c r="H74" s="54">
        <f t="shared" si="8"/>
        <v>0</v>
      </c>
    </row>
    <row r="75" spans="2:8" ht="36" hidden="1" customHeight="1">
      <c r="B75" s="84"/>
      <c r="C75" s="85"/>
      <c r="D75" s="78"/>
      <c r="E75" s="75" t="str">
        <f t="shared" si="6"/>
        <v/>
      </c>
      <c r="F75" s="142" t="str">
        <f t="shared" si="4"/>
        <v>g</v>
      </c>
      <c r="G75" s="94">
        <f t="shared" si="7"/>
        <v>0</v>
      </c>
      <c r="H75" s="54">
        <f t="shared" si="8"/>
        <v>0</v>
      </c>
    </row>
    <row r="76" spans="2:8" ht="36" hidden="1" customHeight="1">
      <c r="B76" s="84"/>
      <c r="C76" s="85"/>
      <c r="D76" s="78"/>
      <c r="E76" s="75" t="str">
        <f t="shared" si="6"/>
        <v/>
      </c>
      <c r="F76" s="142" t="str">
        <f t="shared" si="4"/>
        <v>g</v>
      </c>
      <c r="G76" s="94">
        <f t="shared" si="7"/>
        <v>0</v>
      </c>
      <c r="H76" s="54">
        <f t="shared" si="8"/>
        <v>0</v>
      </c>
    </row>
    <row r="77" spans="2:8" ht="36" hidden="1" customHeight="1">
      <c r="B77" s="84"/>
      <c r="C77" s="85"/>
      <c r="D77" s="78"/>
      <c r="E77" s="75" t="str">
        <f t="shared" si="6"/>
        <v/>
      </c>
      <c r="F77" s="142" t="str">
        <f t="shared" si="4"/>
        <v>g</v>
      </c>
      <c r="G77" s="94">
        <f t="shared" si="7"/>
        <v>0</v>
      </c>
      <c r="H77" s="54">
        <f t="shared" si="8"/>
        <v>0</v>
      </c>
    </row>
    <row r="78" spans="2:8" ht="36" hidden="1" customHeight="1">
      <c r="B78" s="84"/>
      <c r="C78" s="85"/>
      <c r="D78" s="78"/>
      <c r="E78" s="75" t="str">
        <f t="shared" si="6"/>
        <v/>
      </c>
      <c r="F78" s="142" t="str">
        <f t="shared" si="4"/>
        <v>g</v>
      </c>
      <c r="G78" s="94">
        <f t="shared" si="7"/>
        <v>0</v>
      </c>
      <c r="H78" s="54">
        <f t="shared" si="8"/>
        <v>0</v>
      </c>
    </row>
    <row r="79" spans="2:8" ht="36" hidden="1" customHeight="1">
      <c r="B79" s="84"/>
      <c r="C79" s="85"/>
      <c r="D79" s="78"/>
      <c r="E79" s="75" t="str">
        <f t="shared" si="6"/>
        <v/>
      </c>
      <c r="F79" s="142" t="str">
        <f t="shared" si="4"/>
        <v>g</v>
      </c>
      <c r="G79" s="94">
        <f t="shared" si="7"/>
        <v>0</v>
      </c>
      <c r="H79" s="54">
        <f t="shared" si="8"/>
        <v>0</v>
      </c>
    </row>
    <row r="80" spans="2:8" ht="36" hidden="1" customHeight="1">
      <c r="B80" s="84"/>
      <c r="C80" s="85"/>
      <c r="D80" s="78"/>
      <c r="E80" s="75" t="str">
        <f t="shared" si="6"/>
        <v/>
      </c>
      <c r="F80" s="142" t="str">
        <f t="shared" si="4"/>
        <v>g</v>
      </c>
      <c r="G80" s="94">
        <f t="shared" si="7"/>
        <v>0</v>
      </c>
      <c r="H80" s="54">
        <f t="shared" si="8"/>
        <v>0</v>
      </c>
    </row>
    <row r="81" spans="2:8" ht="36" hidden="1" customHeight="1">
      <c r="B81" s="84"/>
      <c r="C81" s="85"/>
      <c r="D81" s="78"/>
      <c r="E81" s="75" t="str">
        <f t="shared" si="6"/>
        <v/>
      </c>
      <c r="F81" s="142" t="str">
        <f t="shared" si="4"/>
        <v>g</v>
      </c>
      <c r="G81" s="94">
        <f t="shared" si="7"/>
        <v>0</v>
      </c>
      <c r="H81" s="54">
        <f t="shared" si="8"/>
        <v>0</v>
      </c>
    </row>
    <row r="82" spans="2:8" ht="36" hidden="1" customHeight="1">
      <c r="B82" s="84"/>
      <c r="C82" s="85"/>
      <c r="D82" s="78"/>
      <c r="E82" s="75" t="str">
        <f t="shared" si="6"/>
        <v/>
      </c>
      <c r="F82" s="142" t="str">
        <f t="shared" si="4"/>
        <v>g</v>
      </c>
      <c r="G82" s="94">
        <f t="shared" si="7"/>
        <v>0</v>
      </c>
      <c r="H82" s="54">
        <f t="shared" si="8"/>
        <v>0</v>
      </c>
    </row>
    <row r="83" spans="2:8" ht="36" hidden="1" customHeight="1">
      <c r="B83" s="84"/>
      <c r="C83" s="85"/>
      <c r="D83" s="78"/>
      <c r="E83" s="75" t="str">
        <f t="shared" si="6"/>
        <v/>
      </c>
      <c r="F83" s="142" t="str">
        <f t="shared" si="4"/>
        <v>g</v>
      </c>
      <c r="G83" s="94">
        <f t="shared" si="7"/>
        <v>0</v>
      </c>
      <c r="H83" s="54">
        <f t="shared" si="8"/>
        <v>0</v>
      </c>
    </row>
    <row r="84" spans="2:8" ht="36" customHeight="1" thickBot="1">
      <c r="B84" s="86"/>
      <c r="C84" s="87"/>
      <c r="D84" s="88"/>
      <c r="E84" s="89" t="str">
        <f t="shared" si="6"/>
        <v/>
      </c>
      <c r="F84" s="145" t="str">
        <f t="shared" si="4"/>
        <v>g</v>
      </c>
      <c r="G84" s="96">
        <f t="shared" si="7"/>
        <v>0</v>
      </c>
      <c r="H84" s="55">
        <f t="shared" si="8"/>
        <v>0</v>
      </c>
    </row>
    <row r="85" spans="2:8" ht="32.1" customHeight="1">
      <c r="B85" s="2"/>
      <c r="C85" s="2"/>
      <c r="D85" s="2"/>
    </row>
    <row r="86" spans="2:8" ht="32.1" customHeight="1">
      <c r="B86" s="2"/>
      <c r="C86" s="2"/>
      <c r="D86" s="2"/>
    </row>
    <row r="87" spans="2:8" ht="32.1" customHeight="1">
      <c r="B87" s="2"/>
      <c r="C87" s="2"/>
      <c r="D87" s="2"/>
    </row>
    <row r="88" spans="2:8" ht="32.1" customHeight="1">
      <c r="B88" s="2"/>
      <c r="C88" s="2"/>
      <c r="D88" s="2"/>
    </row>
    <row r="89" spans="2:8" ht="32.1" customHeight="1">
      <c r="B89" s="2"/>
      <c r="C89" s="2"/>
      <c r="D89" s="2"/>
    </row>
    <row r="90" spans="2:8" ht="32.1" customHeight="1">
      <c r="B90" s="2"/>
      <c r="C90" s="2"/>
      <c r="D90" s="2"/>
    </row>
    <row r="91" spans="2:8" ht="32.1" customHeight="1">
      <c r="B91" s="2"/>
      <c r="C91" s="2"/>
      <c r="D91" s="2"/>
    </row>
    <row r="92" spans="2:8" ht="32.1" customHeight="1">
      <c r="B92" s="2"/>
      <c r="C92" s="2"/>
      <c r="D92" s="2"/>
    </row>
    <row r="93" spans="2:8" ht="32.1" customHeight="1">
      <c r="B93" s="2"/>
      <c r="C93" s="2"/>
      <c r="D93" s="2"/>
    </row>
    <row r="94" spans="2:8" ht="32.1" customHeight="1">
      <c r="B94" s="2"/>
      <c r="C94" s="2"/>
      <c r="D94" s="2"/>
    </row>
    <row r="95" spans="2:8" ht="32.1" customHeight="1">
      <c r="B95" s="2"/>
      <c r="C95" s="2"/>
      <c r="D95" s="2"/>
    </row>
    <row r="96" spans="2:8" ht="32.1" customHeight="1">
      <c r="B96" s="2"/>
      <c r="C96" s="2"/>
      <c r="D96" s="2"/>
    </row>
    <row r="97" spans="2:4" ht="32.1" customHeight="1">
      <c r="B97" s="2"/>
      <c r="C97" s="2"/>
      <c r="D97" s="2"/>
    </row>
  </sheetData>
  <mergeCells count="9">
    <mergeCell ref="B11:C11"/>
    <mergeCell ref="B12:C12"/>
    <mergeCell ref="B1:D1"/>
    <mergeCell ref="E1:F1"/>
    <mergeCell ref="G1:H1"/>
    <mergeCell ref="B2:D2"/>
    <mergeCell ref="E3:F3"/>
    <mergeCell ref="B4:C4"/>
    <mergeCell ref="B10:C10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6A97-F9CC-4432-B795-903C4150A217}">
  <sheetPr>
    <pageSetUpPr fitToPage="1"/>
  </sheetPr>
  <dimension ref="B1:Q7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3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81" t="s">
        <v>3</v>
      </c>
      <c r="C1" s="181"/>
      <c r="D1" s="181"/>
      <c r="E1" s="181"/>
      <c r="F1" s="181"/>
      <c r="G1" s="182"/>
      <c r="H1" s="182"/>
    </row>
    <row r="2" spans="2:17" ht="50.1" customHeight="1">
      <c r="B2" s="183"/>
      <c r="C2" s="184"/>
      <c r="D2" s="184"/>
      <c r="E2" s="60"/>
      <c r="F2" s="151" t="s">
        <v>2</v>
      </c>
      <c r="G2" s="50"/>
      <c r="H2" s="50"/>
    </row>
    <row r="3" spans="2:17" s="4" customFormat="1" ht="36" customHeight="1" thickBot="1">
      <c r="B3" s="10"/>
      <c r="C3" s="11"/>
      <c r="D3" s="64" t="s">
        <v>5</v>
      </c>
      <c r="E3" s="191" t="s">
        <v>3</v>
      </c>
      <c r="F3" s="192"/>
      <c r="G3" s="159" t="s">
        <v>9</v>
      </c>
      <c r="H3" s="18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87" t="s">
        <v>1</v>
      </c>
      <c r="C4" s="188"/>
      <c r="D4" s="74">
        <v>1</v>
      </c>
      <c r="E4" s="75">
        <f>D4*$E$2</f>
        <v>0</v>
      </c>
      <c r="F4" s="165" t="str">
        <f>$F$2</f>
        <v>g</v>
      </c>
      <c r="G4" s="160"/>
      <c r="H4" s="19"/>
    </row>
    <row r="5" spans="2:17" ht="36" customHeight="1">
      <c r="B5" s="76">
        <v>30</v>
      </c>
      <c r="C5" s="77" t="s">
        <v>22</v>
      </c>
      <c r="D5" s="78">
        <v>1</v>
      </c>
      <c r="E5" s="79">
        <f>B5*$E$2</f>
        <v>0</v>
      </c>
      <c r="F5" s="166" t="str">
        <f t="shared" ref="F5:F9" si="0">$F$2</f>
        <v>g</v>
      </c>
      <c r="G5" s="161">
        <v>0</v>
      </c>
      <c r="H5" s="51">
        <f>B5*G5*$E$2</f>
        <v>0</v>
      </c>
      <c r="I5"/>
      <c r="J5"/>
    </row>
    <row r="6" spans="2:17" ht="36" customHeight="1">
      <c r="B6" s="76">
        <v>10</v>
      </c>
      <c r="C6" s="77" t="s">
        <v>37</v>
      </c>
      <c r="D6" s="78">
        <v>1</v>
      </c>
      <c r="E6" s="79">
        <f t="shared" ref="E6:E9" si="1">B6*$E$2</f>
        <v>0</v>
      </c>
      <c r="F6" s="166" t="str">
        <f t="shared" si="0"/>
        <v>g</v>
      </c>
      <c r="G6" s="161">
        <v>2</v>
      </c>
      <c r="H6" s="51">
        <f t="shared" ref="H6:H9" si="2">B6*G6*$E$2</f>
        <v>0</v>
      </c>
      <c r="I6"/>
      <c r="J6"/>
    </row>
    <row r="7" spans="2:17" ht="36" customHeight="1">
      <c r="B7" s="76">
        <v>1</v>
      </c>
      <c r="C7" s="77" t="s">
        <v>48</v>
      </c>
      <c r="D7" s="78">
        <v>1</v>
      </c>
      <c r="E7" s="79">
        <f t="shared" ref="E7" si="3">B7*$E$2</f>
        <v>0</v>
      </c>
      <c r="F7" s="166" t="str">
        <f t="shared" si="0"/>
        <v>g</v>
      </c>
      <c r="G7" s="161"/>
      <c r="H7" s="51">
        <f t="shared" ref="H7" si="4">B7*G7*$E$2</f>
        <v>0</v>
      </c>
      <c r="I7"/>
      <c r="J7"/>
    </row>
    <row r="8" spans="2:17" ht="36" customHeight="1">
      <c r="B8" s="76">
        <v>1</v>
      </c>
      <c r="C8" s="77" t="s">
        <v>37</v>
      </c>
      <c r="D8" s="78">
        <v>1</v>
      </c>
      <c r="E8" s="79">
        <f t="shared" si="1"/>
        <v>0</v>
      </c>
      <c r="F8" s="166" t="str">
        <f t="shared" si="0"/>
        <v>g</v>
      </c>
      <c r="G8" s="161"/>
      <c r="H8" s="51">
        <f t="shared" si="2"/>
        <v>0</v>
      </c>
      <c r="I8"/>
      <c r="J8"/>
    </row>
    <row r="9" spans="2:17" ht="36" customHeight="1" thickBot="1">
      <c r="B9" s="97">
        <v>1</v>
      </c>
      <c r="C9" s="98" t="s">
        <v>38</v>
      </c>
      <c r="D9" s="80">
        <v>1</v>
      </c>
      <c r="E9" s="81">
        <f t="shared" si="1"/>
        <v>0</v>
      </c>
      <c r="F9" s="167" t="str">
        <f t="shared" si="0"/>
        <v>g</v>
      </c>
      <c r="G9" s="162"/>
      <c r="H9" s="52">
        <f t="shared" si="2"/>
        <v>0</v>
      </c>
      <c r="I9"/>
      <c r="J9"/>
    </row>
    <row r="10" spans="2:17" ht="36" customHeight="1" thickTop="1">
      <c r="B10" s="82"/>
      <c r="C10" s="83"/>
      <c r="D10" s="74"/>
      <c r="E10" s="75" t="str">
        <f>IFERROR(H10/G10, "")</f>
        <v/>
      </c>
      <c r="F10" s="165" t="str">
        <f t="shared" ref="F10:F61" si="5">$F$2</f>
        <v>g</v>
      </c>
      <c r="G10" s="163">
        <f>ROUNDUP(D10/30,0)</f>
        <v>0</v>
      </c>
      <c r="H10" s="53">
        <f>D10*$E$2</f>
        <v>0</v>
      </c>
    </row>
    <row r="11" spans="2:17" ht="36" customHeight="1">
      <c r="B11" s="84"/>
      <c r="C11" s="85"/>
      <c r="D11" s="78"/>
      <c r="E11" s="75" t="str">
        <f>IFERROR(H11/G11, "")</f>
        <v/>
      </c>
      <c r="F11" s="166" t="str">
        <f t="shared" si="5"/>
        <v>g</v>
      </c>
      <c r="G11" s="112">
        <f t="shared" ref="G11:G12" si="6">ROUNDUP(D11/30,0)</f>
        <v>0</v>
      </c>
      <c r="H11" s="54">
        <f t="shared" ref="H11:H12" si="7">D11*$E$2</f>
        <v>0</v>
      </c>
    </row>
    <row r="12" spans="2:17" ht="36" customHeight="1">
      <c r="B12" s="84"/>
      <c r="C12" s="85"/>
      <c r="D12" s="78"/>
      <c r="E12" s="75" t="str">
        <f t="shared" ref="E12" si="8">IFERROR(H12/G12, "")</f>
        <v/>
      </c>
      <c r="F12" s="166" t="str">
        <f t="shared" si="5"/>
        <v>g</v>
      </c>
      <c r="G12" s="112">
        <f t="shared" si="6"/>
        <v>0</v>
      </c>
      <c r="H12" s="54">
        <f t="shared" si="7"/>
        <v>0</v>
      </c>
    </row>
    <row r="13" spans="2:17" ht="36" customHeight="1">
      <c r="B13" s="84"/>
      <c r="C13" s="85"/>
      <c r="D13" s="78"/>
      <c r="E13" s="75" t="str">
        <f t="shared" ref="E13:E44" si="9">IFERROR(H13/G13,  IF(D13="", "", 0))</f>
        <v/>
      </c>
      <c r="F13" s="166" t="str">
        <f t="shared" si="5"/>
        <v>g</v>
      </c>
      <c r="G13" s="112">
        <f t="shared" ref="G13:G44" si="10">IF(AND(D13="", B13&lt;&gt;""), 1, ROUNDUP(D13/30,0))</f>
        <v>0</v>
      </c>
      <c r="H13" s="54">
        <f t="shared" ref="H13:H44" si="11">IF(AND(D13="", B13&lt;&gt;""), $E$2, D13*$E$2)</f>
        <v>0</v>
      </c>
    </row>
    <row r="14" spans="2:17" ht="36" customHeight="1">
      <c r="B14" s="84"/>
      <c r="C14" s="85"/>
      <c r="D14" s="78"/>
      <c r="E14" s="75" t="str">
        <f t="shared" si="9"/>
        <v/>
      </c>
      <c r="F14" s="166" t="str">
        <f t="shared" si="5"/>
        <v>g</v>
      </c>
      <c r="G14" s="112">
        <f t="shared" si="10"/>
        <v>0</v>
      </c>
      <c r="H14" s="54">
        <f t="shared" si="11"/>
        <v>0</v>
      </c>
    </row>
    <row r="15" spans="2:17" ht="36" customHeight="1">
      <c r="B15" s="84"/>
      <c r="C15" s="85"/>
      <c r="D15" s="78"/>
      <c r="E15" s="75" t="str">
        <f t="shared" si="9"/>
        <v/>
      </c>
      <c r="F15" s="166" t="str">
        <f t="shared" si="5"/>
        <v>g</v>
      </c>
      <c r="G15" s="112">
        <f t="shared" si="10"/>
        <v>0</v>
      </c>
      <c r="H15" s="54">
        <f t="shared" si="11"/>
        <v>0</v>
      </c>
    </row>
    <row r="16" spans="2:17" ht="36" customHeight="1">
      <c r="B16" s="84"/>
      <c r="C16" s="85"/>
      <c r="D16" s="78"/>
      <c r="E16" s="75" t="str">
        <f t="shared" si="9"/>
        <v/>
      </c>
      <c r="F16" s="166" t="str">
        <f t="shared" si="5"/>
        <v>g</v>
      </c>
      <c r="G16" s="112">
        <f t="shared" si="10"/>
        <v>0</v>
      </c>
      <c r="H16" s="54">
        <f t="shared" si="11"/>
        <v>0</v>
      </c>
    </row>
    <row r="17" spans="2:8" ht="36" customHeight="1">
      <c r="B17" s="84"/>
      <c r="C17" s="85"/>
      <c r="D17" s="78"/>
      <c r="E17" s="75" t="str">
        <f t="shared" si="9"/>
        <v/>
      </c>
      <c r="F17" s="166" t="str">
        <f t="shared" si="5"/>
        <v>g</v>
      </c>
      <c r="G17" s="112">
        <f t="shared" si="10"/>
        <v>0</v>
      </c>
      <c r="H17" s="54">
        <f t="shared" si="11"/>
        <v>0</v>
      </c>
    </row>
    <row r="18" spans="2:8" ht="36" customHeight="1">
      <c r="B18" s="84"/>
      <c r="C18" s="85"/>
      <c r="D18" s="78"/>
      <c r="E18" s="75" t="str">
        <f t="shared" si="9"/>
        <v/>
      </c>
      <c r="F18" s="166" t="str">
        <f t="shared" si="5"/>
        <v>g</v>
      </c>
      <c r="G18" s="112">
        <f t="shared" si="10"/>
        <v>0</v>
      </c>
      <c r="H18" s="54">
        <f t="shared" si="11"/>
        <v>0</v>
      </c>
    </row>
    <row r="19" spans="2:8" ht="36" customHeight="1">
      <c r="B19" s="84"/>
      <c r="C19" s="85"/>
      <c r="D19" s="78"/>
      <c r="E19" s="75" t="str">
        <f t="shared" si="9"/>
        <v/>
      </c>
      <c r="F19" s="166" t="str">
        <f t="shared" si="5"/>
        <v>g</v>
      </c>
      <c r="G19" s="112">
        <f t="shared" si="10"/>
        <v>0</v>
      </c>
      <c r="H19" s="54">
        <f t="shared" si="11"/>
        <v>0</v>
      </c>
    </row>
    <row r="20" spans="2:8" ht="36" customHeight="1">
      <c r="B20" s="84"/>
      <c r="C20" s="85"/>
      <c r="D20" s="78"/>
      <c r="E20" s="75" t="str">
        <f t="shared" si="9"/>
        <v/>
      </c>
      <c r="F20" s="166" t="str">
        <f t="shared" si="5"/>
        <v>g</v>
      </c>
      <c r="G20" s="112">
        <f t="shared" si="10"/>
        <v>0</v>
      </c>
      <c r="H20" s="54">
        <f t="shared" si="11"/>
        <v>0</v>
      </c>
    </row>
    <row r="21" spans="2:8" ht="36" customHeight="1">
      <c r="B21" s="84"/>
      <c r="C21" s="85"/>
      <c r="D21" s="78"/>
      <c r="E21" s="75" t="str">
        <f t="shared" si="9"/>
        <v/>
      </c>
      <c r="F21" s="166" t="str">
        <f t="shared" si="5"/>
        <v>g</v>
      </c>
      <c r="G21" s="112">
        <f t="shared" si="10"/>
        <v>0</v>
      </c>
      <c r="H21" s="54">
        <f t="shared" si="11"/>
        <v>0</v>
      </c>
    </row>
    <row r="22" spans="2:8" ht="36" customHeight="1">
      <c r="B22" s="84"/>
      <c r="C22" s="85"/>
      <c r="D22" s="78"/>
      <c r="E22" s="75" t="str">
        <f t="shared" si="9"/>
        <v/>
      </c>
      <c r="F22" s="166" t="str">
        <f t="shared" si="5"/>
        <v>g</v>
      </c>
      <c r="G22" s="112">
        <f t="shared" si="10"/>
        <v>0</v>
      </c>
      <c r="H22" s="54">
        <f t="shared" si="11"/>
        <v>0</v>
      </c>
    </row>
    <row r="23" spans="2:8" ht="36" customHeight="1">
      <c r="B23" s="84"/>
      <c r="C23" s="85"/>
      <c r="D23" s="78"/>
      <c r="E23" s="75" t="str">
        <f t="shared" si="9"/>
        <v/>
      </c>
      <c r="F23" s="166" t="str">
        <f t="shared" si="5"/>
        <v>g</v>
      </c>
      <c r="G23" s="112">
        <f t="shared" si="10"/>
        <v>0</v>
      </c>
      <c r="H23" s="54">
        <f t="shared" si="11"/>
        <v>0</v>
      </c>
    </row>
    <row r="24" spans="2:8" ht="36" customHeight="1">
      <c r="B24" s="84"/>
      <c r="C24" s="85"/>
      <c r="D24" s="78"/>
      <c r="E24" s="75" t="str">
        <f t="shared" si="9"/>
        <v/>
      </c>
      <c r="F24" s="166" t="str">
        <f t="shared" si="5"/>
        <v>g</v>
      </c>
      <c r="G24" s="112">
        <f t="shared" si="10"/>
        <v>0</v>
      </c>
      <c r="H24" s="54">
        <f t="shared" si="11"/>
        <v>0</v>
      </c>
    </row>
    <row r="25" spans="2:8" ht="36" hidden="1" customHeight="1">
      <c r="B25" s="84"/>
      <c r="C25" s="85"/>
      <c r="D25" s="78"/>
      <c r="E25" s="75" t="str">
        <f t="shared" si="9"/>
        <v/>
      </c>
      <c r="F25" s="166" t="str">
        <f t="shared" si="5"/>
        <v>g</v>
      </c>
      <c r="G25" s="112">
        <f t="shared" si="10"/>
        <v>0</v>
      </c>
      <c r="H25" s="54">
        <f t="shared" si="11"/>
        <v>0</v>
      </c>
    </row>
    <row r="26" spans="2:8" ht="36" hidden="1" customHeight="1">
      <c r="B26" s="84"/>
      <c r="C26" s="85"/>
      <c r="D26" s="78"/>
      <c r="E26" s="75" t="str">
        <f t="shared" si="9"/>
        <v/>
      </c>
      <c r="F26" s="166" t="str">
        <f t="shared" si="5"/>
        <v>g</v>
      </c>
      <c r="G26" s="112">
        <f t="shared" si="10"/>
        <v>0</v>
      </c>
      <c r="H26" s="54">
        <f t="shared" si="11"/>
        <v>0</v>
      </c>
    </row>
    <row r="27" spans="2:8" ht="36" hidden="1" customHeight="1">
      <c r="B27" s="84"/>
      <c r="C27" s="85"/>
      <c r="D27" s="78"/>
      <c r="E27" s="75" t="str">
        <f t="shared" si="9"/>
        <v/>
      </c>
      <c r="F27" s="166" t="str">
        <f t="shared" si="5"/>
        <v>g</v>
      </c>
      <c r="G27" s="112">
        <f t="shared" si="10"/>
        <v>0</v>
      </c>
      <c r="H27" s="54">
        <f t="shared" si="11"/>
        <v>0</v>
      </c>
    </row>
    <row r="28" spans="2:8" ht="36" hidden="1" customHeight="1">
      <c r="B28" s="84"/>
      <c r="C28" s="85"/>
      <c r="D28" s="78"/>
      <c r="E28" s="75" t="str">
        <f t="shared" si="9"/>
        <v/>
      </c>
      <c r="F28" s="166" t="str">
        <f t="shared" si="5"/>
        <v>g</v>
      </c>
      <c r="G28" s="112">
        <f t="shared" si="10"/>
        <v>0</v>
      </c>
      <c r="H28" s="54">
        <f t="shared" si="11"/>
        <v>0</v>
      </c>
    </row>
    <row r="29" spans="2:8" ht="36" hidden="1" customHeight="1">
      <c r="B29" s="84"/>
      <c r="C29" s="85"/>
      <c r="D29" s="78"/>
      <c r="E29" s="75" t="str">
        <f t="shared" si="9"/>
        <v/>
      </c>
      <c r="F29" s="166" t="str">
        <f t="shared" si="5"/>
        <v>g</v>
      </c>
      <c r="G29" s="112">
        <f t="shared" si="10"/>
        <v>0</v>
      </c>
      <c r="H29" s="54">
        <f t="shared" si="11"/>
        <v>0</v>
      </c>
    </row>
    <row r="30" spans="2:8" ht="36" hidden="1" customHeight="1">
      <c r="B30" s="84"/>
      <c r="C30" s="85"/>
      <c r="D30" s="78"/>
      <c r="E30" s="75" t="str">
        <f t="shared" si="9"/>
        <v/>
      </c>
      <c r="F30" s="166" t="str">
        <f t="shared" si="5"/>
        <v>g</v>
      </c>
      <c r="G30" s="112">
        <f t="shared" si="10"/>
        <v>0</v>
      </c>
      <c r="H30" s="54">
        <f t="shared" si="11"/>
        <v>0</v>
      </c>
    </row>
    <row r="31" spans="2:8" ht="36" hidden="1" customHeight="1">
      <c r="B31" s="84"/>
      <c r="C31" s="85"/>
      <c r="D31" s="78"/>
      <c r="E31" s="75" t="str">
        <f t="shared" si="9"/>
        <v/>
      </c>
      <c r="F31" s="166" t="str">
        <f t="shared" si="5"/>
        <v>g</v>
      </c>
      <c r="G31" s="112">
        <f t="shared" si="10"/>
        <v>0</v>
      </c>
      <c r="H31" s="54">
        <f t="shared" si="11"/>
        <v>0</v>
      </c>
    </row>
    <row r="32" spans="2:8" ht="36" hidden="1" customHeight="1">
      <c r="B32" s="84"/>
      <c r="C32" s="85"/>
      <c r="D32" s="78"/>
      <c r="E32" s="75" t="str">
        <f t="shared" si="9"/>
        <v/>
      </c>
      <c r="F32" s="166" t="str">
        <f t="shared" si="5"/>
        <v>g</v>
      </c>
      <c r="G32" s="112">
        <f t="shared" si="10"/>
        <v>0</v>
      </c>
      <c r="H32" s="54">
        <f t="shared" si="11"/>
        <v>0</v>
      </c>
    </row>
    <row r="33" spans="2:8" ht="36" hidden="1" customHeight="1">
      <c r="B33" s="84"/>
      <c r="C33" s="85"/>
      <c r="D33" s="78"/>
      <c r="E33" s="75" t="str">
        <f t="shared" si="9"/>
        <v/>
      </c>
      <c r="F33" s="166" t="str">
        <f t="shared" si="5"/>
        <v>g</v>
      </c>
      <c r="G33" s="112">
        <f t="shared" si="10"/>
        <v>0</v>
      </c>
      <c r="H33" s="54">
        <f t="shared" si="11"/>
        <v>0</v>
      </c>
    </row>
    <row r="34" spans="2:8" ht="36" hidden="1" customHeight="1">
      <c r="B34" s="84"/>
      <c r="C34" s="85"/>
      <c r="D34" s="78"/>
      <c r="E34" s="75" t="str">
        <f t="shared" si="9"/>
        <v/>
      </c>
      <c r="F34" s="166" t="str">
        <f t="shared" si="5"/>
        <v>g</v>
      </c>
      <c r="G34" s="112">
        <f t="shared" si="10"/>
        <v>0</v>
      </c>
      <c r="H34" s="54">
        <f t="shared" si="11"/>
        <v>0</v>
      </c>
    </row>
    <row r="35" spans="2:8" ht="36" hidden="1" customHeight="1">
      <c r="B35" s="84"/>
      <c r="C35" s="85"/>
      <c r="D35" s="78"/>
      <c r="E35" s="75" t="str">
        <f t="shared" si="9"/>
        <v/>
      </c>
      <c r="F35" s="166" t="str">
        <f t="shared" si="5"/>
        <v>g</v>
      </c>
      <c r="G35" s="112">
        <f t="shared" si="10"/>
        <v>0</v>
      </c>
      <c r="H35" s="54">
        <f t="shared" si="11"/>
        <v>0</v>
      </c>
    </row>
    <row r="36" spans="2:8" ht="36" hidden="1" customHeight="1">
      <c r="B36" s="84"/>
      <c r="C36" s="85"/>
      <c r="D36" s="78"/>
      <c r="E36" s="75" t="str">
        <f t="shared" si="9"/>
        <v/>
      </c>
      <c r="F36" s="166" t="str">
        <f t="shared" si="5"/>
        <v>g</v>
      </c>
      <c r="G36" s="112">
        <f t="shared" si="10"/>
        <v>0</v>
      </c>
      <c r="H36" s="54">
        <f t="shared" si="11"/>
        <v>0</v>
      </c>
    </row>
    <row r="37" spans="2:8" ht="36" hidden="1" customHeight="1">
      <c r="B37" s="84"/>
      <c r="C37" s="85"/>
      <c r="D37" s="78"/>
      <c r="E37" s="75" t="str">
        <f t="shared" si="9"/>
        <v/>
      </c>
      <c r="F37" s="166" t="str">
        <f t="shared" si="5"/>
        <v>g</v>
      </c>
      <c r="G37" s="112">
        <f t="shared" si="10"/>
        <v>0</v>
      </c>
      <c r="H37" s="54">
        <f t="shared" si="11"/>
        <v>0</v>
      </c>
    </row>
    <row r="38" spans="2:8" ht="36" hidden="1" customHeight="1">
      <c r="B38" s="84"/>
      <c r="C38" s="85"/>
      <c r="D38" s="78"/>
      <c r="E38" s="75" t="str">
        <f t="shared" si="9"/>
        <v/>
      </c>
      <c r="F38" s="166" t="str">
        <f t="shared" si="5"/>
        <v>g</v>
      </c>
      <c r="G38" s="112">
        <f t="shared" si="10"/>
        <v>0</v>
      </c>
      <c r="H38" s="54">
        <f t="shared" si="11"/>
        <v>0</v>
      </c>
    </row>
    <row r="39" spans="2:8" ht="36" hidden="1" customHeight="1">
      <c r="B39" s="84"/>
      <c r="C39" s="85"/>
      <c r="D39" s="78"/>
      <c r="E39" s="75" t="str">
        <f t="shared" si="9"/>
        <v/>
      </c>
      <c r="F39" s="166" t="str">
        <f t="shared" si="5"/>
        <v>g</v>
      </c>
      <c r="G39" s="112">
        <f t="shared" si="10"/>
        <v>0</v>
      </c>
      <c r="H39" s="54">
        <f t="shared" si="11"/>
        <v>0</v>
      </c>
    </row>
    <row r="40" spans="2:8" ht="36" hidden="1" customHeight="1">
      <c r="B40" s="84"/>
      <c r="C40" s="85"/>
      <c r="D40" s="78"/>
      <c r="E40" s="75" t="str">
        <f t="shared" si="9"/>
        <v/>
      </c>
      <c r="F40" s="166" t="str">
        <f t="shared" si="5"/>
        <v>g</v>
      </c>
      <c r="G40" s="112">
        <f t="shared" si="10"/>
        <v>0</v>
      </c>
      <c r="H40" s="54">
        <f t="shared" si="11"/>
        <v>0</v>
      </c>
    </row>
    <row r="41" spans="2:8" ht="36" hidden="1" customHeight="1">
      <c r="B41" s="84"/>
      <c r="C41" s="85"/>
      <c r="D41" s="78"/>
      <c r="E41" s="75" t="str">
        <f t="shared" si="9"/>
        <v/>
      </c>
      <c r="F41" s="166" t="str">
        <f t="shared" si="5"/>
        <v>g</v>
      </c>
      <c r="G41" s="112">
        <f t="shared" si="10"/>
        <v>0</v>
      </c>
      <c r="H41" s="54">
        <f t="shared" si="11"/>
        <v>0</v>
      </c>
    </row>
    <row r="42" spans="2:8" ht="36" hidden="1" customHeight="1">
      <c r="B42" s="84"/>
      <c r="C42" s="85"/>
      <c r="D42" s="78"/>
      <c r="E42" s="75" t="str">
        <f t="shared" si="9"/>
        <v/>
      </c>
      <c r="F42" s="166" t="str">
        <f t="shared" si="5"/>
        <v>g</v>
      </c>
      <c r="G42" s="112">
        <f t="shared" si="10"/>
        <v>0</v>
      </c>
      <c r="H42" s="54">
        <f t="shared" si="11"/>
        <v>0</v>
      </c>
    </row>
    <row r="43" spans="2:8" ht="36" hidden="1" customHeight="1">
      <c r="B43" s="84"/>
      <c r="C43" s="85"/>
      <c r="D43" s="78"/>
      <c r="E43" s="75" t="str">
        <f t="shared" si="9"/>
        <v/>
      </c>
      <c r="F43" s="166" t="str">
        <f t="shared" si="5"/>
        <v>g</v>
      </c>
      <c r="G43" s="112">
        <f t="shared" si="10"/>
        <v>0</v>
      </c>
      <c r="H43" s="54">
        <f t="shared" si="11"/>
        <v>0</v>
      </c>
    </row>
    <row r="44" spans="2:8" ht="36" hidden="1" customHeight="1">
      <c r="B44" s="84"/>
      <c r="C44" s="85"/>
      <c r="D44" s="78"/>
      <c r="E44" s="75" t="str">
        <f t="shared" si="9"/>
        <v/>
      </c>
      <c r="F44" s="166" t="str">
        <f t="shared" si="5"/>
        <v>g</v>
      </c>
      <c r="G44" s="112">
        <f t="shared" si="10"/>
        <v>0</v>
      </c>
      <c r="H44" s="54">
        <f t="shared" si="11"/>
        <v>0</v>
      </c>
    </row>
    <row r="45" spans="2:8" ht="36" hidden="1" customHeight="1">
      <c r="B45" s="84"/>
      <c r="C45" s="85"/>
      <c r="D45" s="78"/>
      <c r="E45" s="75" t="str">
        <f t="shared" ref="E45:E61" si="12">IFERROR(H45/G45,  IF(D45="", "", 0))</f>
        <v/>
      </c>
      <c r="F45" s="166" t="str">
        <f t="shared" si="5"/>
        <v>g</v>
      </c>
      <c r="G45" s="112">
        <f t="shared" ref="G45:G61" si="13">IF(AND(D45="", B45&lt;&gt;""), 1, ROUNDUP(D45/30,0))</f>
        <v>0</v>
      </c>
      <c r="H45" s="54">
        <f t="shared" ref="H45:H61" si="14">IF(AND(D45="", B45&lt;&gt;""), $E$2, D45*$E$2)</f>
        <v>0</v>
      </c>
    </row>
    <row r="46" spans="2:8" ht="36" hidden="1" customHeight="1">
      <c r="B46" s="84"/>
      <c r="C46" s="85"/>
      <c r="D46" s="78"/>
      <c r="E46" s="75" t="str">
        <f t="shared" si="12"/>
        <v/>
      </c>
      <c r="F46" s="166" t="str">
        <f t="shared" si="5"/>
        <v>g</v>
      </c>
      <c r="G46" s="112">
        <f t="shared" si="13"/>
        <v>0</v>
      </c>
      <c r="H46" s="54">
        <f t="shared" si="14"/>
        <v>0</v>
      </c>
    </row>
    <row r="47" spans="2:8" ht="36" hidden="1" customHeight="1">
      <c r="B47" s="84"/>
      <c r="C47" s="85"/>
      <c r="D47" s="78"/>
      <c r="E47" s="75" t="str">
        <f t="shared" si="12"/>
        <v/>
      </c>
      <c r="F47" s="166" t="str">
        <f t="shared" si="5"/>
        <v>g</v>
      </c>
      <c r="G47" s="112">
        <f t="shared" si="13"/>
        <v>0</v>
      </c>
      <c r="H47" s="54">
        <f t="shared" si="14"/>
        <v>0</v>
      </c>
    </row>
    <row r="48" spans="2:8" ht="36" hidden="1" customHeight="1">
      <c r="B48" s="84"/>
      <c r="C48" s="85"/>
      <c r="D48" s="78"/>
      <c r="E48" s="75" t="str">
        <f t="shared" si="12"/>
        <v/>
      </c>
      <c r="F48" s="166" t="str">
        <f t="shared" si="5"/>
        <v>g</v>
      </c>
      <c r="G48" s="112">
        <f t="shared" si="13"/>
        <v>0</v>
      </c>
      <c r="H48" s="54">
        <f t="shared" si="14"/>
        <v>0</v>
      </c>
    </row>
    <row r="49" spans="2:8" ht="36" hidden="1" customHeight="1">
      <c r="B49" s="84"/>
      <c r="C49" s="85"/>
      <c r="D49" s="78"/>
      <c r="E49" s="75" t="str">
        <f t="shared" si="12"/>
        <v/>
      </c>
      <c r="F49" s="166" t="str">
        <f t="shared" si="5"/>
        <v>g</v>
      </c>
      <c r="G49" s="112">
        <f t="shared" si="13"/>
        <v>0</v>
      </c>
      <c r="H49" s="54">
        <f t="shared" si="14"/>
        <v>0</v>
      </c>
    </row>
    <row r="50" spans="2:8" ht="36" hidden="1" customHeight="1">
      <c r="B50" s="84"/>
      <c r="C50" s="85"/>
      <c r="D50" s="78"/>
      <c r="E50" s="75" t="str">
        <f t="shared" si="12"/>
        <v/>
      </c>
      <c r="F50" s="166" t="str">
        <f t="shared" si="5"/>
        <v>g</v>
      </c>
      <c r="G50" s="112">
        <f t="shared" si="13"/>
        <v>0</v>
      </c>
      <c r="H50" s="54">
        <f t="shared" si="14"/>
        <v>0</v>
      </c>
    </row>
    <row r="51" spans="2:8" ht="36" hidden="1" customHeight="1">
      <c r="B51" s="84"/>
      <c r="C51" s="85"/>
      <c r="D51" s="78"/>
      <c r="E51" s="75" t="str">
        <f t="shared" si="12"/>
        <v/>
      </c>
      <c r="F51" s="166" t="str">
        <f t="shared" si="5"/>
        <v>g</v>
      </c>
      <c r="G51" s="112">
        <f t="shared" si="13"/>
        <v>0</v>
      </c>
      <c r="H51" s="54">
        <f t="shared" si="14"/>
        <v>0</v>
      </c>
    </row>
    <row r="52" spans="2:8" ht="36" hidden="1" customHeight="1">
      <c r="B52" s="84"/>
      <c r="C52" s="85"/>
      <c r="D52" s="78"/>
      <c r="E52" s="75" t="str">
        <f t="shared" si="12"/>
        <v/>
      </c>
      <c r="F52" s="166" t="str">
        <f t="shared" si="5"/>
        <v>g</v>
      </c>
      <c r="G52" s="112">
        <f t="shared" si="13"/>
        <v>0</v>
      </c>
      <c r="H52" s="54">
        <f t="shared" si="14"/>
        <v>0</v>
      </c>
    </row>
    <row r="53" spans="2:8" ht="36" hidden="1" customHeight="1">
      <c r="B53" s="84"/>
      <c r="C53" s="85"/>
      <c r="D53" s="78"/>
      <c r="E53" s="75" t="str">
        <f t="shared" si="12"/>
        <v/>
      </c>
      <c r="F53" s="166" t="str">
        <f t="shared" si="5"/>
        <v>g</v>
      </c>
      <c r="G53" s="112">
        <f t="shared" si="13"/>
        <v>0</v>
      </c>
      <c r="H53" s="54">
        <f t="shared" si="14"/>
        <v>0</v>
      </c>
    </row>
    <row r="54" spans="2:8" ht="36" hidden="1" customHeight="1">
      <c r="B54" s="84"/>
      <c r="C54" s="85"/>
      <c r="D54" s="78"/>
      <c r="E54" s="75" t="str">
        <f t="shared" si="12"/>
        <v/>
      </c>
      <c r="F54" s="166" t="str">
        <f t="shared" si="5"/>
        <v>g</v>
      </c>
      <c r="G54" s="112">
        <f t="shared" si="13"/>
        <v>0</v>
      </c>
      <c r="H54" s="54">
        <f t="shared" si="14"/>
        <v>0</v>
      </c>
    </row>
    <row r="55" spans="2:8" ht="36" hidden="1" customHeight="1">
      <c r="B55" s="84"/>
      <c r="C55" s="85"/>
      <c r="D55" s="78"/>
      <c r="E55" s="75" t="str">
        <f t="shared" si="12"/>
        <v/>
      </c>
      <c r="F55" s="166" t="str">
        <f t="shared" si="5"/>
        <v>g</v>
      </c>
      <c r="G55" s="112">
        <f t="shared" si="13"/>
        <v>0</v>
      </c>
      <c r="H55" s="54">
        <f t="shared" si="14"/>
        <v>0</v>
      </c>
    </row>
    <row r="56" spans="2:8" ht="36" hidden="1" customHeight="1">
      <c r="B56" s="84"/>
      <c r="C56" s="85"/>
      <c r="D56" s="78"/>
      <c r="E56" s="75" t="str">
        <f t="shared" si="12"/>
        <v/>
      </c>
      <c r="F56" s="166" t="str">
        <f t="shared" si="5"/>
        <v>g</v>
      </c>
      <c r="G56" s="112">
        <f t="shared" si="13"/>
        <v>0</v>
      </c>
      <c r="H56" s="54">
        <f t="shared" si="14"/>
        <v>0</v>
      </c>
    </row>
    <row r="57" spans="2:8" ht="36" hidden="1" customHeight="1">
      <c r="B57" s="84"/>
      <c r="C57" s="85"/>
      <c r="D57" s="78"/>
      <c r="E57" s="75" t="str">
        <f t="shared" si="12"/>
        <v/>
      </c>
      <c r="F57" s="166" t="str">
        <f t="shared" si="5"/>
        <v>g</v>
      </c>
      <c r="G57" s="112">
        <f t="shared" si="13"/>
        <v>0</v>
      </c>
      <c r="H57" s="54">
        <f t="shared" si="14"/>
        <v>0</v>
      </c>
    </row>
    <row r="58" spans="2:8" ht="36" hidden="1" customHeight="1">
      <c r="B58" s="84"/>
      <c r="C58" s="85"/>
      <c r="D58" s="78"/>
      <c r="E58" s="75" t="str">
        <f t="shared" si="12"/>
        <v/>
      </c>
      <c r="F58" s="166" t="str">
        <f t="shared" si="5"/>
        <v>g</v>
      </c>
      <c r="G58" s="112">
        <f t="shared" si="13"/>
        <v>0</v>
      </c>
      <c r="H58" s="54">
        <f t="shared" si="14"/>
        <v>0</v>
      </c>
    </row>
    <row r="59" spans="2:8" ht="36" hidden="1" customHeight="1">
      <c r="B59" s="84"/>
      <c r="C59" s="85"/>
      <c r="D59" s="78"/>
      <c r="E59" s="75" t="str">
        <f t="shared" si="12"/>
        <v/>
      </c>
      <c r="F59" s="166" t="str">
        <f t="shared" si="5"/>
        <v>g</v>
      </c>
      <c r="G59" s="112">
        <f t="shared" si="13"/>
        <v>0</v>
      </c>
      <c r="H59" s="54">
        <f t="shared" si="14"/>
        <v>0</v>
      </c>
    </row>
    <row r="60" spans="2:8" ht="36" hidden="1" customHeight="1">
      <c r="B60" s="84"/>
      <c r="C60" s="85"/>
      <c r="D60" s="78"/>
      <c r="E60" s="75" t="str">
        <f t="shared" si="12"/>
        <v/>
      </c>
      <c r="F60" s="166" t="str">
        <f t="shared" si="5"/>
        <v>g</v>
      </c>
      <c r="G60" s="112">
        <f t="shared" si="13"/>
        <v>0</v>
      </c>
      <c r="H60" s="54">
        <f t="shared" si="14"/>
        <v>0</v>
      </c>
    </row>
    <row r="61" spans="2:8" ht="36" customHeight="1" thickBot="1">
      <c r="B61" s="86"/>
      <c r="C61" s="87"/>
      <c r="D61" s="88"/>
      <c r="E61" s="99" t="str">
        <f t="shared" si="12"/>
        <v/>
      </c>
      <c r="F61" s="168" t="str">
        <f t="shared" si="5"/>
        <v>g</v>
      </c>
      <c r="G61" s="164">
        <f t="shared" si="13"/>
        <v>0</v>
      </c>
      <c r="H61" s="55">
        <f t="shared" si="14"/>
        <v>0</v>
      </c>
    </row>
    <row r="62" spans="2:8" ht="32.1" customHeight="1">
      <c r="B62" s="2"/>
      <c r="C62" s="2"/>
      <c r="D62" s="2"/>
    </row>
    <row r="63" spans="2:8" ht="32.1" customHeight="1">
      <c r="B63" s="2"/>
      <c r="C63" s="2"/>
      <c r="D63" s="2"/>
    </row>
    <row r="64" spans="2:8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s="5" customFormat="1" ht="32.1" customHeight="1">
      <c r="B69" s="2"/>
      <c r="C69" s="2"/>
      <c r="D69" s="2"/>
      <c r="F69" s="6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s="5" customFormat="1" ht="32.1" customHeight="1">
      <c r="B73" s="2"/>
      <c r="C73" s="2"/>
      <c r="D73" s="2"/>
      <c r="F73" s="6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s="5" customFormat="1" ht="32.1" customHeight="1">
      <c r="B74" s="2"/>
      <c r="C74" s="2"/>
      <c r="D74" s="2"/>
      <c r="F74" s="6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6">
    <mergeCell ref="B4:C4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0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95" t="s">
        <v>10</v>
      </c>
      <c r="C1" s="181"/>
      <c r="D1" s="181"/>
      <c r="E1" s="181"/>
      <c r="F1" s="181"/>
      <c r="G1" s="181"/>
      <c r="H1" s="181"/>
    </row>
    <row r="2" spans="2:17" ht="50.1" customHeight="1">
      <c r="B2" s="183"/>
      <c r="C2" s="184"/>
      <c r="D2" s="184"/>
      <c r="E2" s="60"/>
      <c r="F2" s="148" t="s">
        <v>2</v>
      </c>
      <c r="G2" s="16"/>
      <c r="H2" s="17"/>
    </row>
    <row r="3" spans="2:17" s="4" customFormat="1" ht="36" customHeight="1" thickBot="1">
      <c r="B3" s="8"/>
      <c r="C3" s="9"/>
      <c r="D3" s="62" t="s">
        <v>4</v>
      </c>
      <c r="E3" s="185" t="s">
        <v>0</v>
      </c>
      <c r="F3" s="196"/>
      <c r="G3" s="63" t="s">
        <v>9</v>
      </c>
      <c r="H3" s="18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0">
        <v>1</v>
      </c>
      <c r="C4" s="101" t="s">
        <v>7</v>
      </c>
      <c r="D4" s="74">
        <v>1</v>
      </c>
      <c r="E4" s="102" t="str">
        <f>IF($E2=0, "", $E2)</f>
        <v/>
      </c>
      <c r="F4" s="146" t="str">
        <f>$F$2</f>
        <v>g</v>
      </c>
      <c r="G4" s="90"/>
      <c r="H4" s="19"/>
    </row>
    <row r="5" spans="2:17" ht="36" customHeight="1">
      <c r="B5" s="76">
        <f>D5</f>
        <v>0</v>
      </c>
      <c r="C5" s="77" t="s">
        <v>8</v>
      </c>
      <c r="D5" s="103"/>
      <c r="E5" s="104" t="str">
        <f>IF($E2=0, "", B5*$E2)</f>
        <v/>
      </c>
      <c r="F5" s="147" t="str">
        <f t="shared" ref="F5:F57" si="0">$F$2</f>
        <v>g</v>
      </c>
      <c r="G5" s="108"/>
      <c r="H5" s="20"/>
    </row>
    <row r="6" spans="2:17" ht="36" customHeight="1" thickBot="1">
      <c r="B6" s="119">
        <f>D6</f>
        <v>1</v>
      </c>
      <c r="C6" s="120" t="s">
        <v>49</v>
      </c>
      <c r="D6" s="78">
        <v>1</v>
      </c>
      <c r="E6" s="174" t="str">
        <f>IF($E2=0, "", B6*$E2)</f>
        <v/>
      </c>
      <c r="F6" s="149" t="str">
        <f t="shared" si="0"/>
        <v>g</v>
      </c>
      <c r="G6" s="175"/>
      <c r="H6" s="21">
        <f>G6*$E$2</f>
        <v>0</v>
      </c>
    </row>
    <row r="7" spans="2:17" ht="36" customHeight="1" thickTop="1" thickBot="1">
      <c r="B7" s="134">
        <f>D7</f>
        <v>1</v>
      </c>
      <c r="C7" s="135" t="s">
        <v>19</v>
      </c>
      <c r="D7" s="170">
        <v>1</v>
      </c>
      <c r="E7" s="171" t="str">
        <f>IF($E2=0, "", B7*$E2)</f>
        <v/>
      </c>
      <c r="F7" s="172" t="str">
        <f t="shared" si="0"/>
        <v>g</v>
      </c>
      <c r="G7" s="173"/>
      <c r="H7" s="21">
        <f>G7*$E$2</f>
        <v>0</v>
      </c>
    </row>
    <row r="8" spans="2:17" ht="36" customHeight="1" thickTop="1">
      <c r="B8" s="193" t="s">
        <v>47</v>
      </c>
      <c r="C8" s="194"/>
      <c r="D8" s="74">
        <f>D5+G6+G7+SUM(D10:D57)</f>
        <v>0</v>
      </c>
      <c r="E8" s="102" t="str">
        <f>IF($E$2=0, "", D8*$E$2)</f>
        <v/>
      </c>
      <c r="F8" s="146" t="str">
        <f t="shared" si="0"/>
        <v>g</v>
      </c>
      <c r="G8" s="94"/>
      <c r="H8" s="22"/>
    </row>
    <row r="9" spans="2:17" ht="36" customHeight="1">
      <c r="B9" s="84"/>
      <c r="C9" s="85"/>
      <c r="D9" s="78"/>
      <c r="E9" s="75"/>
      <c r="F9" s="13"/>
      <c r="G9" s="94"/>
      <c r="H9" s="22"/>
    </row>
    <row r="10" spans="2:17" ht="36" customHeight="1">
      <c r="B10" s="84"/>
      <c r="C10" s="85"/>
      <c r="D10" s="78"/>
      <c r="E10" s="75"/>
      <c r="F10" s="149" t="str">
        <f t="shared" si="0"/>
        <v>g</v>
      </c>
      <c r="G10" s="94">
        <f t="shared" ref="G10:G57" si="1">ROUNDUP(D10/30,0)</f>
        <v>0</v>
      </c>
      <c r="H10" s="22">
        <f t="shared" ref="H10:H57" si="2">D10*$E$2</f>
        <v>0</v>
      </c>
    </row>
    <row r="11" spans="2:17" ht="36" customHeight="1">
      <c r="B11" s="84"/>
      <c r="C11" s="85"/>
      <c r="D11" s="78"/>
      <c r="E11" s="75"/>
      <c r="F11" s="149" t="str">
        <f t="shared" si="0"/>
        <v>g</v>
      </c>
      <c r="G11" s="94">
        <f t="shared" si="1"/>
        <v>0</v>
      </c>
      <c r="H11" s="22">
        <f t="shared" si="2"/>
        <v>0</v>
      </c>
    </row>
    <row r="12" spans="2:17" ht="36" customHeight="1">
      <c r="B12" s="84"/>
      <c r="C12" s="85"/>
      <c r="D12" s="78"/>
      <c r="E12" s="75"/>
      <c r="F12" s="149" t="str">
        <f t="shared" si="0"/>
        <v>g</v>
      </c>
      <c r="G12" s="94">
        <f t="shared" si="1"/>
        <v>0</v>
      </c>
      <c r="H12" s="22">
        <f t="shared" si="2"/>
        <v>0</v>
      </c>
    </row>
    <row r="13" spans="2:17" ht="36" customHeight="1">
      <c r="B13" s="84"/>
      <c r="C13" s="85"/>
      <c r="D13" s="78"/>
      <c r="E13" s="75"/>
      <c r="F13" s="149" t="str">
        <f t="shared" si="0"/>
        <v>g</v>
      </c>
      <c r="G13" s="94">
        <f t="shared" si="1"/>
        <v>0</v>
      </c>
      <c r="H13" s="22">
        <f t="shared" si="2"/>
        <v>0</v>
      </c>
    </row>
    <row r="14" spans="2:17" ht="36" customHeight="1">
      <c r="B14" s="84"/>
      <c r="C14" s="85"/>
      <c r="D14" s="78"/>
      <c r="E14" s="75"/>
      <c r="F14" s="149" t="str">
        <f t="shared" si="0"/>
        <v>g</v>
      </c>
      <c r="G14" s="94">
        <f t="shared" si="1"/>
        <v>0</v>
      </c>
      <c r="H14" s="22">
        <f t="shared" si="2"/>
        <v>0</v>
      </c>
    </row>
    <row r="15" spans="2:17" ht="36" customHeight="1">
      <c r="B15" s="84"/>
      <c r="C15" s="85"/>
      <c r="D15" s="78"/>
      <c r="E15" s="75"/>
      <c r="F15" s="149" t="str">
        <f t="shared" si="0"/>
        <v>g</v>
      </c>
      <c r="G15" s="94">
        <f t="shared" si="1"/>
        <v>0</v>
      </c>
      <c r="H15" s="22">
        <f t="shared" si="2"/>
        <v>0</v>
      </c>
    </row>
    <row r="16" spans="2:17" ht="36" customHeight="1">
      <c r="B16" s="84"/>
      <c r="C16" s="85"/>
      <c r="D16" s="78"/>
      <c r="E16" s="75"/>
      <c r="F16" s="149" t="str">
        <f t="shared" si="0"/>
        <v>g</v>
      </c>
      <c r="G16" s="94">
        <f t="shared" si="1"/>
        <v>0</v>
      </c>
      <c r="H16" s="22">
        <f t="shared" si="2"/>
        <v>0</v>
      </c>
    </row>
    <row r="17" spans="2:8" ht="36" customHeight="1">
      <c r="B17" s="84"/>
      <c r="C17" s="85"/>
      <c r="D17" s="78"/>
      <c r="E17" s="75"/>
      <c r="F17" s="149" t="str">
        <f t="shared" si="0"/>
        <v>g</v>
      </c>
      <c r="G17" s="94">
        <f t="shared" si="1"/>
        <v>0</v>
      </c>
      <c r="H17" s="22">
        <f t="shared" si="2"/>
        <v>0</v>
      </c>
    </row>
    <row r="18" spans="2:8" ht="36" customHeight="1">
      <c r="B18" s="84"/>
      <c r="C18" s="85"/>
      <c r="D18" s="78"/>
      <c r="E18" s="75"/>
      <c r="F18" s="149" t="str">
        <f t="shared" si="0"/>
        <v>g</v>
      </c>
      <c r="G18" s="94">
        <f t="shared" si="1"/>
        <v>0</v>
      </c>
      <c r="H18" s="22">
        <f t="shared" si="2"/>
        <v>0</v>
      </c>
    </row>
    <row r="19" spans="2:8" ht="36" customHeight="1">
      <c r="B19" s="84"/>
      <c r="C19" s="85"/>
      <c r="D19" s="78"/>
      <c r="E19" s="75"/>
      <c r="F19" s="149" t="str">
        <f t="shared" si="0"/>
        <v>g</v>
      </c>
      <c r="G19" s="94">
        <f t="shared" si="1"/>
        <v>0</v>
      </c>
      <c r="H19" s="22">
        <f t="shared" si="2"/>
        <v>0</v>
      </c>
    </row>
    <row r="20" spans="2:8" ht="36" customHeight="1">
      <c r="B20" s="84"/>
      <c r="C20" s="85"/>
      <c r="D20" s="78"/>
      <c r="E20" s="75"/>
      <c r="F20" s="149" t="str">
        <f t="shared" si="0"/>
        <v>g</v>
      </c>
      <c r="G20" s="94">
        <f t="shared" si="1"/>
        <v>0</v>
      </c>
      <c r="H20" s="22">
        <f t="shared" si="2"/>
        <v>0</v>
      </c>
    </row>
    <row r="21" spans="2:8" ht="36" customHeight="1">
      <c r="B21" s="84"/>
      <c r="C21" s="85"/>
      <c r="D21" s="78"/>
      <c r="E21" s="75"/>
      <c r="F21" s="149" t="str">
        <f t="shared" si="0"/>
        <v>g</v>
      </c>
      <c r="G21" s="94">
        <f t="shared" si="1"/>
        <v>0</v>
      </c>
      <c r="H21" s="22">
        <f t="shared" si="2"/>
        <v>0</v>
      </c>
    </row>
    <row r="22" spans="2:8" ht="36" customHeight="1">
      <c r="B22" s="84"/>
      <c r="C22" s="85"/>
      <c r="D22" s="78"/>
      <c r="E22" s="75"/>
      <c r="F22" s="149" t="str">
        <f t="shared" si="0"/>
        <v>g</v>
      </c>
      <c r="G22" s="94">
        <f t="shared" ref="G22:G28" si="3">ROUNDUP(D22/30,0)</f>
        <v>0</v>
      </c>
      <c r="H22" s="22">
        <f t="shared" ref="H22:H28" si="4">D22*$E$2</f>
        <v>0</v>
      </c>
    </row>
    <row r="23" spans="2:8" ht="36" customHeight="1">
      <c r="B23" s="84"/>
      <c r="C23" s="85"/>
      <c r="D23" s="78"/>
      <c r="E23" s="75"/>
      <c r="F23" s="149" t="str">
        <f t="shared" si="0"/>
        <v>g</v>
      </c>
      <c r="G23" s="94">
        <f t="shared" si="3"/>
        <v>0</v>
      </c>
      <c r="H23" s="22">
        <f t="shared" si="4"/>
        <v>0</v>
      </c>
    </row>
    <row r="24" spans="2:8" ht="36" hidden="1" customHeight="1">
      <c r="B24" s="84"/>
      <c r="C24" s="85"/>
      <c r="D24" s="78"/>
      <c r="E24" s="75"/>
      <c r="F24" s="149" t="str">
        <f t="shared" si="0"/>
        <v>g</v>
      </c>
      <c r="G24" s="94">
        <f t="shared" si="3"/>
        <v>0</v>
      </c>
      <c r="H24" s="22">
        <f t="shared" si="4"/>
        <v>0</v>
      </c>
    </row>
    <row r="25" spans="2:8" ht="36" hidden="1" customHeight="1">
      <c r="B25" s="84"/>
      <c r="C25" s="85"/>
      <c r="D25" s="78"/>
      <c r="E25" s="75"/>
      <c r="F25" s="149" t="str">
        <f t="shared" si="0"/>
        <v>g</v>
      </c>
      <c r="G25" s="94">
        <f t="shared" si="3"/>
        <v>0</v>
      </c>
      <c r="H25" s="22">
        <f t="shared" si="4"/>
        <v>0</v>
      </c>
    </row>
    <row r="26" spans="2:8" ht="36" hidden="1" customHeight="1">
      <c r="B26" s="84"/>
      <c r="C26" s="85"/>
      <c r="D26" s="78"/>
      <c r="E26" s="75"/>
      <c r="F26" s="149" t="str">
        <f t="shared" si="0"/>
        <v>g</v>
      </c>
      <c r="G26" s="94">
        <f t="shared" si="3"/>
        <v>0</v>
      </c>
      <c r="H26" s="22">
        <f t="shared" si="4"/>
        <v>0</v>
      </c>
    </row>
    <row r="27" spans="2:8" ht="36" hidden="1" customHeight="1">
      <c r="B27" s="84"/>
      <c r="C27" s="85"/>
      <c r="D27" s="78"/>
      <c r="E27" s="75"/>
      <c r="F27" s="149" t="str">
        <f t="shared" si="0"/>
        <v>g</v>
      </c>
      <c r="G27" s="94">
        <f t="shared" si="3"/>
        <v>0</v>
      </c>
      <c r="H27" s="22">
        <f t="shared" si="4"/>
        <v>0</v>
      </c>
    </row>
    <row r="28" spans="2:8" ht="36" hidden="1" customHeight="1">
      <c r="B28" s="84"/>
      <c r="C28" s="85"/>
      <c r="D28" s="78"/>
      <c r="E28" s="75"/>
      <c r="F28" s="149" t="str">
        <f t="shared" si="0"/>
        <v>g</v>
      </c>
      <c r="G28" s="94">
        <f t="shared" si="3"/>
        <v>0</v>
      </c>
      <c r="H28" s="22">
        <f t="shared" si="4"/>
        <v>0</v>
      </c>
    </row>
    <row r="29" spans="2:8" ht="36" hidden="1" customHeight="1">
      <c r="B29" s="84"/>
      <c r="C29" s="85"/>
      <c r="D29" s="78"/>
      <c r="E29" s="75"/>
      <c r="F29" s="149" t="str">
        <f t="shared" si="0"/>
        <v>g</v>
      </c>
      <c r="G29" s="94">
        <f t="shared" ref="G29:G35" si="5">ROUNDUP(D29/30,0)</f>
        <v>0</v>
      </c>
      <c r="H29" s="22">
        <f t="shared" ref="H29:H35" si="6">D29*$E$2</f>
        <v>0</v>
      </c>
    </row>
    <row r="30" spans="2:8" ht="36" hidden="1" customHeight="1">
      <c r="B30" s="84"/>
      <c r="C30" s="85"/>
      <c r="D30" s="78"/>
      <c r="E30" s="75"/>
      <c r="F30" s="149" t="str">
        <f t="shared" si="0"/>
        <v>g</v>
      </c>
      <c r="G30" s="94">
        <f t="shared" si="5"/>
        <v>0</v>
      </c>
      <c r="H30" s="22">
        <f t="shared" si="6"/>
        <v>0</v>
      </c>
    </row>
    <row r="31" spans="2:8" ht="36" hidden="1" customHeight="1">
      <c r="B31" s="84"/>
      <c r="C31" s="85"/>
      <c r="D31" s="78"/>
      <c r="E31" s="75"/>
      <c r="F31" s="149" t="str">
        <f t="shared" si="0"/>
        <v>g</v>
      </c>
      <c r="G31" s="94">
        <f t="shared" si="5"/>
        <v>0</v>
      </c>
      <c r="H31" s="22">
        <f t="shared" si="6"/>
        <v>0</v>
      </c>
    </row>
    <row r="32" spans="2:8" ht="36" hidden="1" customHeight="1">
      <c r="B32" s="84"/>
      <c r="C32" s="85"/>
      <c r="D32" s="78"/>
      <c r="E32" s="75"/>
      <c r="F32" s="149" t="str">
        <f t="shared" si="0"/>
        <v>g</v>
      </c>
      <c r="G32" s="94">
        <f t="shared" si="5"/>
        <v>0</v>
      </c>
      <c r="H32" s="22">
        <f t="shared" si="6"/>
        <v>0</v>
      </c>
    </row>
    <row r="33" spans="2:8" ht="36" hidden="1" customHeight="1">
      <c r="B33" s="84"/>
      <c r="C33" s="85"/>
      <c r="D33" s="78"/>
      <c r="E33" s="75"/>
      <c r="F33" s="149" t="str">
        <f t="shared" si="0"/>
        <v>g</v>
      </c>
      <c r="G33" s="94">
        <f t="shared" si="5"/>
        <v>0</v>
      </c>
      <c r="H33" s="22">
        <f t="shared" si="6"/>
        <v>0</v>
      </c>
    </row>
    <row r="34" spans="2:8" ht="36" hidden="1" customHeight="1">
      <c r="B34" s="84"/>
      <c r="C34" s="85"/>
      <c r="D34" s="78"/>
      <c r="E34" s="75"/>
      <c r="F34" s="149" t="str">
        <f t="shared" si="0"/>
        <v>g</v>
      </c>
      <c r="G34" s="94">
        <f t="shared" si="5"/>
        <v>0</v>
      </c>
      <c r="H34" s="22">
        <f t="shared" si="6"/>
        <v>0</v>
      </c>
    </row>
    <row r="35" spans="2:8" ht="36" hidden="1" customHeight="1">
      <c r="B35" s="84"/>
      <c r="C35" s="85"/>
      <c r="D35" s="78"/>
      <c r="E35" s="75"/>
      <c r="F35" s="149" t="str">
        <f t="shared" si="0"/>
        <v>g</v>
      </c>
      <c r="G35" s="94">
        <f t="shared" si="5"/>
        <v>0</v>
      </c>
      <c r="H35" s="22">
        <f t="shared" si="6"/>
        <v>0</v>
      </c>
    </row>
    <row r="36" spans="2:8" ht="36" hidden="1" customHeight="1">
      <c r="B36" s="84"/>
      <c r="C36" s="85"/>
      <c r="D36" s="78"/>
      <c r="E36" s="75"/>
      <c r="F36" s="149" t="str">
        <f t="shared" si="0"/>
        <v>g</v>
      </c>
      <c r="G36" s="94">
        <f t="shared" ref="G36:G42" si="7">ROUNDUP(D36/30,0)</f>
        <v>0</v>
      </c>
      <c r="H36" s="22">
        <f t="shared" ref="H36:H42" si="8">D36*$E$2</f>
        <v>0</v>
      </c>
    </row>
    <row r="37" spans="2:8" ht="36" hidden="1" customHeight="1">
      <c r="B37" s="84"/>
      <c r="C37" s="85"/>
      <c r="D37" s="78"/>
      <c r="E37" s="75"/>
      <c r="F37" s="149" t="str">
        <f t="shared" si="0"/>
        <v>g</v>
      </c>
      <c r="G37" s="94">
        <f t="shared" si="7"/>
        <v>0</v>
      </c>
      <c r="H37" s="22">
        <f t="shared" si="8"/>
        <v>0</v>
      </c>
    </row>
    <row r="38" spans="2:8" ht="36" hidden="1" customHeight="1">
      <c r="B38" s="84"/>
      <c r="C38" s="85"/>
      <c r="D38" s="78"/>
      <c r="E38" s="75"/>
      <c r="F38" s="149" t="str">
        <f t="shared" si="0"/>
        <v>g</v>
      </c>
      <c r="G38" s="94">
        <f t="shared" si="7"/>
        <v>0</v>
      </c>
      <c r="H38" s="22">
        <f t="shared" si="8"/>
        <v>0</v>
      </c>
    </row>
    <row r="39" spans="2:8" ht="36" hidden="1" customHeight="1">
      <c r="B39" s="84"/>
      <c r="C39" s="85"/>
      <c r="D39" s="78"/>
      <c r="E39" s="75"/>
      <c r="F39" s="149" t="str">
        <f t="shared" si="0"/>
        <v>g</v>
      </c>
      <c r="G39" s="94">
        <f t="shared" si="7"/>
        <v>0</v>
      </c>
      <c r="H39" s="22">
        <f t="shared" si="8"/>
        <v>0</v>
      </c>
    </row>
    <row r="40" spans="2:8" ht="36" hidden="1" customHeight="1">
      <c r="B40" s="84"/>
      <c r="C40" s="85"/>
      <c r="D40" s="78"/>
      <c r="E40" s="75"/>
      <c r="F40" s="149" t="str">
        <f t="shared" si="0"/>
        <v>g</v>
      </c>
      <c r="G40" s="94">
        <f t="shared" si="7"/>
        <v>0</v>
      </c>
      <c r="H40" s="22">
        <f t="shared" si="8"/>
        <v>0</v>
      </c>
    </row>
    <row r="41" spans="2:8" ht="36" hidden="1" customHeight="1">
      <c r="B41" s="84"/>
      <c r="C41" s="85"/>
      <c r="D41" s="78"/>
      <c r="E41" s="75"/>
      <c r="F41" s="149" t="str">
        <f t="shared" si="0"/>
        <v>g</v>
      </c>
      <c r="G41" s="94">
        <f t="shared" si="7"/>
        <v>0</v>
      </c>
      <c r="H41" s="22">
        <f t="shared" si="8"/>
        <v>0</v>
      </c>
    </row>
    <row r="42" spans="2:8" ht="36" hidden="1" customHeight="1">
      <c r="B42" s="84"/>
      <c r="C42" s="85"/>
      <c r="D42" s="78"/>
      <c r="E42" s="75"/>
      <c r="F42" s="149" t="str">
        <f t="shared" si="0"/>
        <v>g</v>
      </c>
      <c r="G42" s="94">
        <f t="shared" si="7"/>
        <v>0</v>
      </c>
      <c r="H42" s="22">
        <f t="shared" si="8"/>
        <v>0</v>
      </c>
    </row>
    <row r="43" spans="2:8" ht="36" hidden="1" customHeight="1">
      <c r="B43" s="84"/>
      <c r="C43" s="85"/>
      <c r="D43" s="78"/>
      <c r="E43" s="75"/>
      <c r="F43" s="149" t="str">
        <f t="shared" si="0"/>
        <v>g</v>
      </c>
      <c r="G43" s="94">
        <f t="shared" ref="G43:G49" si="9">ROUNDUP(D43/30,0)</f>
        <v>0</v>
      </c>
      <c r="H43" s="22">
        <f t="shared" ref="H43:H49" si="10">D43*$E$2</f>
        <v>0</v>
      </c>
    </row>
    <row r="44" spans="2:8" ht="36" hidden="1" customHeight="1">
      <c r="B44" s="84"/>
      <c r="C44" s="85"/>
      <c r="D44" s="78"/>
      <c r="E44" s="75"/>
      <c r="F44" s="149" t="str">
        <f t="shared" si="0"/>
        <v>g</v>
      </c>
      <c r="G44" s="94">
        <f t="shared" si="9"/>
        <v>0</v>
      </c>
      <c r="H44" s="22">
        <f t="shared" si="10"/>
        <v>0</v>
      </c>
    </row>
    <row r="45" spans="2:8" ht="36" hidden="1" customHeight="1">
      <c r="B45" s="84"/>
      <c r="C45" s="85"/>
      <c r="D45" s="78"/>
      <c r="E45" s="75"/>
      <c r="F45" s="149" t="str">
        <f t="shared" si="0"/>
        <v>g</v>
      </c>
      <c r="G45" s="94">
        <f t="shared" si="9"/>
        <v>0</v>
      </c>
      <c r="H45" s="22">
        <f t="shared" si="10"/>
        <v>0</v>
      </c>
    </row>
    <row r="46" spans="2:8" ht="36" hidden="1" customHeight="1">
      <c r="B46" s="84"/>
      <c r="C46" s="85"/>
      <c r="D46" s="78"/>
      <c r="E46" s="75"/>
      <c r="F46" s="149" t="str">
        <f t="shared" si="0"/>
        <v>g</v>
      </c>
      <c r="G46" s="94">
        <f t="shared" si="9"/>
        <v>0</v>
      </c>
      <c r="H46" s="22">
        <f t="shared" si="10"/>
        <v>0</v>
      </c>
    </row>
    <row r="47" spans="2:8" ht="36" hidden="1" customHeight="1">
      <c r="B47" s="84"/>
      <c r="C47" s="85"/>
      <c r="D47" s="78"/>
      <c r="E47" s="75"/>
      <c r="F47" s="149" t="str">
        <f t="shared" si="0"/>
        <v>g</v>
      </c>
      <c r="G47" s="94">
        <f t="shared" si="9"/>
        <v>0</v>
      </c>
      <c r="H47" s="22">
        <f t="shared" si="10"/>
        <v>0</v>
      </c>
    </row>
    <row r="48" spans="2:8" ht="36" hidden="1" customHeight="1">
      <c r="B48" s="84"/>
      <c r="C48" s="85"/>
      <c r="D48" s="78"/>
      <c r="E48" s="75"/>
      <c r="F48" s="149" t="str">
        <f t="shared" si="0"/>
        <v>g</v>
      </c>
      <c r="G48" s="94">
        <f t="shared" si="9"/>
        <v>0</v>
      </c>
      <c r="H48" s="22">
        <f t="shared" si="10"/>
        <v>0</v>
      </c>
    </row>
    <row r="49" spans="2:17" ht="36" hidden="1" customHeight="1">
      <c r="B49" s="84"/>
      <c r="C49" s="85"/>
      <c r="D49" s="78"/>
      <c r="E49" s="75"/>
      <c r="F49" s="149" t="str">
        <f t="shared" si="0"/>
        <v>g</v>
      </c>
      <c r="G49" s="94">
        <f t="shared" si="9"/>
        <v>0</v>
      </c>
      <c r="H49" s="22">
        <f t="shared" si="10"/>
        <v>0</v>
      </c>
    </row>
    <row r="50" spans="2:17" ht="36" hidden="1" customHeight="1">
      <c r="B50" s="84"/>
      <c r="C50" s="85"/>
      <c r="D50" s="78"/>
      <c r="E50" s="75"/>
      <c r="F50" s="149" t="str">
        <f t="shared" si="0"/>
        <v>g</v>
      </c>
      <c r="G50" s="94">
        <f t="shared" si="1"/>
        <v>0</v>
      </c>
      <c r="H50" s="22">
        <f t="shared" si="2"/>
        <v>0</v>
      </c>
    </row>
    <row r="51" spans="2:17" ht="36" hidden="1" customHeight="1">
      <c r="B51" s="84"/>
      <c r="C51" s="85"/>
      <c r="D51" s="78"/>
      <c r="E51" s="75"/>
      <c r="F51" s="149" t="str">
        <f t="shared" si="0"/>
        <v>g</v>
      </c>
      <c r="G51" s="94">
        <f t="shared" si="1"/>
        <v>0</v>
      </c>
      <c r="H51" s="22">
        <f t="shared" si="2"/>
        <v>0</v>
      </c>
    </row>
    <row r="52" spans="2:17" ht="36" hidden="1" customHeight="1">
      <c r="B52" s="84"/>
      <c r="C52" s="85"/>
      <c r="D52" s="78"/>
      <c r="E52" s="75"/>
      <c r="F52" s="149" t="str">
        <f t="shared" si="0"/>
        <v>g</v>
      </c>
      <c r="G52" s="94">
        <f t="shared" si="1"/>
        <v>0</v>
      </c>
      <c r="H52" s="22">
        <f t="shared" si="2"/>
        <v>0</v>
      </c>
    </row>
    <row r="53" spans="2:17" ht="36" hidden="1" customHeight="1">
      <c r="B53" s="84"/>
      <c r="C53" s="85"/>
      <c r="D53" s="78"/>
      <c r="E53" s="75"/>
      <c r="F53" s="149" t="str">
        <f t="shared" si="0"/>
        <v>g</v>
      </c>
      <c r="G53" s="94">
        <f t="shared" si="1"/>
        <v>0</v>
      </c>
      <c r="H53" s="22">
        <f t="shared" si="2"/>
        <v>0</v>
      </c>
    </row>
    <row r="54" spans="2:17" ht="36" hidden="1" customHeight="1">
      <c r="B54" s="84"/>
      <c r="C54" s="85"/>
      <c r="D54" s="78"/>
      <c r="E54" s="75"/>
      <c r="F54" s="149" t="str">
        <f t="shared" si="0"/>
        <v>g</v>
      </c>
      <c r="G54" s="94">
        <f t="shared" si="1"/>
        <v>0</v>
      </c>
      <c r="H54" s="22">
        <f t="shared" si="2"/>
        <v>0</v>
      </c>
    </row>
    <row r="55" spans="2:17" ht="36" hidden="1" customHeight="1">
      <c r="B55" s="84"/>
      <c r="C55" s="85"/>
      <c r="D55" s="78"/>
      <c r="E55" s="75"/>
      <c r="F55" s="149" t="str">
        <f t="shared" si="0"/>
        <v>g</v>
      </c>
      <c r="G55" s="94">
        <f t="shared" si="1"/>
        <v>0</v>
      </c>
      <c r="H55" s="22">
        <f t="shared" si="2"/>
        <v>0</v>
      </c>
    </row>
    <row r="56" spans="2:17" ht="36" hidden="1" customHeight="1">
      <c r="B56" s="84"/>
      <c r="C56" s="85"/>
      <c r="D56" s="78"/>
      <c r="E56" s="75"/>
      <c r="F56" s="149" t="str">
        <f t="shared" si="0"/>
        <v>g</v>
      </c>
      <c r="G56" s="94">
        <f t="shared" si="1"/>
        <v>0</v>
      </c>
      <c r="H56" s="22">
        <f t="shared" si="2"/>
        <v>0</v>
      </c>
    </row>
    <row r="57" spans="2:17" ht="36" customHeight="1" thickBot="1">
      <c r="B57" s="86"/>
      <c r="C57" s="87"/>
      <c r="D57" s="88"/>
      <c r="E57" s="99"/>
      <c r="F57" s="150" t="str">
        <f t="shared" si="0"/>
        <v>g</v>
      </c>
      <c r="G57" s="96">
        <f t="shared" si="1"/>
        <v>0</v>
      </c>
      <c r="H57" s="23">
        <f t="shared" si="2"/>
        <v>0</v>
      </c>
    </row>
    <row r="58" spans="2:17" s="4" customFormat="1" ht="36" customHeight="1">
      <c r="B58" s="106"/>
      <c r="C58" s="106"/>
      <c r="D58" s="106">
        <f>D8</f>
        <v>0</v>
      </c>
      <c r="E58" s="107"/>
      <c r="F58" s="6"/>
      <c r="G58" s="109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F65" s="6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mergeCells count="6">
    <mergeCell ref="G1:H1"/>
    <mergeCell ref="B8:C8"/>
    <mergeCell ref="B1:D1"/>
    <mergeCell ref="E1:F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80" t="s">
        <v>11</v>
      </c>
      <c r="C1" s="181"/>
      <c r="D1" s="181"/>
      <c r="E1" s="181"/>
      <c r="F1" s="181"/>
      <c r="G1" s="182"/>
      <c r="H1" s="182"/>
    </row>
    <row r="2" spans="2:17" ht="50.1" customHeight="1">
      <c r="B2" s="183"/>
      <c r="C2" s="184"/>
      <c r="D2" s="184"/>
      <c r="E2" s="60"/>
      <c r="F2" s="151" t="s">
        <v>2</v>
      </c>
      <c r="G2" s="16"/>
      <c r="H2" s="17"/>
    </row>
    <row r="3" spans="2:17" s="4" customFormat="1" ht="36" customHeight="1" thickBot="1">
      <c r="B3" s="8"/>
      <c r="C3" s="9"/>
      <c r="D3" s="62" t="s">
        <v>4</v>
      </c>
      <c r="E3" s="185" t="s">
        <v>0</v>
      </c>
      <c r="F3" s="197"/>
      <c r="G3" s="63" t="s">
        <v>9</v>
      </c>
      <c r="H3" s="18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0">
        <v>1</v>
      </c>
      <c r="C4" s="101" t="s">
        <v>7</v>
      </c>
      <c r="D4" s="74">
        <v>1</v>
      </c>
      <c r="E4" s="102" t="str">
        <f>IF($E2=0, "", $E2)</f>
        <v/>
      </c>
      <c r="F4" s="152" t="str">
        <f>$F$2</f>
        <v>g</v>
      </c>
      <c r="G4" s="90"/>
      <c r="H4" s="19"/>
    </row>
    <row r="5" spans="2:17" ht="36" customHeight="1">
      <c r="B5" s="76">
        <f>D5</f>
        <v>0</v>
      </c>
      <c r="C5" s="77" t="s">
        <v>8</v>
      </c>
      <c r="D5" s="103"/>
      <c r="E5" s="104" t="str">
        <f>IF($E2=0, "", B5*$E2)</f>
        <v/>
      </c>
      <c r="F5" s="153" t="str">
        <f t="shared" ref="F5:F8" si="0">$F$2</f>
        <v>g</v>
      </c>
      <c r="G5" s="110"/>
      <c r="H5" s="20"/>
    </row>
    <row r="6" spans="2:17" ht="36" customHeight="1" thickBot="1">
      <c r="B6" s="119">
        <f>D6</f>
        <v>1</v>
      </c>
      <c r="C6" s="120" t="s">
        <v>49</v>
      </c>
      <c r="D6" s="78">
        <v>1</v>
      </c>
      <c r="E6" s="174" t="str">
        <f>IF($E2=0, "", B6*$E2)</f>
        <v/>
      </c>
      <c r="F6" s="149" t="str">
        <f t="shared" si="0"/>
        <v>g</v>
      </c>
      <c r="G6" s="175"/>
      <c r="H6" s="21">
        <f>G6*$E$2</f>
        <v>0</v>
      </c>
    </row>
    <row r="7" spans="2:17" ht="36" customHeight="1" thickTop="1" thickBot="1">
      <c r="B7" s="97">
        <f>D7</f>
        <v>1</v>
      </c>
      <c r="C7" s="98" t="s">
        <v>16</v>
      </c>
      <c r="D7" s="80">
        <v>1</v>
      </c>
      <c r="E7" s="105" t="str">
        <f>IF($E2=0, "", B7*$E2)</f>
        <v/>
      </c>
      <c r="F7" s="154" t="str">
        <f t="shared" si="0"/>
        <v>g</v>
      </c>
      <c r="G7" s="111"/>
      <c r="H7" s="21">
        <f>G7*$E$2</f>
        <v>0</v>
      </c>
    </row>
    <row r="8" spans="2:17" ht="36" customHeight="1" thickTop="1">
      <c r="B8" s="193" t="s">
        <v>18</v>
      </c>
      <c r="C8" s="194"/>
      <c r="D8" s="74">
        <f>D5+G6+G7+SUM(D10:D58)</f>
        <v>0</v>
      </c>
      <c r="E8" s="102" t="str">
        <f>IF($E$2=0, "", D8*$E$2)</f>
        <v/>
      </c>
      <c r="F8" s="152" t="str">
        <f t="shared" si="0"/>
        <v>g</v>
      </c>
      <c r="G8" s="112"/>
      <c r="H8" s="22"/>
    </row>
    <row r="9" spans="2:17" ht="36" customHeight="1">
      <c r="B9" s="84"/>
      <c r="C9" s="85"/>
      <c r="D9" s="78"/>
      <c r="E9" s="75"/>
      <c r="F9" s="7"/>
      <c r="G9" s="94"/>
      <c r="H9" s="22"/>
    </row>
    <row r="10" spans="2:17" ht="36" customHeight="1">
      <c r="B10" s="84"/>
      <c r="C10" s="85"/>
      <c r="D10" s="78"/>
      <c r="E10" s="75"/>
      <c r="F10" s="155" t="str">
        <f t="shared" ref="F10:F58" si="1">$F$2</f>
        <v>g</v>
      </c>
      <c r="G10" s="94">
        <f t="shared" ref="G10:G58" si="2">ROUNDUP(D10/30,0)</f>
        <v>0</v>
      </c>
      <c r="H10" s="22">
        <f t="shared" ref="H10:H58" si="3">D10*$E$2</f>
        <v>0</v>
      </c>
    </row>
    <row r="11" spans="2:17" ht="36" customHeight="1">
      <c r="B11" s="84"/>
      <c r="C11" s="85"/>
      <c r="D11" s="78"/>
      <c r="E11" s="75"/>
      <c r="F11" s="155" t="str">
        <f t="shared" si="1"/>
        <v>g</v>
      </c>
      <c r="G11" s="94">
        <f t="shared" si="2"/>
        <v>0</v>
      </c>
      <c r="H11" s="22">
        <f t="shared" si="3"/>
        <v>0</v>
      </c>
    </row>
    <row r="12" spans="2:17" ht="36" customHeight="1">
      <c r="B12" s="84"/>
      <c r="C12" s="85"/>
      <c r="D12" s="78"/>
      <c r="E12" s="75"/>
      <c r="F12" s="155" t="str">
        <f t="shared" si="1"/>
        <v>g</v>
      </c>
      <c r="G12" s="94">
        <f t="shared" si="2"/>
        <v>0</v>
      </c>
      <c r="H12" s="22">
        <f t="shared" si="3"/>
        <v>0</v>
      </c>
    </row>
    <row r="13" spans="2:17" ht="36" customHeight="1">
      <c r="B13" s="84"/>
      <c r="C13" s="85"/>
      <c r="D13" s="78"/>
      <c r="E13" s="75"/>
      <c r="F13" s="155" t="str">
        <f t="shared" si="1"/>
        <v>g</v>
      </c>
      <c r="G13" s="94">
        <f t="shared" si="2"/>
        <v>0</v>
      </c>
      <c r="H13" s="22">
        <f t="shared" si="3"/>
        <v>0</v>
      </c>
    </row>
    <row r="14" spans="2:17" ht="36" customHeight="1">
      <c r="B14" s="84"/>
      <c r="C14" s="85"/>
      <c r="D14" s="78"/>
      <c r="E14" s="75"/>
      <c r="F14" s="155" t="str">
        <f t="shared" si="1"/>
        <v>g</v>
      </c>
      <c r="G14" s="94">
        <f t="shared" si="2"/>
        <v>0</v>
      </c>
      <c r="H14" s="22">
        <f t="shared" si="3"/>
        <v>0</v>
      </c>
    </row>
    <row r="15" spans="2:17" ht="36" customHeight="1">
      <c r="B15" s="84"/>
      <c r="C15" s="85"/>
      <c r="D15" s="78"/>
      <c r="E15" s="75"/>
      <c r="F15" s="155" t="str">
        <f t="shared" si="1"/>
        <v>g</v>
      </c>
      <c r="G15" s="94">
        <f t="shared" si="2"/>
        <v>0</v>
      </c>
      <c r="H15" s="22">
        <f t="shared" si="3"/>
        <v>0</v>
      </c>
    </row>
    <row r="16" spans="2:17" ht="36" customHeight="1">
      <c r="B16" s="84"/>
      <c r="C16" s="85"/>
      <c r="D16" s="78"/>
      <c r="E16" s="75"/>
      <c r="F16" s="155" t="str">
        <f t="shared" si="1"/>
        <v>g</v>
      </c>
      <c r="G16" s="94">
        <f t="shared" si="2"/>
        <v>0</v>
      </c>
      <c r="H16" s="22">
        <f t="shared" si="3"/>
        <v>0</v>
      </c>
    </row>
    <row r="17" spans="2:8" ht="36" customHeight="1">
      <c r="B17" s="84"/>
      <c r="C17" s="85"/>
      <c r="D17" s="78"/>
      <c r="E17" s="75"/>
      <c r="F17" s="155" t="str">
        <f t="shared" si="1"/>
        <v>g</v>
      </c>
      <c r="G17" s="94">
        <f t="shared" si="2"/>
        <v>0</v>
      </c>
      <c r="H17" s="22">
        <f t="shared" si="3"/>
        <v>0</v>
      </c>
    </row>
    <row r="18" spans="2:8" ht="36" customHeight="1">
      <c r="B18" s="84"/>
      <c r="C18" s="85"/>
      <c r="D18" s="78"/>
      <c r="E18" s="75"/>
      <c r="F18" s="155" t="str">
        <f t="shared" si="1"/>
        <v>g</v>
      </c>
      <c r="G18" s="94">
        <f t="shared" si="2"/>
        <v>0</v>
      </c>
      <c r="H18" s="22">
        <f t="shared" si="3"/>
        <v>0</v>
      </c>
    </row>
    <row r="19" spans="2:8" ht="36" customHeight="1">
      <c r="B19" s="84"/>
      <c r="C19" s="85"/>
      <c r="D19" s="78"/>
      <c r="E19" s="75"/>
      <c r="F19" s="155" t="str">
        <f t="shared" si="1"/>
        <v>g</v>
      </c>
      <c r="G19" s="94">
        <f t="shared" si="2"/>
        <v>0</v>
      </c>
      <c r="H19" s="22">
        <f t="shared" si="3"/>
        <v>0</v>
      </c>
    </row>
    <row r="20" spans="2:8" ht="36" customHeight="1">
      <c r="B20" s="84"/>
      <c r="C20" s="85"/>
      <c r="D20" s="78"/>
      <c r="E20" s="75"/>
      <c r="F20" s="155" t="str">
        <f t="shared" si="1"/>
        <v>g</v>
      </c>
      <c r="G20" s="94">
        <f t="shared" si="2"/>
        <v>0</v>
      </c>
      <c r="H20" s="22">
        <f t="shared" si="3"/>
        <v>0</v>
      </c>
    </row>
    <row r="21" spans="2:8" ht="36" customHeight="1">
      <c r="B21" s="84"/>
      <c r="C21" s="85"/>
      <c r="D21" s="78"/>
      <c r="E21" s="75"/>
      <c r="F21" s="155" t="str">
        <f t="shared" si="1"/>
        <v>g</v>
      </c>
      <c r="G21" s="94">
        <f t="shared" si="2"/>
        <v>0</v>
      </c>
      <c r="H21" s="22">
        <f t="shared" si="3"/>
        <v>0</v>
      </c>
    </row>
    <row r="22" spans="2:8" ht="36" customHeight="1">
      <c r="B22" s="84"/>
      <c r="C22" s="85"/>
      <c r="D22" s="78"/>
      <c r="E22" s="75"/>
      <c r="F22" s="155" t="str">
        <f t="shared" si="1"/>
        <v>g</v>
      </c>
      <c r="G22" s="94">
        <f t="shared" si="2"/>
        <v>0</v>
      </c>
      <c r="H22" s="22">
        <f t="shared" si="3"/>
        <v>0</v>
      </c>
    </row>
    <row r="23" spans="2:8" ht="36" customHeight="1">
      <c r="B23" s="84"/>
      <c r="C23" s="85"/>
      <c r="D23" s="78"/>
      <c r="E23" s="75"/>
      <c r="F23" s="155" t="str">
        <f t="shared" si="1"/>
        <v>g</v>
      </c>
      <c r="G23" s="94">
        <f t="shared" si="2"/>
        <v>0</v>
      </c>
      <c r="H23" s="22">
        <f t="shared" si="3"/>
        <v>0</v>
      </c>
    </row>
    <row r="24" spans="2:8" ht="36" hidden="1" customHeight="1">
      <c r="B24" s="84"/>
      <c r="C24" s="85"/>
      <c r="D24" s="78"/>
      <c r="E24" s="75"/>
      <c r="F24" s="155" t="str">
        <f t="shared" si="1"/>
        <v>g</v>
      </c>
      <c r="G24" s="94">
        <f t="shared" si="2"/>
        <v>0</v>
      </c>
      <c r="H24" s="22">
        <f t="shared" si="3"/>
        <v>0</v>
      </c>
    </row>
    <row r="25" spans="2:8" ht="36" hidden="1" customHeight="1">
      <c r="B25" s="84"/>
      <c r="C25" s="85"/>
      <c r="D25" s="78"/>
      <c r="E25" s="75"/>
      <c r="F25" s="155" t="str">
        <f t="shared" si="1"/>
        <v>g</v>
      </c>
      <c r="G25" s="94">
        <f t="shared" si="2"/>
        <v>0</v>
      </c>
      <c r="H25" s="22">
        <f t="shared" si="3"/>
        <v>0</v>
      </c>
    </row>
    <row r="26" spans="2:8" ht="36" hidden="1" customHeight="1">
      <c r="B26" s="84"/>
      <c r="C26" s="85"/>
      <c r="D26" s="78"/>
      <c r="E26" s="75"/>
      <c r="F26" s="155" t="str">
        <f t="shared" si="1"/>
        <v>g</v>
      </c>
      <c r="G26" s="94">
        <f t="shared" si="2"/>
        <v>0</v>
      </c>
      <c r="H26" s="22">
        <f t="shared" si="3"/>
        <v>0</v>
      </c>
    </row>
    <row r="27" spans="2:8" ht="36" hidden="1" customHeight="1">
      <c r="B27" s="84"/>
      <c r="C27" s="85"/>
      <c r="D27" s="78"/>
      <c r="E27" s="75"/>
      <c r="F27" s="155" t="str">
        <f t="shared" si="1"/>
        <v>g</v>
      </c>
      <c r="G27" s="94">
        <f t="shared" ref="G27:G34" si="4">ROUNDUP(D27/30,0)</f>
        <v>0</v>
      </c>
      <c r="H27" s="22">
        <f t="shared" ref="H27:H34" si="5">D27*$E$2</f>
        <v>0</v>
      </c>
    </row>
    <row r="28" spans="2:8" ht="36" hidden="1" customHeight="1">
      <c r="B28" s="84"/>
      <c r="C28" s="85"/>
      <c r="D28" s="78"/>
      <c r="E28" s="75"/>
      <c r="F28" s="155" t="str">
        <f t="shared" si="1"/>
        <v>g</v>
      </c>
      <c r="G28" s="94">
        <f t="shared" si="4"/>
        <v>0</v>
      </c>
      <c r="H28" s="22">
        <f t="shared" si="5"/>
        <v>0</v>
      </c>
    </row>
    <row r="29" spans="2:8" ht="36" hidden="1" customHeight="1">
      <c r="B29" s="84"/>
      <c r="C29" s="85"/>
      <c r="D29" s="78"/>
      <c r="E29" s="75"/>
      <c r="F29" s="155" t="str">
        <f t="shared" si="1"/>
        <v>g</v>
      </c>
      <c r="G29" s="94">
        <f t="shared" si="4"/>
        <v>0</v>
      </c>
      <c r="H29" s="22">
        <f t="shared" si="5"/>
        <v>0</v>
      </c>
    </row>
    <row r="30" spans="2:8" ht="36" hidden="1" customHeight="1">
      <c r="B30" s="84"/>
      <c r="C30" s="85"/>
      <c r="D30" s="78"/>
      <c r="E30" s="75"/>
      <c r="F30" s="155" t="str">
        <f t="shared" si="1"/>
        <v>g</v>
      </c>
      <c r="G30" s="94">
        <f t="shared" si="4"/>
        <v>0</v>
      </c>
      <c r="H30" s="22">
        <f t="shared" si="5"/>
        <v>0</v>
      </c>
    </row>
    <row r="31" spans="2:8" ht="36" hidden="1" customHeight="1">
      <c r="B31" s="84"/>
      <c r="C31" s="85"/>
      <c r="D31" s="78"/>
      <c r="E31" s="75"/>
      <c r="F31" s="155" t="str">
        <f t="shared" si="1"/>
        <v>g</v>
      </c>
      <c r="G31" s="94">
        <f t="shared" si="4"/>
        <v>0</v>
      </c>
      <c r="H31" s="22">
        <f t="shared" si="5"/>
        <v>0</v>
      </c>
    </row>
    <row r="32" spans="2:8" ht="36" hidden="1" customHeight="1">
      <c r="B32" s="84"/>
      <c r="C32" s="85"/>
      <c r="D32" s="78"/>
      <c r="E32" s="75"/>
      <c r="F32" s="155" t="str">
        <f t="shared" si="1"/>
        <v>g</v>
      </c>
      <c r="G32" s="94">
        <f t="shared" si="4"/>
        <v>0</v>
      </c>
      <c r="H32" s="22">
        <f t="shared" si="5"/>
        <v>0</v>
      </c>
    </row>
    <row r="33" spans="2:8" ht="36" hidden="1" customHeight="1">
      <c r="B33" s="84"/>
      <c r="C33" s="85"/>
      <c r="D33" s="78"/>
      <c r="E33" s="75"/>
      <c r="F33" s="155" t="str">
        <f t="shared" si="1"/>
        <v>g</v>
      </c>
      <c r="G33" s="94">
        <f t="shared" si="4"/>
        <v>0</v>
      </c>
      <c r="H33" s="22">
        <f t="shared" si="5"/>
        <v>0</v>
      </c>
    </row>
    <row r="34" spans="2:8" ht="36" hidden="1" customHeight="1">
      <c r="B34" s="84"/>
      <c r="C34" s="85"/>
      <c r="D34" s="78"/>
      <c r="E34" s="75"/>
      <c r="F34" s="155" t="str">
        <f t="shared" si="1"/>
        <v>g</v>
      </c>
      <c r="G34" s="94">
        <f t="shared" si="4"/>
        <v>0</v>
      </c>
      <c r="H34" s="22">
        <f t="shared" si="5"/>
        <v>0</v>
      </c>
    </row>
    <row r="35" spans="2:8" ht="36" hidden="1" customHeight="1">
      <c r="B35" s="84"/>
      <c r="C35" s="85"/>
      <c r="D35" s="78"/>
      <c r="E35" s="75"/>
      <c r="F35" s="155" t="str">
        <f t="shared" si="1"/>
        <v>g</v>
      </c>
      <c r="G35" s="94">
        <f t="shared" ref="G35:G42" si="6">ROUNDUP(D35/30,0)</f>
        <v>0</v>
      </c>
      <c r="H35" s="22">
        <f t="shared" ref="H35:H42" si="7">D35*$E$2</f>
        <v>0</v>
      </c>
    </row>
    <row r="36" spans="2:8" ht="36" hidden="1" customHeight="1">
      <c r="B36" s="84"/>
      <c r="C36" s="85"/>
      <c r="D36" s="78"/>
      <c r="E36" s="75"/>
      <c r="F36" s="155" t="str">
        <f t="shared" si="1"/>
        <v>g</v>
      </c>
      <c r="G36" s="94">
        <f t="shared" si="6"/>
        <v>0</v>
      </c>
      <c r="H36" s="22">
        <f t="shared" si="7"/>
        <v>0</v>
      </c>
    </row>
    <row r="37" spans="2:8" ht="36" hidden="1" customHeight="1">
      <c r="B37" s="84"/>
      <c r="C37" s="85"/>
      <c r="D37" s="78"/>
      <c r="E37" s="75"/>
      <c r="F37" s="155" t="str">
        <f t="shared" si="1"/>
        <v>g</v>
      </c>
      <c r="G37" s="94">
        <f t="shared" si="6"/>
        <v>0</v>
      </c>
      <c r="H37" s="22">
        <f t="shared" si="7"/>
        <v>0</v>
      </c>
    </row>
    <row r="38" spans="2:8" ht="36" hidden="1" customHeight="1">
      <c r="B38" s="84"/>
      <c r="C38" s="85"/>
      <c r="D38" s="78"/>
      <c r="E38" s="75"/>
      <c r="F38" s="155" t="str">
        <f t="shared" si="1"/>
        <v>g</v>
      </c>
      <c r="G38" s="94">
        <f t="shared" si="6"/>
        <v>0</v>
      </c>
      <c r="H38" s="22">
        <f t="shared" si="7"/>
        <v>0</v>
      </c>
    </row>
    <row r="39" spans="2:8" ht="36" hidden="1" customHeight="1">
      <c r="B39" s="84"/>
      <c r="C39" s="85"/>
      <c r="D39" s="78"/>
      <c r="E39" s="75"/>
      <c r="F39" s="155" t="str">
        <f t="shared" si="1"/>
        <v>g</v>
      </c>
      <c r="G39" s="94">
        <f t="shared" si="6"/>
        <v>0</v>
      </c>
      <c r="H39" s="22">
        <f t="shared" si="7"/>
        <v>0</v>
      </c>
    </row>
    <row r="40" spans="2:8" ht="36" hidden="1" customHeight="1">
      <c r="B40" s="84"/>
      <c r="C40" s="85"/>
      <c r="D40" s="78"/>
      <c r="E40" s="75"/>
      <c r="F40" s="155" t="str">
        <f t="shared" si="1"/>
        <v>g</v>
      </c>
      <c r="G40" s="94">
        <f t="shared" si="6"/>
        <v>0</v>
      </c>
      <c r="H40" s="22">
        <f t="shared" si="7"/>
        <v>0</v>
      </c>
    </row>
    <row r="41" spans="2:8" ht="36" hidden="1" customHeight="1">
      <c r="B41" s="84"/>
      <c r="C41" s="85"/>
      <c r="D41" s="78"/>
      <c r="E41" s="75"/>
      <c r="F41" s="155" t="str">
        <f t="shared" si="1"/>
        <v>g</v>
      </c>
      <c r="G41" s="94">
        <f t="shared" si="6"/>
        <v>0</v>
      </c>
      <c r="H41" s="22">
        <f t="shared" si="7"/>
        <v>0</v>
      </c>
    </row>
    <row r="42" spans="2:8" ht="36" hidden="1" customHeight="1">
      <c r="B42" s="84"/>
      <c r="C42" s="85"/>
      <c r="D42" s="78"/>
      <c r="E42" s="75"/>
      <c r="F42" s="155" t="str">
        <f t="shared" si="1"/>
        <v>g</v>
      </c>
      <c r="G42" s="94">
        <f t="shared" si="6"/>
        <v>0</v>
      </c>
      <c r="H42" s="22">
        <f t="shared" si="7"/>
        <v>0</v>
      </c>
    </row>
    <row r="43" spans="2:8" ht="36" hidden="1" customHeight="1">
      <c r="B43" s="84"/>
      <c r="C43" s="85"/>
      <c r="D43" s="78"/>
      <c r="E43" s="75"/>
      <c r="F43" s="155" t="str">
        <f t="shared" si="1"/>
        <v>g</v>
      </c>
      <c r="G43" s="94">
        <f t="shared" ref="G43:G50" si="8">ROUNDUP(D43/30,0)</f>
        <v>0</v>
      </c>
      <c r="H43" s="22">
        <f t="shared" ref="H43:H50" si="9">D43*$E$2</f>
        <v>0</v>
      </c>
    </row>
    <row r="44" spans="2:8" ht="36" hidden="1" customHeight="1">
      <c r="B44" s="84"/>
      <c r="C44" s="85"/>
      <c r="D44" s="78"/>
      <c r="E44" s="75"/>
      <c r="F44" s="155" t="str">
        <f t="shared" si="1"/>
        <v>g</v>
      </c>
      <c r="G44" s="94">
        <f t="shared" si="8"/>
        <v>0</v>
      </c>
      <c r="H44" s="22">
        <f t="shared" si="9"/>
        <v>0</v>
      </c>
    </row>
    <row r="45" spans="2:8" ht="36" hidden="1" customHeight="1">
      <c r="B45" s="84"/>
      <c r="C45" s="85"/>
      <c r="D45" s="78"/>
      <c r="E45" s="75"/>
      <c r="F45" s="155" t="str">
        <f t="shared" si="1"/>
        <v>g</v>
      </c>
      <c r="G45" s="94">
        <f t="shared" si="8"/>
        <v>0</v>
      </c>
      <c r="H45" s="22">
        <f t="shared" si="9"/>
        <v>0</v>
      </c>
    </row>
    <row r="46" spans="2:8" ht="36" hidden="1" customHeight="1">
      <c r="B46" s="84"/>
      <c r="C46" s="85"/>
      <c r="D46" s="78"/>
      <c r="E46" s="75"/>
      <c r="F46" s="155" t="str">
        <f t="shared" si="1"/>
        <v>g</v>
      </c>
      <c r="G46" s="94">
        <f t="shared" si="8"/>
        <v>0</v>
      </c>
      <c r="H46" s="22">
        <f t="shared" si="9"/>
        <v>0</v>
      </c>
    </row>
    <row r="47" spans="2:8" ht="36" hidden="1" customHeight="1">
      <c r="B47" s="84"/>
      <c r="C47" s="85"/>
      <c r="D47" s="78"/>
      <c r="E47" s="75"/>
      <c r="F47" s="155" t="str">
        <f t="shared" si="1"/>
        <v>g</v>
      </c>
      <c r="G47" s="94">
        <f t="shared" si="8"/>
        <v>0</v>
      </c>
      <c r="H47" s="22">
        <f t="shared" si="9"/>
        <v>0</v>
      </c>
    </row>
    <row r="48" spans="2:8" ht="36" hidden="1" customHeight="1">
      <c r="B48" s="84"/>
      <c r="C48" s="85"/>
      <c r="D48" s="78"/>
      <c r="E48" s="75"/>
      <c r="F48" s="155" t="str">
        <f t="shared" si="1"/>
        <v>g</v>
      </c>
      <c r="G48" s="94">
        <f t="shared" si="8"/>
        <v>0</v>
      </c>
      <c r="H48" s="22">
        <f t="shared" si="9"/>
        <v>0</v>
      </c>
    </row>
    <row r="49" spans="2:17" ht="36" hidden="1" customHeight="1">
      <c r="B49" s="84"/>
      <c r="C49" s="85"/>
      <c r="D49" s="78"/>
      <c r="E49" s="75"/>
      <c r="F49" s="155" t="str">
        <f t="shared" si="1"/>
        <v>g</v>
      </c>
      <c r="G49" s="94">
        <f t="shared" si="8"/>
        <v>0</v>
      </c>
      <c r="H49" s="22">
        <f t="shared" si="9"/>
        <v>0</v>
      </c>
    </row>
    <row r="50" spans="2:17" ht="36" hidden="1" customHeight="1">
      <c r="B50" s="84"/>
      <c r="C50" s="85"/>
      <c r="D50" s="78"/>
      <c r="E50" s="75"/>
      <c r="F50" s="155" t="str">
        <f t="shared" si="1"/>
        <v>g</v>
      </c>
      <c r="G50" s="94">
        <f t="shared" si="8"/>
        <v>0</v>
      </c>
      <c r="H50" s="22">
        <f t="shared" si="9"/>
        <v>0</v>
      </c>
    </row>
    <row r="51" spans="2:17" ht="36" hidden="1" customHeight="1">
      <c r="B51" s="84"/>
      <c r="C51" s="85"/>
      <c r="D51" s="78"/>
      <c r="E51" s="75"/>
      <c r="F51" s="155" t="str">
        <f t="shared" si="1"/>
        <v>g</v>
      </c>
      <c r="G51" s="94">
        <f t="shared" si="2"/>
        <v>0</v>
      </c>
      <c r="H51" s="22">
        <f t="shared" si="3"/>
        <v>0</v>
      </c>
    </row>
    <row r="52" spans="2:17" ht="36" hidden="1" customHeight="1">
      <c r="B52" s="84"/>
      <c r="C52" s="85"/>
      <c r="D52" s="78"/>
      <c r="E52" s="75"/>
      <c r="F52" s="155" t="str">
        <f t="shared" si="1"/>
        <v>g</v>
      </c>
      <c r="G52" s="94">
        <f t="shared" si="2"/>
        <v>0</v>
      </c>
      <c r="H52" s="22">
        <f t="shared" si="3"/>
        <v>0</v>
      </c>
    </row>
    <row r="53" spans="2:17" ht="36" hidden="1" customHeight="1">
      <c r="B53" s="84"/>
      <c r="C53" s="85"/>
      <c r="D53" s="78"/>
      <c r="E53" s="75"/>
      <c r="F53" s="155" t="str">
        <f t="shared" si="1"/>
        <v>g</v>
      </c>
      <c r="G53" s="94">
        <f t="shared" si="2"/>
        <v>0</v>
      </c>
      <c r="H53" s="22">
        <f t="shared" si="3"/>
        <v>0</v>
      </c>
    </row>
    <row r="54" spans="2:17" ht="36" hidden="1" customHeight="1">
      <c r="B54" s="84"/>
      <c r="C54" s="85"/>
      <c r="D54" s="78"/>
      <c r="E54" s="75"/>
      <c r="F54" s="155" t="str">
        <f t="shared" si="1"/>
        <v>g</v>
      </c>
      <c r="G54" s="94">
        <f t="shared" si="2"/>
        <v>0</v>
      </c>
      <c r="H54" s="22">
        <f t="shared" si="3"/>
        <v>0</v>
      </c>
    </row>
    <row r="55" spans="2:17" ht="36" hidden="1" customHeight="1">
      <c r="B55" s="84"/>
      <c r="C55" s="85"/>
      <c r="D55" s="78"/>
      <c r="E55" s="75"/>
      <c r="F55" s="155" t="str">
        <f t="shared" si="1"/>
        <v>g</v>
      </c>
      <c r="G55" s="94">
        <f t="shared" si="2"/>
        <v>0</v>
      </c>
      <c r="H55" s="22">
        <f t="shared" si="3"/>
        <v>0</v>
      </c>
    </row>
    <row r="56" spans="2:17" ht="36" hidden="1" customHeight="1">
      <c r="B56" s="84"/>
      <c r="C56" s="85"/>
      <c r="D56" s="78"/>
      <c r="E56" s="75"/>
      <c r="F56" s="155" t="str">
        <f t="shared" si="1"/>
        <v>g</v>
      </c>
      <c r="G56" s="94">
        <f t="shared" si="2"/>
        <v>0</v>
      </c>
      <c r="H56" s="22">
        <f t="shared" si="3"/>
        <v>0</v>
      </c>
    </row>
    <row r="57" spans="2:17" ht="36" hidden="1" customHeight="1">
      <c r="B57" s="84"/>
      <c r="C57" s="85"/>
      <c r="D57" s="78"/>
      <c r="E57" s="75"/>
      <c r="F57" s="155" t="str">
        <f t="shared" si="1"/>
        <v>g</v>
      </c>
      <c r="G57" s="94">
        <f t="shared" si="2"/>
        <v>0</v>
      </c>
      <c r="H57" s="22">
        <f t="shared" si="3"/>
        <v>0</v>
      </c>
    </row>
    <row r="58" spans="2:17" ht="36" customHeight="1" thickBot="1">
      <c r="B58" s="86"/>
      <c r="C58" s="87"/>
      <c r="D58" s="88"/>
      <c r="E58" s="99"/>
      <c r="F58" s="156" t="str">
        <f t="shared" si="1"/>
        <v>g</v>
      </c>
      <c r="G58" s="96">
        <f t="shared" si="2"/>
        <v>0</v>
      </c>
      <c r="H58" s="23">
        <f t="shared" si="3"/>
        <v>0</v>
      </c>
    </row>
    <row r="59" spans="2:17" s="4" customFormat="1" ht="36" customHeight="1">
      <c r="B59" s="106"/>
      <c r="C59" s="106"/>
      <c r="D59" s="106">
        <f>D8</f>
        <v>0</v>
      </c>
      <c r="E59" s="107"/>
      <c r="F59" s="6"/>
      <c r="G59" s="109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0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80" t="s">
        <v>12</v>
      </c>
      <c r="C1" s="181"/>
      <c r="D1" s="181"/>
      <c r="E1" s="181"/>
      <c r="F1" s="181"/>
      <c r="G1" s="182"/>
      <c r="H1" s="182"/>
    </row>
    <row r="2" spans="2:17" ht="50.1" customHeight="1">
      <c r="B2" s="183"/>
      <c r="C2" s="184"/>
      <c r="D2" s="184"/>
      <c r="E2" s="60"/>
      <c r="F2" s="151" t="s">
        <v>2</v>
      </c>
      <c r="G2" s="16"/>
      <c r="H2" s="17"/>
    </row>
    <row r="3" spans="2:17" s="4" customFormat="1" ht="36" customHeight="1" thickBot="1">
      <c r="B3" s="8"/>
      <c r="C3" s="9"/>
      <c r="D3" s="62" t="s">
        <v>4</v>
      </c>
      <c r="E3" s="185" t="s">
        <v>0</v>
      </c>
      <c r="F3" s="197"/>
      <c r="G3" s="63" t="s">
        <v>9</v>
      </c>
      <c r="H3" s="18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0">
        <v>1</v>
      </c>
      <c r="C4" s="101" t="s">
        <v>7</v>
      </c>
      <c r="D4" s="74">
        <v>1</v>
      </c>
      <c r="E4" s="102" t="str">
        <f>IF($E2=0, "", $E2)</f>
        <v/>
      </c>
      <c r="F4" s="152" t="str">
        <f>$F$2</f>
        <v>g</v>
      </c>
      <c r="G4" s="90"/>
      <c r="H4" s="19"/>
    </row>
    <row r="5" spans="2:17" ht="36" customHeight="1">
      <c r="B5" s="76">
        <f>D5</f>
        <v>0</v>
      </c>
      <c r="C5" s="77" t="s">
        <v>8</v>
      </c>
      <c r="D5" s="103"/>
      <c r="E5" s="104" t="str">
        <f>IF($E2=0, "", B5*$E2)</f>
        <v/>
      </c>
      <c r="F5" s="153" t="str">
        <f t="shared" ref="F5:F8" si="0">$F$2</f>
        <v>g</v>
      </c>
      <c r="G5" s="110"/>
      <c r="H5" s="20"/>
    </row>
    <row r="6" spans="2:17" ht="36" customHeight="1" thickBot="1">
      <c r="B6" s="119">
        <f>D6</f>
        <v>1</v>
      </c>
      <c r="C6" s="120" t="s">
        <v>49</v>
      </c>
      <c r="D6" s="78">
        <v>1</v>
      </c>
      <c r="E6" s="174" t="str">
        <f>IF($E2=0, "", B6*$E2)</f>
        <v/>
      </c>
      <c r="F6" s="149" t="str">
        <f t="shared" si="0"/>
        <v>g</v>
      </c>
      <c r="G6" s="175"/>
      <c r="H6" s="21">
        <f>G6*$E$2</f>
        <v>0</v>
      </c>
    </row>
    <row r="7" spans="2:17" ht="36" customHeight="1" thickTop="1" thickBot="1">
      <c r="B7" s="97">
        <f>D7</f>
        <v>1</v>
      </c>
      <c r="C7" s="98" t="s">
        <v>16</v>
      </c>
      <c r="D7" s="80">
        <v>1</v>
      </c>
      <c r="E7" s="105" t="str">
        <f>IF($E2=0, "", B7*$E2)</f>
        <v/>
      </c>
      <c r="F7" s="154" t="str">
        <f t="shared" si="0"/>
        <v>g</v>
      </c>
      <c r="G7" s="111"/>
      <c r="H7" s="21">
        <f>G7*$E$2</f>
        <v>0</v>
      </c>
    </row>
    <row r="8" spans="2:17" ht="36" customHeight="1" thickTop="1">
      <c r="B8" s="193" t="s">
        <v>17</v>
      </c>
      <c r="C8" s="194"/>
      <c r="D8" s="74">
        <f>D5+G6+G7+SUM(D10:D57)</f>
        <v>0</v>
      </c>
      <c r="E8" s="102" t="str">
        <f>IF($E$2=0, "", D8*$E$2)</f>
        <v/>
      </c>
      <c r="F8" s="152" t="str">
        <f t="shared" si="0"/>
        <v>g</v>
      </c>
      <c r="G8" s="112"/>
      <c r="H8" s="22"/>
    </row>
    <row r="9" spans="2:17" ht="36" customHeight="1">
      <c r="B9" s="84"/>
      <c r="C9" s="85"/>
      <c r="D9" s="78"/>
      <c r="E9" s="75"/>
      <c r="F9" s="7"/>
      <c r="G9" s="94"/>
      <c r="H9" s="22"/>
    </row>
    <row r="10" spans="2:17" ht="36" customHeight="1">
      <c r="B10" s="84"/>
      <c r="C10" s="85"/>
      <c r="D10" s="78"/>
      <c r="E10" s="75"/>
      <c r="F10" s="155" t="str">
        <f t="shared" ref="F10:F57" si="1">$F$2</f>
        <v>g</v>
      </c>
      <c r="G10" s="94">
        <f t="shared" ref="G10:G57" si="2">ROUNDUP(D10/30,0)</f>
        <v>0</v>
      </c>
      <c r="H10" s="22">
        <f t="shared" ref="H10:H57" si="3">D10*$E$2</f>
        <v>0</v>
      </c>
    </row>
    <row r="11" spans="2:17" ht="36" customHeight="1">
      <c r="B11" s="84"/>
      <c r="C11" s="85"/>
      <c r="D11" s="78"/>
      <c r="E11" s="75"/>
      <c r="F11" s="155" t="str">
        <f t="shared" si="1"/>
        <v>g</v>
      </c>
      <c r="G11" s="94">
        <f t="shared" si="2"/>
        <v>0</v>
      </c>
      <c r="H11" s="22">
        <f t="shared" si="3"/>
        <v>0</v>
      </c>
    </row>
    <row r="12" spans="2:17" ht="36" customHeight="1">
      <c r="B12" s="84"/>
      <c r="C12" s="85"/>
      <c r="D12" s="78"/>
      <c r="E12" s="75"/>
      <c r="F12" s="155" t="str">
        <f t="shared" si="1"/>
        <v>g</v>
      </c>
      <c r="G12" s="94">
        <f t="shared" si="2"/>
        <v>0</v>
      </c>
      <c r="H12" s="22">
        <f t="shared" si="3"/>
        <v>0</v>
      </c>
    </row>
    <row r="13" spans="2:17" ht="36" customHeight="1">
      <c r="B13" s="84"/>
      <c r="C13" s="85"/>
      <c r="D13" s="78"/>
      <c r="E13" s="75"/>
      <c r="F13" s="155" t="str">
        <f t="shared" si="1"/>
        <v>g</v>
      </c>
      <c r="G13" s="94">
        <f t="shared" si="2"/>
        <v>0</v>
      </c>
      <c r="H13" s="22">
        <f t="shared" si="3"/>
        <v>0</v>
      </c>
    </row>
    <row r="14" spans="2:17" ht="36" customHeight="1">
      <c r="B14" s="84"/>
      <c r="C14" s="85"/>
      <c r="D14" s="78"/>
      <c r="E14" s="75"/>
      <c r="F14" s="155" t="str">
        <f t="shared" si="1"/>
        <v>g</v>
      </c>
      <c r="G14" s="94">
        <f t="shared" si="2"/>
        <v>0</v>
      </c>
      <c r="H14" s="22">
        <f t="shared" si="3"/>
        <v>0</v>
      </c>
    </row>
    <row r="15" spans="2:17" ht="36" customHeight="1">
      <c r="B15" s="84"/>
      <c r="C15" s="85"/>
      <c r="D15" s="78"/>
      <c r="E15" s="75"/>
      <c r="F15" s="155" t="str">
        <f t="shared" si="1"/>
        <v>g</v>
      </c>
      <c r="G15" s="94">
        <f t="shared" si="2"/>
        <v>0</v>
      </c>
      <c r="H15" s="22">
        <f t="shared" si="3"/>
        <v>0</v>
      </c>
    </row>
    <row r="16" spans="2:17" ht="36" customHeight="1">
      <c r="B16" s="84"/>
      <c r="C16" s="85"/>
      <c r="D16" s="78"/>
      <c r="E16" s="75"/>
      <c r="F16" s="155" t="str">
        <f t="shared" si="1"/>
        <v>g</v>
      </c>
      <c r="G16" s="94">
        <f t="shared" si="2"/>
        <v>0</v>
      </c>
      <c r="H16" s="22">
        <f t="shared" si="3"/>
        <v>0</v>
      </c>
    </row>
    <row r="17" spans="2:8" ht="36" customHeight="1">
      <c r="B17" s="84"/>
      <c r="C17" s="85"/>
      <c r="D17" s="78"/>
      <c r="E17" s="75"/>
      <c r="F17" s="155" t="str">
        <f t="shared" si="1"/>
        <v>g</v>
      </c>
      <c r="G17" s="94">
        <f t="shared" si="2"/>
        <v>0</v>
      </c>
      <c r="H17" s="22">
        <f t="shared" si="3"/>
        <v>0</v>
      </c>
    </row>
    <row r="18" spans="2:8" ht="36" customHeight="1">
      <c r="B18" s="84"/>
      <c r="C18" s="85"/>
      <c r="D18" s="78"/>
      <c r="E18" s="75"/>
      <c r="F18" s="155" t="str">
        <f t="shared" si="1"/>
        <v>g</v>
      </c>
      <c r="G18" s="94">
        <f t="shared" si="2"/>
        <v>0</v>
      </c>
      <c r="H18" s="22">
        <f t="shared" si="3"/>
        <v>0</v>
      </c>
    </row>
    <row r="19" spans="2:8" ht="36" customHeight="1">
      <c r="B19" s="84"/>
      <c r="C19" s="85"/>
      <c r="D19" s="78"/>
      <c r="E19" s="75"/>
      <c r="F19" s="155" t="str">
        <f t="shared" si="1"/>
        <v>g</v>
      </c>
      <c r="G19" s="94">
        <f t="shared" si="2"/>
        <v>0</v>
      </c>
      <c r="H19" s="22">
        <f t="shared" si="3"/>
        <v>0</v>
      </c>
    </row>
    <row r="20" spans="2:8" ht="36" customHeight="1">
      <c r="B20" s="84"/>
      <c r="C20" s="85"/>
      <c r="D20" s="78"/>
      <c r="E20" s="75"/>
      <c r="F20" s="155" t="str">
        <f t="shared" si="1"/>
        <v>g</v>
      </c>
      <c r="G20" s="94">
        <f t="shared" si="2"/>
        <v>0</v>
      </c>
      <c r="H20" s="22">
        <f t="shared" si="3"/>
        <v>0</v>
      </c>
    </row>
    <row r="21" spans="2:8" ht="36" customHeight="1">
      <c r="B21" s="84"/>
      <c r="C21" s="85"/>
      <c r="D21" s="78"/>
      <c r="E21" s="75"/>
      <c r="F21" s="155" t="str">
        <f t="shared" si="1"/>
        <v>g</v>
      </c>
      <c r="G21" s="94">
        <f t="shared" si="2"/>
        <v>0</v>
      </c>
      <c r="H21" s="22">
        <f t="shared" si="3"/>
        <v>0</v>
      </c>
    </row>
    <row r="22" spans="2:8" ht="36" customHeight="1">
      <c r="B22" s="84"/>
      <c r="C22" s="85"/>
      <c r="D22" s="78"/>
      <c r="E22" s="75"/>
      <c r="F22" s="155" t="str">
        <f t="shared" si="1"/>
        <v>g</v>
      </c>
      <c r="G22" s="94">
        <f t="shared" si="2"/>
        <v>0</v>
      </c>
      <c r="H22" s="22">
        <f t="shared" si="3"/>
        <v>0</v>
      </c>
    </row>
    <row r="23" spans="2:8" ht="36" customHeight="1">
      <c r="B23" s="84"/>
      <c r="C23" s="85"/>
      <c r="D23" s="78"/>
      <c r="E23" s="75"/>
      <c r="F23" s="155" t="str">
        <f t="shared" si="1"/>
        <v>g</v>
      </c>
      <c r="G23" s="94">
        <f t="shared" si="2"/>
        <v>0</v>
      </c>
      <c r="H23" s="22">
        <f t="shared" si="3"/>
        <v>0</v>
      </c>
    </row>
    <row r="24" spans="2:8" ht="36" hidden="1" customHeight="1">
      <c r="B24" s="84"/>
      <c r="C24" s="85"/>
      <c r="D24" s="78"/>
      <c r="E24" s="75"/>
      <c r="F24" s="155" t="str">
        <f t="shared" si="1"/>
        <v>g</v>
      </c>
      <c r="G24" s="94">
        <f t="shared" si="2"/>
        <v>0</v>
      </c>
      <c r="H24" s="22">
        <f t="shared" si="3"/>
        <v>0</v>
      </c>
    </row>
    <row r="25" spans="2:8" ht="36" hidden="1" customHeight="1">
      <c r="B25" s="84"/>
      <c r="C25" s="85"/>
      <c r="D25" s="78"/>
      <c r="E25" s="75"/>
      <c r="F25" s="155" t="str">
        <f t="shared" si="1"/>
        <v>g</v>
      </c>
      <c r="G25" s="94">
        <f t="shared" si="2"/>
        <v>0</v>
      </c>
      <c r="H25" s="22">
        <f t="shared" si="3"/>
        <v>0</v>
      </c>
    </row>
    <row r="26" spans="2:8" ht="36" hidden="1" customHeight="1">
      <c r="B26" s="84"/>
      <c r="C26" s="85"/>
      <c r="D26" s="78"/>
      <c r="E26" s="75"/>
      <c r="F26" s="155" t="str">
        <f t="shared" si="1"/>
        <v>g</v>
      </c>
      <c r="G26" s="94">
        <f t="shared" ref="G26:G32" si="4">ROUNDUP(D26/30,0)</f>
        <v>0</v>
      </c>
      <c r="H26" s="22">
        <f t="shared" ref="H26:H32" si="5">D26*$E$2</f>
        <v>0</v>
      </c>
    </row>
    <row r="27" spans="2:8" ht="36" hidden="1" customHeight="1">
      <c r="B27" s="84"/>
      <c r="C27" s="85"/>
      <c r="D27" s="78"/>
      <c r="E27" s="75"/>
      <c r="F27" s="155" t="str">
        <f t="shared" si="1"/>
        <v>g</v>
      </c>
      <c r="G27" s="94">
        <f t="shared" si="4"/>
        <v>0</v>
      </c>
      <c r="H27" s="22">
        <f t="shared" si="5"/>
        <v>0</v>
      </c>
    </row>
    <row r="28" spans="2:8" ht="36" hidden="1" customHeight="1">
      <c r="B28" s="84"/>
      <c r="C28" s="85"/>
      <c r="D28" s="78"/>
      <c r="E28" s="75"/>
      <c r="F28" s="155" t="str">
        <f t="shared" si="1"/>
        <v>g</v>
      </c>
      <c r="G28" s="94">
        <f t="shared" si="4"/>
        <v>0</v>
      </c>
      <c r="H28" s="22">
        <f t="shared" si="5"/>
        <v>0</v>
      </c>
    </row>
    <row r="29" spans="2:8" ht="36" hidden="1" customHeight="1">
      <c r="B29" s="84"/>
      <c r="C29" s="85"/>
      <c r="D29" s="78"/>
      <c r="E29" s="75"/>
      <c r="F29" s="155" t="str">
        <f t="shared" si="1"/>
        <v>g</v>
      </c>
      <c r="G29" s="94">
        <f t="shared" si="4"/>
        <v>0</v>
      </c>
      <c r="H29" s="22">
        <f t="shared" si="5"/>
        <v>0</v>
      </c>
    </row>
    <row r="30" spans="2:8" ht="36" hidden="1" customHeight="1">
      <c r="B30" s="84"/>
      <c r="C30" s="85"/>
      <c r="D30" s="78"/>
      <c r="E30" s="75"/>
      <c r="F30" s="155" t="str">
        <f t="shared" si="1"/>
        <v>g</v>
      </c>
      <c r="G30" s="94">
        <f t="shared" si="4"/>
        <v>0</v>
      </c>
      <c r="H30" s="22">
        <f t="shared" si="5"/>
        <v>0</v>
      </c>
    </row>
    <row r="31" spans="2:8" ht="36" hidden="1" customHeight="1">
      <c r="B31" s="84"/>
      <c r="C31" s="85"/>
      <c r="D31" s="78"/>
      <c r="E31" s="75"/>
      <c r="F31" s="155" t="str">
        <f t="shared" si="1"/>
        <v>g</v>
      </c>
      <c r="G31" s="94">
        <f t="shared" si="4"/>
        <v>0</v>
      </c>
      <c r="H31" s="22">
        <f t="shared" si="5"/>
        <v>0</v>
      </c>
    </row>
    <row r="32" spans="2:8" ht="36" hidden="1" customHeight="1">
      <c r="B32" s="84"/>
      <c r="C32" s="85"/>
      <c r="D32" s="78"/>
      <c r="E32" s="75"/>
      <c r="F32" s="155" t="str">
        <f t="shared" si="1"/>
        <v>g</v>
      </c>
      <c r="G32" s="94">
        <f t="shared" si="4"/>
        <v>0</v>
      </c>
      <c r="H32" s="22">
        <f t="shared" si="5"/>
        <v>0</v>
      </c>
    </row>
    <row r="33" spans="2:8" ht="36" hidden="1" customHeight="1">
      <c r="B33" s="84"/>
      <c r="C33" s="85"/>
      <c r="D33" s="78"/>
      <c r="E33" s="75"/>
      <c r="F33" s="155" t="str">
        <f t="shared" si="1"/>
        <v>g</v>
      </c>
      <c r="G33" s="94">
        <f t="shared" si="2"/>
        <v>0</v>
      </c>
      <c r="H33" s="22">
        <f t="shared" si="3"/>
        <v>0</v>
      </c>
    </row>
    <row r="34" spans="2:8" ht="36" hidden="1" customHeight="1">
      <c r="B34" s="84"/>
      <c r="C34" s="85"/>
      <c r="D34" s="78"/>
      <c r="E34" s="75"/>
      <c r="F34" s="155" t="str">
        <f t="shared" si="1"/>
        <v>g</v>
      </c>
      <c r="G34" s="94">
        <f t="shared" si="2"/>
        <v>0</v>
      </c>
      <c r="H34" s="22">
        <f t="shared" si="3"/>
        <v>0</v>
      </c>
    </row>
    <row r="35" spans="2:8" ht="36" hidden="1" customHeight="1">
      <c r="B35" s="84"/>
      <c r="C35" s="85"/>
      <c r="D35" s="78"/>
      <c r="E35" s="75"/>
      <c r="F35" s="155" t="str">
        <f t="shared" si="1"/>
        <v>g</v>
      </c>
      <c r="G35" s="94">
        <f t="shared" si="2"/>
        <v>0</v>
      </c>
      <c r="H35" s="22">
        <f t="shared" si="3"/>
        <v>0</v>
      </c>
    </row>
    <row r="36" spans="2:8" ht="36" hidden="1" customHeight="1">
      <c r="B36" s="84"/>
      <c r="C36" s="85"/>
      <c r="D36" s="78"/>
      <c r="E36" s="75"/>
      <c r="F36" s="155" t="str">
        <f t="shared" si="1"/>
        <v>g</v>
      </c>
      <c r="G36" s="94">
        <f t="shared" si="2"/>
        <v>0</v>
      </c>
      <c r="H36" s="22">
        <f t="shared" si="3"/>
        <v>0</v>
      </c>
    </row>
    <row r="37" spans="2:8" ht="36" hidden="1" customHeight="1">
      <c r="B37" s="84"/>
      <c r="C37" s="85"/>
      <c r="D37" s="78"/>
      <c r="E37" s="75"/>
      <c r="F37" s="155" t="str">
        <f t="shared" si="1"/>
        <v>g</v>
      </c>
      <c r="G37" s="94">
        <f t="shared" si="2"/>
        <v>0</v>
      </c>
      <c r="H37" s="22">
        <f t="shared" si="3"/>
        <v>0</v>
      </c>
    </row>
    <row r="38" spans="2:8" ht="36" hidden="1" customHeight="1">
      <c r="B38" s="84"/>
      <c r="C38" s="85"/>
      <c r="D38" s="78"/>
      <c r="E38" s="75"/>
      <c r="F38" s="155" t="str">
        <f t="shared" si="1"/>
        <v>g</v>
      </c>
      <c r="G38" s="94">
        <f t="shared" si="2"/>
        <v>0</v>
      </c>
      <c r="H38" s="22">
        <f t="shared" si="3"/>
        <v>0</v>
      </c>
    </row>
    <row r="39" spans="2:8" ht="36" hidden="1" customHeight="1">
      <c r="B39" s="84"/>
      <c r="C39" s="85"/>
      <c r="D39" s="78"/>
      <c r="E39" s="75"/>
      <c r="F39" s="155" t="str">
        <f t="shared" si="1"/>
        <v>g</v>
      </c>
      <c r="G39" s="94">
        <f t="shared" si="2"/>
        <v>0</v>
      </c>
      <c r="H39" s="22">
        <f t="shared" si="3"/>
        <v>0</v>
      </c>
    </row>
    <row r="40" spans="2:8" ht="36" hidden="1" customHeight="1">
      <c r="B40" s="84"/>
      <c r="C40" s="85"/>
      <c r="D40" s="78"/>
      <c r="E40" s="75"/>
      <c r="F40" s="155" t="str">
        <f t="shared" si="1"/>
        <v>g</v>
      </c>
      <c r="G40" s="94">
        <f t="shared" ref="G40:G46" si="6">ROUNDUP(D40/30,0)</f>
        <v>0</v>
      </c>
      <c r="H40" s="22">
        <f t="shared" ref="H40:H46" si="7">D40*$E$2</f>
        <v>0</v>
      </c>
    </row>
    <row r="41" spans="2:8" ht="36" hidden="1" customHeight="1">
      <c r="B41" s="84"/>
      <c r="C41" s="85"/>
      <c r="D41" s="78"/>
      <c r="E41" s="75"/>
      <c r="F41" s="155" t="str">
        <f t="shared" si="1"/>
        <v>g</v>
      </c>
      <c r="G41" s="94">
        <f t="shared" si="6"/>
        <v>0</v>
      </c>
      <c r="H41" s="22">
        <f t="shared" si="7"/>
        <v>0</v>
      </c>
    </row>
    <row r="42" spans="2:8" ht="36" hidden="1" customHeight="1">
      <c r="B42" s="84"/>
      <c r="C42" s="85"/>
      <c r="D42" s="78"/>
      <c r="E42" s="75"/>
      <c r="F42" s="155" t="str">
        <f t="shared" si="1"/>
        <v>g</v>
      </c>
      <c r="G42" s="94">
        <f t="shared" si="6"/>
        <v>0</v>
      </c>
      <c r="H42" s="22">
        <f t="shared" si="7"/>
        <v>0</v>
      </c>
    </row>
    <row r="43" spans="2:8" ht="36" hidden="1" customHeight="1">
      <c r="B43" s="84"/>
      <c r="C43" s="85"/>
      <c r="D43" s="78"/>
      <c r="E43" s="75"/>
      <c r="F43" s="155" t="str">
        <f t="shared" si="1"/>
        <v>g</v>
      </c>
      <c r="G43" s="94">
        <f t="shared" si="6"/>
        <v>0</v>
      </c>
      <c r="H43" s="22">
        <f t="shared" si="7"/>
        <v>0</v>
      </c>
    </row>
    <row r="44" spans="2:8" ht="36" hidden="1" customHeight="1">
      <c r="B44" s="84"/>
      <c r="C44" s="85"/>
      <c r="D44" s="78"/>
      <c r="E44" s="75"/>
      <c r="F44" s="155" t="str">
        <f t="shared" si="1"/>
        <v>g</v>
      </c>
      <c r="G44" s="94">
        <f t="shared" si="6"/>
        <v>0</v>
      </c>
      <c r="H44" s="22">
        <f t="shared" si="7"/>
        <v>0</v>
      </c>
    </row>
    <row r="45" spans="2:8" ht="36" hidden="1" customHeight="1">
      <c r="B45" s="84"/>
      <c r="C45" s="85"/>
      <c r="D45" s="78"/>
      <c r="E45" s="75"/>
      <c r="F45" s="155" t="str">
        <f t="shared" si="1"/>
        <v>g</v>
      </c>
      <c r="G45" s="94">
        <f t="shared" si="6"/>
        <v>0</v>
      </c>
      <c r="H45" s="22">
        <f t="shared" si="7"/>
        <v>0</v>
      </c>
    </row>
    <row r="46" spans="2:8" ht="36" hidden="1" customHeight="1">
      <c r="B46" s="84"/>
      <c r="C46" s="85"/>
      <c r="D46" s="78"/>
      <c r="E46" s="75"/>
      <c r="F46" s="155" t="str">
        <f t="shared" si="1"/>
        <v>g</v>
      </c>
      <c r="G46" s="94">
        <f t="shared" si="6"/>
        <v>0</v>
      </c>
      <c r="H46" s="22">
        <f t="shared" si="7"/>
        <v>0</v>
      </c>
    </row>
    <row r="47" spans="2:8" ht="36" hidden="1" customHeight="1">
      <c r="B47" s="84"/>
      <c r="C47" s="85"/>
      <c r="D47" s="78"/>
      <c r="E47" s="75"/>
      <c r="F47" s="155" t="str">
        <f t="shared" si="1"/>
        <v>g</v>
      </c>
      <c r="G47" s="94">
        <f t="shared" si="2"/>
        <v>0</v>
      </c>
      <c r="H47" s="22">
        <f t="shared" si="3"/>
        <v>0</v>
      </c>
    </row>
    <row r="48" spans="2:8" ht="36" hidden="1" customHeight="1">
      <c r="B48" s="84"/>
      <c r="C48" s="85"/>
      <c r="D48" s="78"/>
      <c r="E48" s="75"/>
      <c r="F48" s="155" t="str">
        <f t="shared" si="1"/>
        <v>g</v>
      </c>
      <c r="G48" s="94">
        <f t="shared" si="2"/>
        <v>0</v>
      </c>
      <c r="H48" s="22">
        <f t="shared" si="3"/>
        <v>0</v>
      </c>
    </row>
    <row r="49" spans="2:17" ht="36" hidden="1" customHeight="1">
      <c r="B49" s="84"/>
      <c r="C49" s="85"/>
      <c r="D49" s="78"/>
      <c r="E49" s="75"/>
      <c r="F49" s="155" t="str">
        <f t="shared" si="1"/>
        <v>g</v>
      </c>
      <c r="G49" s="94">
        <f t="shared" si="2"/>
        <v>0</v>
      </c>
      <c r="H49" s="22">
        <f t="shared" si="3"/>
        <v>0</v>
      </c>
    </row>
    <row r="50" spans="2:17" ht="36" hidden="1" customHeight="1">
      <c r="B50" s="84"/>
      <c r="C50" s="85"/>
      <c r="D50" s="78"/>
      <c r="E50" s="75"/>
      <c r="F50" s="155" t="str">
        <f t="shared" si="1"/>
        <v>g</v>
      </c>
      <c r="G50" s="94">
        <f t="shared" si="2"/>
        <v>0</v>
      </c>
      <c r="H50" s="22">
        <f t="shared" si="3"/>
        <v>0</v>
      </c>
    </row>
    <row r="51" spans="2:17" ht="36" hidden="1" customHeight="1">
      <c r="B51" s="84"/>
      <c r="C51" s="85"/>
      <c r="D51" s="78"/>
      <c r="E51" s="75"/>
      <c r="F51" s="155" t="str">
        <f t="shared" si="1"/>
        <v>g</v>
      </c>
      <c r="G51" s="94">
        <f t="shared" si="2"/>
        <v>0</v>
      </c>
      <c r="H51" s="22">
        <f t="shared" si="3"/>
        <v>0</v>
      </c>
    </row>
    <row r="52" spans="2:17" ht="36" hidden="1" customHeight="1">
      <c r="B52" s="84"/>
      <c r="C52" s="85"/>
      <c r="D52" s="78"/>
      <c r="E52" s="75"/>
      <c r="F52" s="155" t="str">
        <f t="shared" si="1"/>
        <v>g</v>
      </c>
      <c r="G52" s="94">
        <f t="shared" si="2"/>
        <v>0</v>
      </c>
      <c r="H52" s="22">
        <f t="shared" si="3"/>
        <v>0</v>
      </c>
    </row>
    <row r="53" spans="2:17" ht="36" hidden="1" customHeight="1">
      <c r="B53" s="84"/>
      <c r="C53" s="85"/>
      <c r="D53" s="78"/>
      <c r="E53" s="75"/>
      <c r="F53" s="155" t="str">
        <f t="shared" si="1"/>
        <v>g</v>
      </c>
      <c r="G53" s="94">
        <f t="shared" si="2"/>
        <v>0</v>
      </c>
      <c r="H53" s="22">
        <f t="shared" si="3"/>
        <v>0</v>
      </c>
    </row>
    <row r="54" spans="2:17" ht="36" hidden="1" customHeight="1">
      <c r="B54" s="84"/>
      <c r="C54" s="85"/>
      <c r="D54" s="78"/>
      <c r="E54" s="75"/>
      <c r="F54" s="155" t="str">
        <f t="shared" si="1"/>
        <v>g</v>
      </c>
      <c r="G54" s="94">
        <f t="shared" si="2"/>
        <v>0</v>
      </c>
      <c r="H54" s="22">
        <f t="shared" si="3"/>
        <v>0</v>
      </c>
    </row>
    <row r="55" spans="2:17" ht="36" hidden="1" customHeight="1">
      <c r="B55" s="84"/>
      <c r="C55" s="85"/>
      <c r="D55" s="78"/>
      <c r="E55" s="75"/>
      <c r="F55" s="155" t="str">
        <f t="shared" si="1"/>
        <v>g</v>
      </c>
      <c r="G55" s="94">
        <f t="shared" si="2"/>
        <v>0</v>
      </c>
      <c r="H55" s="22">
        <f t="shared" si="3"/>
        <v>0</v>
      </c>
    </row>
    <row r="56" spans="2:17" ht="36" hidden="1" customHeight="1">
      <c r="B56" s="84"/>
      <c r="C56" s="85"/>
      <c r="D56" s="78"/>
      <c r="E56" s="75"/>
      <c r="F56" s="155" t="str">
        <f t="shared" si="1"/>
        <v>g</v>
      </c>
      <c r="G56" s="94">
        <f t="shared" si="2"/>
        <v>0</v>
      </c>
      <c r="H56" s="22">
        <f t="shared" si="3"/>
        <v>0</v>
      </c>
    </row>
    <row r="57" spans="2:17" ht="36" customHeight="1" thickBot="1">
      <c r="B57" s="86"/>
      <c r="C57" s="87"/>
      <c r="D57" s="88"/>
      <c r="E57" s="99"/>
      <c r="F57" s="156" t="str">
        <f t="shared" si="1"/>
        <v>g</v>
      </c>
      <c r="G57" s="96">
        <f t="shared" si="2"/>
        <v>0</v>
      </c>
      <c r="H57" s="23">
        <f t="shared" si="3"/>
        <v>0</v>
      </c>
    </row>
    <row r="58" spans="2:17" s="4" customFormat="1" ht="36" customHeight="1">
      <c r="B58" s="106"/>
      <c r="C58" s="106"/>
      <c r="D58" s="106">
        <f>D8</f>
        <v>0</v>
      </c>
      <c r="E58" s="107"/>
      <c r="F58" s="157"/>
      <c r="G58" s="109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F65" s="6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93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7" width="7.6640625" style="1" customWidth="1"/>
    <col min="8" max="10" width="10.88671875" style="1" customWidth="1"/>
    <col min="11" max="17" width="10.88671875" style="3" customWidth="1"/>
    <col min="18" max="16384" width="13.109375" style="3"/>
  </cols>
  <sheetData>
    <row r="1" spans="2:17" ht="48" customHeight="1" thickBot="1">
      <c r="B1" s="200" t="s">
        <v>25</v>
      </c>
      <c r="C1" s="182"/>
      <c r="D1" s="58"/>
      <c r="E1" s="57"/>
      <c r="F1" s="57"/>
    </row>
    <row r="2" spans="2:17" ht="18.75" hidden="1" customHeight="1" thickBot="1">
      <c r="B2" s="14"/>
      <c r="C2" s="14"/>
      <c r="D2" s="14">
        <v>30</v>
      </c>
      <c r="E2" s="1" t="s">
        <v>20</v>
      </c>
    </row>
    <row r="3" spans="2:17" ht="50.1" customHeight="1" thickBot="1">
      <c r="B3" s="201"/>
      <c r="C3" s="202"/>
      <c r="D3" s="61"/>
      <c r="E3" s="158" t="s">
        <v>2</v>
      </c>
      <c r="F3" s="169"/>
      <c r="H3" s="1" t="s">
        <v>45</v>
      </c>
      <c r="I3" s="1">
        <v>10</v>
      </c>
      <c r="J3" s="1" t="s">
        <v>46</v>
      </c>
    </row>
    <row r="4" spans="2:17" s="4" customFormat="1" ht="36" customHeight="1" thickBot="1">
      <c r="B4" s="12"/>
      <c r="C4" s="65" t="s">
        <v>0</v>
      </c>
      <c r="D4" s="66" t="s">
        <v>35</v>
      </c>
      <c r="E4" s="67" t="s">
        <v>21</v>
      </c>
      <c r="F4" s="68" t="s">
        <v>36</v>
      </c>
      <c r="G4" s="1"/>
      <c r="H4" s="39"/>
      <c r="I4" s="40">
        <f>SUM(I6:I10)</f>
        <v>5</v>
      </c>
      <c r="J4" s="40">
        <f>SUM(J6:J10)</f>
        <v>10</v>
      </c>
      <c r="K4" s="41">
        <f>SUM(K6:K10)</f>
        <v>0</v>
      </c>
    </row>
    <row r="5" spans="2:17" ht="36" customHeight="1" thickTop="1">
      <c r="B5" s="198" t="s">
        <v>1</v>
      </c>
      <c r="C5" s="199"/>
      <c r="D5" s="113"/>
      <c r="E5" s="114"/>
      <c r="F5" s="115"/>
      <c r="H5" s="42" t="s">
        <v>4</v>
      </c>
      <c r="I5" s="43" t="s">
        <v>39</v>
      </c>
      <c r="J5" s="43" t="s">
        <v>31</v>
      </c>
      <c r="K5" s="44" t="s">
        <v>40</v>
      </c>
    </row>
    <row r="6" spans="2:17" ht="36" customHeight="1">
      <c r="B6" s="76">
        <f>I3</f>
        <v>10</v>
      </c>
      <c r="C6" s="77" t="s">
        <v>22</v>
      </c>
      <c r="D6" s="116">
        <v>0</v>
      </c>
      <c r="E6" s="117">
        <f>IF(B6=0,0,IF($I$3=10, $I6, $J6))</f>
        <v>2</v>
      </c>
      <c r="F6" s="118">
        <f>IF($B6=0,0,$D$3*$B6)</f>
        <v>0</v>
      </c>
      <c r="H6" s="45">
        <v>20</v>
      </c>
      <c r="I6" s="46">
        <v>2</v>
      </c>
      <c r="J6" s="47">
        <v>2</v>
      </c>
      <c r="K6" s="48">
        <v>0</v>
      </c>
    </row>
    <row r="7" spans="2:17" ht="36" customHeight="1">
      <c r="B7" s="119">
        <f>I3</f>
        <v>10</v>
      </c>
      <c r="C7" s="120" t="s">
        <v>23</v>
      </c>
      <c r="D7" s="116">
        <v>0</v>
      </c>
      <c r="E7" s="117">
        <f>IF(B7=0,0,IF($I$3=10, $I7, $J7))</f>
        <v>3</v>
      </c>
      <c r="F7" s="118">
        <f>IF($B7=0,0,$D$3*$B7)</f>
        <v>0</v>
      </c>
      <c r="H7" s="45">
        <v>30</v>
      </c>
      <c r="I7" s="46">
        <v>3</v>
      </c>
      <c r="J7" s="47">
        <v>8</v>
      </c>
      <c r="K7" s="48">
        <v>0</v>
      </c>
    </row>
    <row r="8" spans="2:17" ht="36" customHeight="1">
      <c r="B8" s="119">
        <v>1</v>
      </c>
      <c r="C8" s="120" t="s">
        <v>22</v>
      </c>
      <c r="D8" s="116">
        <v>0</v>
      </c>
      <c r="E8" s="117">
        <f>IF(B8=0,0,K8)</f>
        <v>0</v>
      </c>
      <c r="F8" s="118">
        <f>IF($H8=0,0,$D$3*$B8)</f>
        <v>0</v>
      </c>
      <c r="H8" s="45"/>
      <c r="I8" s="47"/>
      <c r="J8" s="47"/>
      <c r="K8" s="48"/>
    </row>
    <row r="9" spans="2:17" ht="36" customHeight="1">
      <c r="B9" s="119">
        <v>1</v>
      </c>
      <c r="C9" s="120" t="s">
        <v>48</v>
      </c>
      <c r="D9" s="116">
        <v>0</v>
      </c>
      <c r="E9" s="117">
        <f>IF(B9=0,0,K9)</f>
        <v>0</v>
      </c>
      <c r="F9" s="118">
        <f>IF($H9=0,0,50)</f>
        <v>0</v>
      </c>
      <c r="H9" s="45"/>
      <c r="I9" s="47"/>
      <c r="J9" s="47"/>
      <c r="K9" s="48"/>
    </row>
    <row r="10" spans="2:17" ht="36" customHeight="1" thickBot="1">
      <c r="B10" s="97">
        <v>1</v>
      </c>
      <c r="C10" s="98" t="s">
        <v>23</v>
      </c>
      <c r="D10" s="121">
        <v>0</v>
      </c>
      <c r="E10" s="122">
        <f>IF(B10=0,0,K10)</f>
        <v>0</v>
      </c>
      <c r="F10" s="123">
        <f>IF($H10=0,0,$D$3*$B10)</f>
        <v>0</v>
      </c>
      <c r="H10" s="45"/>
      <c r="I10" s="47"/>
      <c r="J10" s="47"/>
      <c r="K10" s="48"/>
    </row>
    <row r="11" spans="2:17" ht="36" customHeight="1" thickTop="1">
      <c r="B11" s="84"/>
      <c r="C11" s="124"/>
      <c r="D11" s="125"/>
      <c r="E11" s="126"/>
      <c r="F11" s="127">
        <f>IF($D11=0,0,$D$3*$D11)</f>
        <v>0</v>
      </c>
      <c r="H11" s="24"/>
      <c r="I11" s="25">
        <f>SUM(I13:I80)</f>
        <v>0</v>
      </c>
      <c r="J11" s="26"/>
      <c r="K11" s="27">
        <f>SUM(K13:K80)</f>
        <v>0</v>
      </c>
      <c r="L11" s="25">
        <f>SUM(L13:L80)</f>
        <v>0</v>
      </c>
      <c r="M11" s="26"/>
      <c r="N11" s="27">
        <f>SUM(N13:N80)</f>
        <v>0</v>
      </c>
      <c r="O11" s="25">
        <f>SUM(O13:O80)</f>
        <v>0</v>
      </c>
      <c r="P11" s="26"/>
      <c r="Q11" s="28">
        <f>SUM(Q13:Q80)</f>
        <v>0</v>
      </c>
    </row>
    <row r="12" spans="2:17" ht="36" customHeight="1">
      <c r="B12" s="84"/>
      <c r="C12" s="124"/>
      <c r="D12" s="128"/>
      <c r="E12" s="126"/>
      <c r="F12" s="118">
        <f t="shared" ref="F12:F80" si="0">IF($D12=0,0,$D$3*$D12)</f>
        <v>0</v>
      </c>
      <c r="H12" s="29" t="s">
        <v>4</v>
      </c>
      <c r="I12" s="30" t="s">
        <v>26</v>
      </c>
      <c r="J12" s="31" t="s">
        <v>34</v>
      </c>
      <c r="K12" s="32" t="s">
        <v>27</v>
      </c>
      <c r="L12" s="30" t="s">
        <v>28</v>
      </c>
      <c r="M12" s="31" t="s">
        <v>29</v>
      </c>
      <c r="N12" s="32" t="s">
        <v>30</v>
      </c>
      <c r="O12" s="30" t="s">
        <v>31</v>
      </c>
      <c r="P12" s="31" t="s">
        <v>32</v>
      </c>
      <c r="Q12" s="33" t="s">
        <v>33</v>
      </c>
    </row>
    <row r="13" spans="2:17" ht="36" customHeight="1">
      <c r="B13" s="84"/>
      <c r="C13" s="124"/>
      <c r="D13" s="128">
        <f>IF($I$3=10,$J13, $P13)</f>
        <v>0</v>
      </c>
      <c r="E13" s="126"/>
      <c r="F13" s="118">
        <f t="shared" si="0"/>
        <v>0</v>
      </c>
      <c r="H13" s="34"/>
      <c r="I13" s="35"/>
      <c r="J13" s="36"/>
      <c r="K13" s="37"/>
      <c r="L13" s="35"/>
      <c r="M13" s="36"/>
      <c r="N13" s="37"/>
      <c r="O13" s="35"/>
      <c r="P13" s="36"/>
      <c r="Q13" s="38"/>
    </row>
    <row r="14" spans="2:17" ht="36" customHeight="1">
      <c r="B14" s="84"/>
      <c r="C14" s="124"/>
      <c r="D14" s="128">
        <f t="shared" ref="D14:D80" si="1">IF($I$3=10,$J14, $P14)</f>
        <v>0</v>
      </c>
      <c r="E14" s="126"/>
      <c r="F14" s="118">
        <f t="shared" si="0"/>
        <v>0</v>
      </c>
      <c r="H14" s="34"/>
      <c r="I14" s="35"/>
      <c r="J14" s="36"/>
      <c r="K14" s="37"/>
      <c r="L14" s="35"/>
      <c r="M14" s="36"/>
      <c r="N14" s="37"/>
      <c r="O14" s="35"/>
      <c r="P14" s="36"/>
      <c r="Q14" s="38"/>
    </row>
    <row r="15" spans="2:17" ht="36" customHeight="1">
      <c r="B15" s="84"/>
      <c r="C15" s="124"/>
      <c r="D15" s="128">
        <f t="shared" si="1"/>
        <v>0</v>
      </c>
      <c r="E15" s="126"/>
      <c r="F15" s="118">
        <f t="shared" si="0"/>
        <v>0</v>
      </c>
      <c r="H15" s="34"/>
      <c r="I15" s="35"/>
      <c r="J15" s="36"/>
      <c r="K15" s="37"/>
      <c r="L15" s="35"/>
      <c r="M15" s="36"/>
      <c r="N15" s="37"/>
      <c r="O15" s="35"/>
      <c r="P15" s="36"/>
      <c r="Q15" s="38"/>
    </row>
    <row r="16" spans="2:17" ht="36" customHeight="1">
      <c r="B16" s="84"/>
      <c r="C16" s="124"/>
      <c r="D16" s="128">
        <f t="shared" si="1"/>
        <v>0</v>
      </c>
      <c r="E16" s="126"/>
      <c r="F16" s="118">
        <f t="shared" si="0"/>
        <v>0</v>
      </c>
      <c r="H16" s="34"/>
      <c r="I16" s="35"/>
      <c r="J16" s="36"/>
      <c r="K16" s="37"/>
      <c r="L16" s="35"/>
      <c r="M16" s="36"/>
      <c r="N16" s="37"/>
      <c r="O16" s="35"/>
      <c r="P16" s="36"/>
      <c r="Q16" s="38"/>
    </row>
    <row r="17" spans="2:17" ht="36" customHeight="1">
      <c r="B17" s="84"/>
      <c r="C17" s="124"/>
      <c r="D17" s="128">
        <f t="shared" si="1"/>
        <v>0</v>
      </c>
      <c r="E17" s="126"/>
      <c r="F17" s="118">
        <f t="shared" si="0"/>
        <v>0</v>
      </c>
      <c r="H17" s="34"/>
      <c r="I17" s="35"/>
      <c r="J17" s="36"/>
      <c r="K17" s="37"/>
      <c r="L17" s="35"/>
      <c r="M17" s="36"/>
      <c r="N17" s="37"/>
      <c r="O17" s="35"/>
      <c r="P17" s="36"/>
      <c r="Q17" s="38"/>
    </row>
    <row r="18" spans="2:17" ht="36" customHeight="1">
      <c r="B18" s="84"/>
      <c r="C18" s="124"/>
      <c r="D18" s="128">
        <f t="shared" si="1"/>
        <v>0</v>
      </c>
      <c r="E18" s="126"/>
      <c r="F18" s="118">
        <f t="shared" si="0"/>
        <v>0</v>
      </c>
      <c r="H18" s="34"/>
      <c r="I18" s="35"/>
      <c r="J18" s="36"/>
      <c r="K18" s="37"/>
      <c r="L18" s="35"/>
      <c r="M18" s="36"/>
      <c r="N18" s="37"/>
      <c r="O18" s="35"/>
      <c r="P18" s="36"/>
      <c r="Q18" s="38"/>
    </row>
    <row r="19" spans="2:17" ht="36" customHeight="1">
      <c r="B19" s="84"/>
      <c r="C19" s="124"/>
      <c r="D19" s="128">
        <f t="shared" si="1"/>
        <v>0</v>
      </c>
      <c r="E19" s="126"/>
      <c r="F19" s="118">
        <f t="shared" si="0"/>
        <v>0</v>
      </c>
      <c r="H19" s="34"/>
      <c r="I19" s="35"/>
      <c r="J19" s="36"/>
      <c r="K19" s="37"/>
      <c r="L19" s="35"/>
      <c r="M19" s="36"/>
      <c r="N19" s="37"/>
      <c r="O19" s="35"/>
      <c r="P19" s="36"/>
      <c r="Q19" s="38"/>
    </row>
    <row r="20" spans="2:17" ht="36" customHeight="1">
      <c r="B20" s="84"/>
      <c r="C20" s="124"/>
      <c r="D20" s="128">
        <f t="shared" si="1"/>
        <v>0</v>
      </c>
      <c r="E20" s="126"/>
      <c r="F20" s="118">
        <f t="shared" si="0"/>
        <v>0</v>
      </c>
      <c r="H20" s="34"/>
      <c r="I20" s="35"/>
      <c r="J20" s="36"/>
      <c r="K20" s="37"/>
      <c r="L20" s="35"/>
      <c r="M20" s="36"/>
      <c r="N20" s="37"/>
      <c r="O20" s="35"/>
      <c r="P20" s="36"/>
      <c r="Q20" s="38"/>
    </row>
    <row r="21" spans="2:17" ht="36" customHeight="1">
      <c r="B21" s="84"/>
      <c r="C21" s="124"/>
      <c r="D21" s="128">
        <f t="shared" si="1"/>
        <v>0</v>
      </c>
      <c r="E21" s="126"/>
      <c r="F21" s="118">
        <f t="shared" si="0"/>
        <v>0</v>
      </c>
      <c r="H21" s="34"/>
      <c r="I21" s="35"/>
      <c r="J21" s="36"/>
      <c r="K21" s="37"/>
      <c r="L21" s="35"/>
      <c r="M21" s="36"/>
      <c r="N21" s="37"/>
      <c r="O21" s="35"/>
      <c r="P21" s="36"/>
      <c r="Q21" s="38"/>
    </row>
    <row r="22" spans="2:17" ht="36" hidden="1" customHeight="1">
      <c r="B22" s="84"/>
      <c r="C22" s="124"/>
      <c r="D22" s="128">
        <f t="shared" si="1"/>
        <v>0</v>
      </c>
      <c r="E22" s="126"/>
      <c r="F22" s="118">
        <f t="shared" si="0"/>
        <v>0</v>
      </c>
      <c r="H22" s="34"/>
      <c r="I22" s="35"/>
      <c r="J22" s="36"/>
      <c r="K22" s="37"/>
      <c r="L22" s="35"/>
      <c r="M22" s="36"/>
      <c r="N22" s="37"/>
      <c r="O22" s="35"/>
      <c r="P22" s="36"/>
      <c r="Q22" s="38"/>
    </row>
    <row r="23" spans="2:17" ht="36" hidden="1" customHeight="1">
      <c r="B23" s="84"/>
      <c r="C23" s="124"/>
      <c r="D23" s="128">
        <f t="shared" si="1"/>
        <v>0</v>
      </c>
      <c r="E23" s="126"/>
      <c r="F23" s="118">
        <f t="shared" si="0"/>
        <v>0</v>
      </c>
      <c r="H23" s="34"/>
      <c r="I23" s="35"/>
      <c r="J23" s="36"/>
      <c r="K23" s="37"/>
      <c r="L23" s="35"/>
      <c r="M23" s="36"/>
      <c r="N23" s="37"/>
      <c r="O23" s="35"/>
      <c r="P23" s="36"/>
      <c r="Q23" s="38"/>
    </row>
    <row r="24" spans="2:17" ht="36" hidden="1" customHeight="1">
      <c r="B24" s="84"/>
      <c r="C24" s="124"/>
      <c r="D24" s="128">
        <f t="shared" si="1"/>
        <v>0</v>
      </c>
      <c r="E24" s="126"/>
      <c r="F24" s="118">
        <f t="shared" si="0"/>
        <v>0</v>
      </c>
      <c r="H24" s="34"/>
      <c r="I24" s="35"/>
      <c r="J24" s="36"/>
      <c r="K24" s="37"/>
      <c r="L24" s="35"/>
      <c r="M24" s="36"/>
      <c r="N24" s="37"/>
      <c r="O24" s="35"/>
      <c r="P24" s="36"/>
      <c r="Q24" s="38"/>
    </row>
    <row r="25" spans="2:17" ht="36" hidden="1" customHeight="1">
      <c r="B25" s="84"/>
      <c r="C25" s="124"/>
      <c r="D25" s="128">
        <f t="shared" si="1"/>
        <v>0</v>
      </c>
      <c r="E25" s="126"/>
      <c r="F25" s="118">
        <f t="shared" si="0"/>
        <v>0</v>
      </c>
      <c r="H25" s="34"/>
      <c r="I25" s="35"/>
      <c r="J25" s="36"/>
      <c r="K25" s="37"/>
      <c r="L25" s="35"/>
      <c r="M25" s="36"/>
      <c r="N25" s="37"/>
      <c r="O25" s="35"/>
      <c r="P25" s="36"/>
      <c r="Q25" s="38"/>
    </row>
    <row r="26" spans="2:17" ht="36" hidden="1" customHeight="1">
      <c r="B26" s="84"/>
      <c r="C26" s="124"/>
      <c r="D26" s="128">
        <f t="shared" si="1"/>
        <v>0</v>
      </c>
      <c r="E26" s="126"/>
      <c r="F26" s="118">
        <f t="shared" si="0"/>
        <v>0</v>
      </c>
      <c r="H26" s="34"/>
      <c r="I26" s="35"/>
      <c r="J26" s="36"/>
      <c r="K26" s="37"/>
      <c r="L26" s="35"/>
      <c r="M26" s="36"/>
      <c r="N26" s="37"/>
      <c r="O26" s="35"/>
      <c r="P26" s="36"/>
      <c r="Q26" s="38"/>
    </row>
    <row r="27" spans="2:17" ht="36" hidden="1" customHeight="1">
      <c r="B27" s="84"/>
      <c r="C27" s="124"/>
      <c r="D27" s="128">
        <f t="shared" si="1"/>
        <v>0</v>
      </c>
      <c r="E27" s="126"/>
      <c r="F27" s="118">
        <f t="shared" si="0"/>
        <v>0</v>
      </c>
      <c r="H27" s="34"/>
      <c r="I27" s="35"/>
      <c r="J27" s="36"/>
      <c r="K27" s="37"/>
      <c r="L27" s="35"/>
      <c r="M27" s="36"/>
      <c r="N27" s="37"/>
      <c r="O27" s="35"/>
      <c r="P27" s="36"/>
      <c r="Q27" s="38"/>
    </row>
    <row r="28" spans="2:17" ht="36" hidden="1" customHeight="1">
      <c r="B28" s="84"/>
      <c r="C28" s="124"/>
      <c r="D28" s="128">
        <f t="shared" si="1"/>
        <v>0</v>
      </c>
      <c r="E28" s="126"/>
      <c r="F28" s="118">
        <f t="shared" si="0"/>
        <v>0</v>
      </c>
      <c r="H28" s="34"/>
      <c r="I28" s="35"/>
      <c r="J28" s="36"/>
      <c r="K28" s="37"/>
      <c r="L28" s="35"/>
      <c r="M28" s="36"/>
      <c r="N28" s="37"/>
      <c r="O28" s="35"/>
      <c r="P28" s="36"/>
      <c r="Q28" s="38"/>
    </row>
    <row r="29" spans="2:17" ht="36" hidden="1" customHeight="1">
      <c r="B29" s="84"/>
      <c r="C29" s="124"/>
      <c r="D29" s="128">
        <f t="shared" si="1"/>
        <v>0</v>
      </c>
      <c r="E29" s="126"/>
      <c r="F29" s="118">
        <f t="shared" si="0"/>
        <v>0</v>
      </c>
      <c r="H29" s="34"/>
      <c r="I29" s="35"/>
      <c r="J29" s="36"/>
      <c r="K29" s="37"/>
      <c r="L29" s="35"/>
      <c r="M29" s="36"/>
      <c r="N29" s="37"/>
      <c r="O29" s="35"/>
      <c r="P29" s="36"/>
      <c r="Q29" s="38"/>
    </row>
    <row r="30" spans="2:17" ht="36" hidden="1" customHeight="1">
      <c r="B30" s="84"/>
      <c r="C30" s="124"/>
      <c r="D30" s="128">
        <f t="shared" si="1"/>
        <v>0</v>
      </c>
      <c r="E30" s="126"/>
      <c r="F30" s="118">
        <f t="shared" si="0"/>
        <v>0</v>
      </c>
      <c r="H30" s="34"/>
      <c r="I30" s="35"/>
      <c r="J30" s="36"/>
      <c r="K30" s="37"/>
      <c r="L30" s="35"/>
      <c r="M30" s="36"/>
      <c r="N30" s="37"/>
      <c r="O30" s="35"/>
      <c r="P30" s="36"/>
      <c r="Q30" s="38"/>
    </row>
    <row r="31" spans="2:17" ht="36" hidden="1" customHeight="1">
      <c r="B31" s="84"/>
      <c r="C31" s="124"/>
      <c r="D31" s="128">
        <f t="shared" si="1"/>
        <v>0</v>
      </c>
      <c r="E31" s="126"/>
      <c r="F31" s="118">
        <f t="shared" si="0"/>
        <v>0</v>
      </c>
      <c r="H31" s="34"/>
      <c r="I31" s="35"/>
      <c r="J31" s="36"/>
      <c r="K31" s="37"/>
      <c r="L31" s="35"/>
      <c r="M31" s="36"/>
      <c r="N31" s="37"/>
      <c r="O31" s="35"/>
      <c r="P31" s="36"/>
      <c r="Q31" s="38"/>
    </row>
    <row r="32" spans="2:17" ht="36" hidden="1" customHeight="1">
      <c r="B32" s="84"/>
      <c r="C32" s="124"/>
      <c r="D32" s="128">
        <f t="shared" si="1"/>
        <v>0</v>
      </c>
      <c r="E32" s="126"/>
      <c r="F32" s="118">
        <f t="shared" si="0"/>
        <v>0</v>
      </c>
      <c r="H32" s="34"/>
      <c r="I32" s="35"/>
      <c r="J32" s="36"/>
      <c r="K32" s="37"/>
      <c r="L32" s="35"/>
      <c r="M32" s="36"/>
      <c r="N32" s="37"/>
      <c r="O32" s="35"/>
      <c r="P32" s="36"/>
      <c r="Q32" s="38"/>
    </row>
    <row r="33" spans="2:17" ht="36" hidden="1" customHeight="1">
      <c r="B33" s="84"/>
      <c r="C33" s="124"/>
      <c r="D33" s="128">
        <f t="shared" si="1"/>
        <v>0</v>
      </c>
      <c r="E33" s="126"/>
      <c r="F33" s="118">
        <f t="shared" si="0"/>
        <v>0</v>
      </c>
      <c r="H33" s="34"/>
      <c r="I33" s="35"/>
      <c r="J33" s="36"/>
      <c r="K33" s="37"/>
      <c r="L33" s="35"/>
      <c r="M33" s="36"/>
      <c r="N33" s="37"/>
      <c r="O33" s="35"/>
      <c r="P33" s="36"/>
      <c r="Q33" s="38"/>
    </row>
    <row r="34" spans="2:17" ht="36" hidden="1" customHeight="1">
      <c r="B34" s="84"/>
      <c r="C34" s="124"/>
      <c r="D34" s="128">
        <f t="shared" si="1"/>
        <v>0</v>
      </c>
      <c r="E34" s="126"/>
      <c r="F34" s="118">
        <f t="shared" si="0"/>
        <v>0</v>
      </c>
      <c r="H34" s="34"/>
      <c r="I34" s="35"/>
      <c r="J34" s="36"/>
      <c r="K34" s="37"/>
      <c r="L34" s="35"/>
      <c r="M34" s="36"/>
      <c r="N34" s="37"/>
      <c r="O34" s="35"/>
      <c r="P34" s="36"/>
      <c r="Q34" s="38"/>
    </row>
    <row r="35" spans="2:17" ht="36" hidden="1" customHeight="1">
      <c r="B35" s="84"/>
      <c r="C35" s="124"/>
      <c r="D35" s="128">
        <f t="shared" si="1"/>
        <v>0</v>
      </c>
      <c r="E35" s="126"/>
      <c r="F35" s="118">
        <f t="shared" si="0"/>
        <v>0</v>
      </c>
      <c r="H35" s="34"/>
      <c r="I35" s="35"/>
      <c r="J35" s="36"/>
      <c r="K35" s="37"/>
      <c r="L35" s="35"/>
      <c r="M35" s="36"/>
      <c r="N35" s="37"/>
      <c r="O35" s="35"/>
      <c r="P35" s="36"/>
      <c r="Q35" s="38"/>
    </row>
    <row r="36" spans="2:17" ht="36" hidden="1" customHeight="1">
      <c r="B36" s="84"/>
      <c r="C36" s="124"/>
      <c r="D36" s="128">
        <f t="shared" si="1"/>
        <v>0</v>
      </c>
      <c r="E36" s="126"/>
      <c r="F36" s="118">
        <f t="shared" si="0"/>
        <v>0</v>
      </c>
      <c r="H36" s="34"/>
      <c r="I36" s="35"/>
      <c r="J36" s="36"/>
      <c r="K36" s="37"/>
      <c r="L36" s="35"/>
      <c r="M36" s="36"/>
      <c r="N36" s="37"/>
      <c r="O36" s="35"/>
      <c r="P36" s="36"/>
      <c r="Q36" s="38"/>
    </row>
    <row r="37" spans="2:17" ht="36" hidden="1" customHeight="1">
      <c r="B37" s="84"/>
      <c r="C37" s="124"/>
      <c r="D37" s="128">
        <f t="shared" si="1"/>
        <v>0</v>
      </c>
      <c r="E37" s="126"/>
      <c r="F37" s="118">
        <f t="shared" si="0"/>
        <v>0</v>
      </c>
      <c r="H37" s="34"/>
      <c r="I37" s="35"/>
      <c r="J37" s="36"/>
      <c r="K37" s="37"/>
      <c r="L37" s="35"/>
      <c r="M37" s="36"/>
      <c r="N37" s="37"/>
      <c r="O37" s="35"/>
      <c r="P37" s="36"/>
      <c r="Q37" s="38"/>
    </row>
    <row r="38" spans="2:17" ht="36" hidden="1" customHeight="1">
      <c r="B38" s="84"/>
      <c r="C38" s="124"/>
      <c r="D38" s="128">
        <f t="shared" si="1"/>
        <v>0</v>
      </c>
      <c r="E38" s="126"/>
      <c r="F38" s="118">
        <f t="shared" si="0"/>
        <v>0</v>
      </c>
      <c r="H38" s="34"/>
      <c r="I38" s="35"/>
      <c r="J38" s="36"/>
      <c r="K38" s="37"/>
      <c r="L38" s="35"/>
      <c r="M38" s="36"/>
      <c r="N38" s="37"/>
      <c r="O38" s="35"/>
      <c r="P38" s="36"/>
      <c r="Q38" s="38"/>
    </row>
    <row r="39" spans="2:17" ht="36" hidden="1" customHeight="1">
      <c r="B39" s="84"/>
      <c r="C39" s="124"/>
      <c r="D39" s="128">
        <f t="shared" si="1"/>
        <v>0</v>
      </c>
      <c r="E39" s="126"/>
      <c r="F39" s="118">
        <f t="shared" si="0"/>
        <v>0</v>
      </c>
      <c r="H39" s="34"/>
      <c r="I39" s="35"/>
      <c r="J39" s="36"/>
      <c r="K39" s="37"/>
      <c r="L39" s="35"/>
      <c r="M39" s="36"/>
      <c r="N39" s="37"/>
      <c r="O39" s="35"/>
      <c r="P39" s="36"/>
      <c r="Q39" s="38"/>
    </row>
    <row r="40" spans="2:17" ht="36" hidden="1" customHeight="1">
      <c r="B40" s="84"/>
      <c r="C40" s="124"/>
      <c r="D40" s="128">
        <f t="shared" si="1"/>
        <v>0</v>
      </c>
      <c r="E40" s="126"/>
      <c r="F40" s="118">
        <f t="shared" si="0"/>
        <v>0</v>
      </c>
      <c r="H40" s="34"/>
      <c r="I40" s="35"/>
      <c r="J40" s="36"/>
      <c r="K40" s="37"/>
      <c r="L40" s="35"/>
      <c r="M40" s="36"/>
      <c r="N40" s="37"/>
      <c r="O40" s="35"/>
      <c r="P40" s="36"/>
      <c r="Q40" s="38"/>
    </row>
    <row r="41" spans="2:17" ht="36" hidden="1" customHeight="1">
      <c r="B41" s="84"/>
      <c r="C41" s="124"/>
      <c r="D41" s="128">
        <f t="shared" si="1"/>
        <v>0</v>
      </c>
      <c r="E41" s="126"/>
      <c r="F41" s="118">
        <f t="shared" si="0"/>
        <v>0</v>
      </c>
      <c r="H41" s="34"/>
      <c r="I41" s="35"/>
      <c r="J41" s="36"/>
      <c r="K41" s="37"/>
      <c r="L41" s="35"/>
      <c r="M41" s="36"/>
      <c r="N41" s="37"/>
      <c r="O41" s="35"/>
      <c r="P41" s="36"/>
      <c r="Q41" s="38"/>
    </row>
    <row r="42" spans="2:17" ht="36" hidden="1" customHeight="1">
      <c r="B42" s="84"/>
      <c r="C42" s="124"/>
      <c r="D42" s="128">
        <f t="shared" si="1"/>
        <v>0</v>
      </c>
      <c r="E42" s="126"/>
      <c r="F42" s="118">
        <f t="shared" si="0"/>
        <v>0</v>
      </c>
      <c r="H42" s="34"/>
      <c r="I42" s="35"/>
      <c r="J42" s="36"/>
      <c r="K42" s="37"/>
      <c r="L42" s="35"/>
      <c r="M42" s="36"/>
      <c r="N42" s="37"/>
      <c r="O42" s="35"/>
      <c r="P42" s="36"/>
      <c r="Q42" s="38"/>
    </row>
    <row r="43" spans="2:17" ht="36" hidden="1" customHeight="1">
      <c r="B43" s="84"/>
      <c r="C43" s="124"/>
      <c r="D43" s="128">
        <f t="shared" si="1"/>
        <v>0</v>
      </c>
      <c r="E43" s="126"/>
      <c r="F43" s="118">
        <f t="shared" si="0"/>
        <v>0</v>
      </c>
      <c r="H43" s="34"/>
      <c r="I43" s="35"/>
      <c r="J43" s="36"/>
      <c r="K43" s="37"/>
      <c r="L43" s="35"/>
      <c r="M43" s="36"/>
      <c r="N43" s="37"/>
      <c r="O43" s="35"/>
      <c r="P43" s="36"/>
      <c r="Q43" s="38"/>
    </row>
    <row r="44" spans="2:17" ht="36" hidden="1" customHeight="1">
      <c r="B44" s="84"/>
      <c r="C44" s="124"/>
      <c r="D44" s="128">
        <f t="shared" si="1"/>
        <v>0</v>
      </c>
      <c r="E44" s="126"/>
      <c r="F44" s="118">
        <f t="shared" si="0"/>
        <v>0</v>
      </c>
      <c r="H44" s="34"/>
      <c r="I44" s="35"/>
      <c r="J44" s="36"/>
      <c r="K44" s="37"/>
      <c r="L44" s="35"/>
      <c r="M44" s="36"/>
      <c r="N44" s="37"/>
      <c r="O44" s="35"/>
      <c r="P44" s="36"/>
      <c r="Q44" s="38"/>
    </row>
    <row r="45" spans="2:17" ht="36" hidden="1" customHeight="1">
      <c r="B45" s="84"/>
      <c r="C45" s="124"/>
      <c r="D45" s="128">
        <f t="shared" si="1"/>
        <v>0</v>
      </c>
      <c r="E45" s="126"/>
      <c r="F45" s="118">
        <f t="shared" si="0"/>
        <v>0</v>
      </c>
      <c r="H45" s="34"/>
      <c r="I45" s="35"/>
      <c r="J45" s="36"/>
      <c r="K45" s="37"/>
      <c r="L45" s="35"/>
      <c r="M45" s="36"/>
      <c r="N45" s="37"/>
      <c r="O45" s="35"/>
      <c r="P45" s="36"/>
      <c r="Q45" s="38"/>
    </row>
    <row r="46" spans="2:17" ht="36" hidden="1" customHeight="1">
      <c r="B46" s="84"/>
      <c r="C46" s="124"/>
      <c r="D46" s="128">
        <f t="shared" si="1"/>
        <v>0</v>
      </c>
      <c r="E46" s="126"/>
      <c r="F46" s="118">
        <f t="shared" si="0"/>
        <v>0</v>
      </c>
      <c r="H46" s="34"/>
      <c r="I46" s="35"/>
      <c r="J46" s="36"/>
      <c r="K46" s="37"/>
      <c r="L46" s="35"/>
      <c r="M46" s="36"/>
      <c r="N46" s="37"/>
      <c r="O46" s="35"/>
      <c r="P46" s="36"/>
      <c r="Q46" s="38"/>
    </row>
    <row r="47" spans="2:17" ht="36" hidden="1" customHeight="1">
      <c r="B47" s="84"/>
      <c r="C47" s="124"/>
      <c r="D47" s="128">
        <f t="shared" si="1"/>
        <v>0</v>
      </c>
      <c r="E47" s="126"/>
      <c r="F47" s="118">
        <f t="shared" si="0"/>
        <v>0</v>
      </c>
      <c r="H47" s="34"/>
      <c r="I47" s="35"/>
      <c r="J47" s="36"/>
      <c r="K47" s="37"/>
      <c r="L47" s="35"/>
      <c r="M47" s="36"/>
      <c r="N47" s="37"/>
      <c r="O47" s="35"/>
      <c r="P47" s="36"/>
      <c r="Q47" s="38"/>
    </row>
    <row r="48" spans="2:17" ht="36" hidden="1" customHeight="1">
      <c r="B48" s="84"/>
      <c r="C48" s="124"/>
      <c r="D48" s="128">
        <f t="shared" si="1"/>
        <v>0</v>
      </c>
      <c r="E48" s="126"/>
      <c r="F48" s="118">
        <f t="shared" si="0"/>
        <v>0</v>
      </c>
      <c r="H48" s="34"/>
      <c r="I48" s="35"/>
      <c r="J48" s="36"/>
      <c r="K48" s="37"/>
      <c r="L48" s="35"/>
      <c r="M48" s="36"/>
      <c r="N48" s="37"/>
      <c r="O48" s="35"/>
      <c r="P48" s="36"/>
      <c r="Q48" s="38"/>
    </row>
    <row r="49" spans="2:17" ht="36" hidden="1" customHeight="1">
      <c r="B49" s="84"/>
      <c r="C49" s="124"/>
      <c r="D49" s="128">
        <f t="shared" si="1"/>
        <v>0</v>
      </c>
      <c r="E49" s="126"/>
      <c r="F49" s="118">
        <f t="shared" si="0"/>
        <v>0</v>
      </c>
      <c r="H49" s="34"/>
      <c r="I49" s="35"/>
      <c r="J49" s="36"/>
      <c r="K49" s="37"/>
      <c r="L49" s="35"/>
      <c r="M49" s="36"/>
      <c r="N49" s="37"/>
      <c r="O49" s="35"/>
      <c r="P49" s="36"/>
      <c r="Q49" s="38"/>
    </row>
    <row r="50" spans="2:17" ht="36" hidden="1" customHeight="1">
      <c r="B50" s="84"/>
      <c r="C50" s="124"/>
      <c r="D50" s="128">
        <f t="shared" si="1"/>
        <v>0</v>
      </c>
      <c r="E50" s="126"/>
      <c r="F50" s="118">
        <f t="shared" si="0"/>
        <v>0</v>
      </c>
      <c r="H50" s="34"/>
      <c r="I50" s="35"/>
      <c r="J50" s="36"/>
      <c r="K50" s="37"/>
      <c r="L50" s="35"/>
      <c r="M50" s="36"/>
      <c r="N50" s="37"/>
      <c r="O50" s="35"/>
      <c r="P50" s="36"/>
      <c r="Q50" s="38"/>
    </row>
    <row r="51" spans="2:17" ht="36" hidden="1" customHeight="1">
      <c r="B51" s="84"/>
      <c r="C51" s="124"/>
      <c r="D51" s="128">
        <f t="shared" si="1"/>
        <v>0</v>
      </c>
      <c r="E51" s="126"/>
      <c r="F51" s="118">
        <f t="shared" si="0"/>
        <v>0</v>
      </c>
      <c r="H51" s="34"/>
      <c r="I51" s="35"/>
      <c r="J51" s="36"/>
      <c r="K51" s="37"/>
      <c r="L51" s="35"/>
      <c r="M51" s="36"/>
      <c r="N51" s="37"/>
      <c r="O51" s="35"/>
      <c r="P51" s="36"/>
      <c r="Q51" s="38"/>
    </row>
    <row r="52" spans="2:17" ht="36" hidden="1" customHeight="1">
      <c r="B52" s="84"/>
      <c r="C52" s="124"/>
      <c r="D52" s="128">
        <f t="shared" si="1"/>
        <v>0</v>
      </c>
      <c r="E52" s="126"/>
      <c r="F52" s="118">
        <f t="shared" si="0"/>
        <v>0</v>
      </c>
      <c r="H52" s="34"/>
      <c r="I52" s="35"/>
      <c r="J52" s="36"/>
      <c r="K52" s="37"/>
      <c r="L52" s="35"/>
      <c r="M52" s="36"/>
      <c r="N52" s="37"/>
      <c r="O52" s="35"/>
      <c r="P52" s="36"/>
      <c r="Q52" s="38"/>
    </row>
    <row r="53" spans="2:17" ht="36" hidden="1" customHeight="1">
      <c r="B53" s="84"/>
      <c r="C53" s="124"/>
      <c r="D53" s="128">
        <f t="shared" si="1"/>
        <v>0</v>
      </c>
      <c r="E53" s="126"/>
      <c r="F53" s="118">
        <f t="shared" si="0"/>
        <v>0</v>
      </c>
      <c r="H53" s="34"/>
      <c r="I53" s="35"/>
      <c r="J53" s="36"/>
      <c r="K53" s="37"/>
      <c r="L53" s="35"/>
      <c r="M53" s="36"/>
      <c r="N53" s="37"/>
      <c r="O53" s="35"/>
      <c r="P53" s="36"/>
      <c r="Q53" s="38"/>
    </row>
    <row r="54" spans="2:17" ht="36" hidden="1" customHeight="1">
      <c r="B54" s="84"/>
      <c r="C54" s="124"/>
      <c r="D54" s="128">
        <f t="shared" si="1"/>
        <v>0</v>
      </c>
      <c r="E54" s="126"/>
      <c r="F54" s="118">
        <f t="shared" si="0"/>
        <v>0</v>
      </c>
      <c r="H54" s="34"/>
      <c r="I54" s="35"/>
      <c r="J54" s="36"/>
      <c r="K54" s="37"/>
      <c r="L54" s="35"/>
      <c r="M54" s="36"/>
      <c r="N54" s="37"/>
      <c r="O54" s="35"/>
      <c r="P54" s="36"/>
      <c r="Q54" s="38"/>
    </row>
    <row r="55" spans="2:17" ht="36" hidden="1" customHeight="1">
      <c r="B55" s="84"/>
      <c r="C55" s="124"/>
      <c r="D55" s="128">
        <f t="shared" si="1"/>
        <v>0</v>
      </c>
      <c r="E55" s="126"/>
      <c r="F55" s="118">
        <f t="shared" si="0"/>
        <v>0</v>
      </c>
      <c r="H55" s="34"/>
      <c r="I55" s="35"/>
      <c r="J55" s="36"/>
      <c r="K55" s="37"/>
      <c r="L55" s="35"/>
      <c r="M55" s="36"/>
      <c r="N55" s="37"/>
      <c r="O55" s="35"/>
      <c r="P55" s="36"/>
      <c r="Q55" s="38"/>
    </row>
    <row r="56" spans="2:17" ht="36" hidden="1" customHeight="1">
      <c r="B56" s="84"/>
      <c r="C56" s="124"/>
      <c r="D56" s="128">
        <f t="shared" si="1"/>
        <v>0</v>
      </c>
      <c r="E56" s="126"/>
      <c r="F56" s="118">
        <f t="shared" si="0"/>
        <v>0</v>
      </c>
      <c r="H56" s="34"/>
      <c r="I56" s="35"/>
      <c r="J56" s="36"/>
      <c r="K56" s="37"/>
      <c r="L56" s="35"/>
      <c r="M56" s="36"/>
      <c r="N56" s="37"/>
      <c r="O56" s="35"/>
      <c r="P56" s="36"/>
      <c r="Q56" s="38"/>
    </row>
    <row r="57" spans="2:17" ht="36" hidden="1" customHeight="1">
      <c r="B57" s="84"/>
      <c r="C57" s="124"/>
      <c r="D57" s="128">
        <f t="shared" si="1"/>
        <v>0</v>
      </c>
      <c r="E57" s="126"/>
      <c r="F57" s="118">
        <f t="shared" si="0"/>
        <v>0</v>
      </c>
      <c r="H57" s="34"/>
      <c r="I57" s="35"/>
      <c r="J57" s="36"/>
      <c r="K57" s="37"/>
      <c r="L57" s="35"/>
      <c r="M57" s="36"/>
      <c r="N57" s="37"/>
      <c r="O57" s="35"/>
      <c r="P57" s="36"/>
      <c r="Q57" s="38"/>
    </row>
    <row r="58" spans="2:17" ht="36" hidden="1" customHeight="1">
      <c r="B58" s="84"/>
      <c r="C58" s="124"/>
      <c r="D58" s="128">
        <f t="shared" si="1"/>
        <v>0</v>
      </c>
      <c r="E58" s="126"/>
      <c r="F58" s="118">
        <f t="shared" si="0"/>
        <v>0</v>
      </c>
      <c r="H58" s="34"/>
      <c r="I58" s="35"/>
      <c r="J58" s="36"/>
      <c r="K58" s="37"/>
      <c r="L58" s="35"/>
      <c r="M58" s="36"/>
      <c r="N58" s="37"/>
      <c r="O58" s="35"/>
      <c r="P58" s="36"/>
      <c r="Q58" s="38"/>
    </row>
    <row r="59" spans="2:17" ht="36" hidden="1" customHeight="1">
      <c r="B59" s="84"/>
      <c r="C59" s="124"/>
      <c r="D59" s="128">
        <f t="shared" si="1"/>
        <v>0</v>
      </c>
      <c r="E59" s="126"/>
      <c r="F59" s="118">
        <f t="shared" si="0"/>
        <v>0</v>
      </c>
      <c r="H59" s="34"/>
      <c r="I59" s="35"/>
      <c r="J59" s="36"/>
      <c r="K59" s="37"/>
      <c r="L59" s="35"/>
      <c r="M59" s="36"/>
      <c r="N59" s="37"/>
      <c r="O59" s="35"/>
      <c r="P59" s="36"/>
      <c r="Q59" s="38"/>
    </row>
    <row r="60" spans="2:17" ht="36" hidden="1" customHeight="1">
      <c r="B60" s="84"/>
      <c r="C60" s="124"/>
      <c r="D60" s="128">
        <f t="shared" si="1"/>
        <v>0</v>
      </c>
      <c r="E60" s="126"/>
      <c r="F60" s="118">
        <f t="shared" si="0"/>
        <v>0</v>
      </c>
      <c r="H60" s="34"/>
      <c r="I60" s="35"/>
      <c r="J60" s="36"/>
      <c r="K60" s="37"/>
      <c r="L60" s="35"/>
      <c r="M60" s="36"/>
      <c r="N60" s="37"/>
      <c r="O60" s="35"/>
      <c r="P60" s="36"/>
      <c r="Q60" s="38"/>
    </row>
    <row r="61" spans="2:17" ht="36" hidden="1" customHeight="1">
      <c r="B61" s="84"/>
      <c r="C61" s="124"/>
      <c r="D61" s="128">
        <f t="shared" si="1"/>
        <v>0</v>
      </c>
      <c r="E61" s="126"/>
      <c r="F61" s="118">
        <f t="shared" si="0"/>
        <v>0</v>
      </c>
      <c r="H61" s="34"/>
      <c r="I61" s="35"/>
      <c r="J61" s="36"/>
      <c r="K61" s="37"/>
      <c r="L61" s="35"/>
      <c r="M61" s="36"/>
      <c r="N61" s="37"/>
      <c r="O61" s="35"/>
      <c r="P61" s="36"/>
      <c r="Q61" s="38"/>
    </row>
    <row r="62" spans="2:17" ht="36" hidden="1" customHeight="1">
      <c r="B62" s="84"/>
      <c r="C62" s="124"/>
      <c r="D62" s="128">
        <f t="shared" si="1"/>
        <v>0</v>
      </c>
      <c r="E62" s="126"/>
      <c r="F62" s="118">
        <f t="shared" si="0"/>
        <v>0</v>
      </c>
      <c r="H62" s="34"/>
      <c r="I62" s="35"/>
      <c r="J62" s="36"/>
      <c r="K62" s="37"/>
      <c r="L62" s="35"/>
      <c r="M62" s="36"/>
      <c r="N62" s="37"/>
      <c r="O62" s="35"/>
      <c r="P62" s="36"/>
      <c r="Q62" s="38"/>
    </row>
    <row r="63" spans="2:17" ht="36" hidden="1" customHeight="1">
      <c r="B63" s="84"/>
      <c r="C63" s="124"/>
      <c r="D63" s="128">
        <f t="shared" si="1"/>
        <v>0</v>
      </c>
      <c r="E63" s="126"/>
      <c r="F63" s="118">
        <f t="shared" si="0"/>
        <v>0</v>
      </c>
      <c r="H63" s="34"/>
      <c r="I63" s="35"/>
      <c r="J63" s="36"/>
      <c r="K63" s="37"/>
      <c r="L63" s="35"/>
      <c r="M63" s="36"/>
      <c r="N63" s="37"/>
      <c r="O63" s="35"/>
      <c r="P63" s="36"/>
      <c r="Q63" s="38"/>
    </row>
    <row r="64" spans="2:17" ht="36" hidden="1" customHeight="1">
      <c r="B64" s="84"/>
      <c r="C64" s="124"/>
      <c r="D64" s="128">
        <f t="shared" si="1"/>
        <v>0</v>
      </c>
      <c r="E64" s="126"/>
      <c r="F64" s="118">
        <f t="shared" si="0"/>
        <v>0</v>
      </c>
      <c r="H64" s="34"/>
      <c r="I64" s="35"/>
      <c r="J64" s="36"/>
      <c r="K64" s="37"/>
      <c r="L64" s="35"/>
      <c r="M64" s="36"/>
      <c r="N64" s="37"/>
      <c r="O64" s="35"/>
      <c r="P64" s="36"/>
      <c r="Q64" s="38"/>
    </row>
    <row r="65" spans="2:17" ht="36" hidden="1" customHeight="1">
      <c r="B65" s="84"/>
      <c r="C65" s="124"/>
      <c r="D65" s="128">
        <f t="shared" si="1"/>
        <v>0</v>
      </c>
      <c r="E65" s="126"/>
      <c r="F65" s="118">
        <f t="shared" si="0"/>
        <v>0</v>
      </c>
      <c r="H65" s="34"/>
      <c r="I65" s="35"/>
      <c r="J65" s="36"/>
      <c r="K65" s="37"/>
      <c r="L65" s="35"/>
      <c r="M65" s="36"/>
      <c r="N65" s="37"/>
      <c r="O65" s="35"/>
      <c r="P65" s="36"/>
      <c r="Q65" s="38"/>
    </row>
    <row r="66" spans="2:17" ht="36" hidden="1" customHeight="1">
      <c r="B66" s="84"/>
      <c r="C66" s="124"/>
      <c r="D66" s="128">
        <f t="shared" si="1"/>
        <v>0</v>
      </c>
      <c r="E66" s="126"/>
      <c r="F66" s="118">
        <f t="shared" si="0"/>
        <v>0</v>
      </c>
      <c r="H66" s="34"/>
      <c r="I66" s="35"/>
      <c r="J66" s="36"/>
      <c r="K66" s="37"/>
      <c r="L66" s="35"/>
      <c r="M66" s="36"/>
      <c r="N66" s="37"/>
      <c r="O66" s="35"/>
      <c r="P66" s="36"/>
      <c r="Q66" s="38"/>
    </row>
    <row r="67" spans="2:17" ht="36" hidden="1" customHeight="1">
      <c r="B67" s="84"/>
      <c r="C67" s="124"/>
      <c r="D67" s="128">
        <f t="shared" si="1"/>
        <v>0</v>
      </c>
      <c r="E67" s="126"/>
      <c r="F67" s="118">
        <f t="shared" si="0"/>
        <v>0</v>
      </c>
      <c r="H67" s="34"/>
      <c r="I67" s="35"/>
      <c r="J67" s="36"/>
      <c r="K67" s="37"/>
      <c r="L67" s="35"/>
      <c r="M67" s="36"/>
      <c r="N67" s="37"/>
      <c r="O67" s="35"/>
      <c r="P67" s="36"/>
      <c r="Q67" s="38"/>
    </row>
    <row r="68" spans="2:17" ht="36" hidden="1" customHeight="1">
      <c r="B68" s="84"/>
      <c r="C68" s="124"/>
      <c r="D68" s="128">
        <f t="shared" si="1"/>
        <v>0</v>
      </c>
      <c r="E68" s="126"/>
      <c r="F68" s="118">
        <f t="shared" si="0"/>
        <v>0</v>
      </c>
      <c r="H68" s="34"/>
      <c r="I68" s="35"/>
      <c r="J68" s="36"/>
      <c r="K68" s="37"/>
      <c r="L68" s="35"/>
      <c r="M68" s="36"/>
      <c r="N68" s="37"/>
      <c r="O68" s="35"/>
      <c r="P68" s="36"/>
      <c r="Q68" s="38"/>
    </row>
    <row r="69" spans="2:17" ht="36" hidden="1" customHeight="1">
      <c r="B69" s="84"/>
      <c r="C69" s="124"/>
      <c r="D69" s="128">
        <f t="shared" si="1"/>
        <v>0</v>
      </c>
      <c r="E69" s="126"/>
      <c r="F69" s="118">
        <f t="shared" si="0"/>
        <v>0</v>
      </c>
      <c r="H69" s="34"/>
      <c r="I69" s="35"/>
      <c r="J69" s="36"/>
      <c r="K69" s="37"/>
      <c r="L69" s="35"/>
      <c r="M69" s="36"/>
      <c r="N69" s="37"/>
      <c r="O69" s="35"/>
      <c r="P69" s="36"/>
      <c r="Q69" s="38"/>
    </row>
    <row r="70" spans="2:17" ht="36" hidden="1" customHeight="1">
      <c r="B70" s="84"/>
      <c r="C70" s="124"/>
      <c r="D70" s="128">
        <f t="shared" si="1"/>
        <v>0</v>
      </c>
      <c r="E70" s="126"/>
      <c r="F70" s="118">
        <f t="shared" si="0"/>
        <v>0</v>
      </c>
      <c r="H70" s="34"/>
      <c r="I70" s="35"/>
      <c r="J70" s="36"/>
      <c r="K70" s="37"/>
      <c r="L70" s="35"/>
      <c r="M70" s="36"/>
      <c r="N70" s="37"/>
      <c r="O70" s="35"/>
      <c r="P70" s="36"/>
      <c r="Q70" s="38"/>
    </row>
    <row r="71" spans="2:17" ht="36" hidden="1" customHeight="1">
      <c r="B71" s="84"/>
      <c r="C71" s="124"/>
      <c r="D71" s="128">
        <f t="shared" si="1"/>
        <v>0</v>
      </c>
      <c r="E71" s="126"/>
      <c r="F71" s="118">
        <f t="shared" si="0"/>
        <v>0</v>
      </c>
      <c r="H71" s="34"/>
      <c r="I71" s="35"/>
      <c r="J71" s="36"/>
      <c r="K71" s="37"/>
      <c r="L71" s="35"/>
      <c r="M71" s="36"/>
      <c r="N71" s="37"/>
      <c r="O71" s="35"/>
      <c r="P71" s="36"/>
      <c r="Q71" s="38"/>
    </row>
    <row r="72" spans="2:17" ht="36" hidden="1" customHeight="1">
      <c r="B72" s="84"/>
      <c r="C72" s="124"/>
      <c r="D72" s="128">
        <f t="shared" si="1"/>
        <v>0</v>
      </c>
      <c r="E72" s="126"/>
      <c r="F72" s="118">
        <f t="shared" si="0"/>
        <v>0</v>
      </c>
      <c r="H72" s="34"/>
      <c r="I72" s="35"/>
      <c r="J72" s="36"/>
      <c r="K72" s="37"/>
      <c r="L72" s="35"/>
      <c r="M72" s="36"/>
      <c r="N72" s="37"/>
      <c r="O72" s="35"/>
      <c r="P72" s="36"/>
      <c r="Q72" s="38"/>
    </row>
    <row r="73" spans="2:17" ht="36" hidden="1" customHeight="1">
      <c r="B73" s="84"/>
      <c r="C73" s="124"/>
      <c r="D73" s="128">
        <f t="shared" si="1"/>
        <v>0</v>
      </c>
      <c r="E73" s="126"/>
      <c r="F73" s="118">
        <f t="shared" si="0"/>
        <v>0</v>
      </c>
      <c r="H73" s="34"/>
      <c r="I73" s="35"/>
      <c r="J73" s="36"/>
      <c r="K73" s="37"/>
      <c r="L73" s="35"/>
      <c r="M73" s="36"/>
      <c r="N73" s="37"/>
      <c r="O73" s="35"/>
      <c r="P73" s="36"/>
      <c r="Q73" s="38"/>
    </row>
    <row r="74" spans="2:17" ht="36" hidden="1" customHeight="1">
      <c r="B74" s="84"/>
      <c r="C74" s="124"/>
      <c r="D74" s="128">
        <f t="shared" si="1"/>
        <v>0</v>
      </c>
      <c r="E74" s="126"/>
      <c r="F74" s="118">
        <f t="shared" si="0"/>
        <v>0</v>
      </c>
      <c r="H74" s="34"/>
      <c r="I74" s="35"/>
      <c r="J74" s="36"/>
      <c r="K74" s="37"/>
      <c r="L74" s="35"/>
      <c r="M74" s="36"/>
      <c r="N74" s="37"/>
      <c r="O74" s="35"/>
      <c r="P74" s="36"/>
      <c r="Q74" s="38"/>
    </row>
    <row r="75" spans="2:17" ht="36" hidden="1" customHeight="1">
      <c r="B75" s="84"/>
      <c r="C75" s="124"/>
      <c r="D75" s="128">
        <f t="shared" si="1"/>
        <v>0</v>
      </c>
      <c r="E75" s="126"/>
      <c r="F75" s="118">
        <f t="shared" si="0"/>
        <v>0</v>
      </c>
      <c r="H75" s="34"/>
      <c r="I75" s="35"/>
      <c r="J75" s="36"/>
      <c r="K75" s="37"/>
      <c r="L75" s="35"/>
      <c r="M75" s="36"/>
      <c r="N75" s="37"/>
      <c r="O75" s="35"/>
      <c r="P75" s="36"/>
      <c r="Q75" s="38"/>
    </row>
    <row r="76" spans="2:17" ht="36" hidden="1" customHeight="1">
      <c r="B76" s="84"/>
      <c r="C76" s="124"/>
      <c r="D76" s="128">
        <f t="shared" si="1"/>
        <v>0</v>
      </c>
      <c r="E76" s="126"/>
      <c r="F76" s="118">
        <f t="shared" si="0"/>
        <v>0</v>
      </c>
      <c r="H76" s="34"/>
      <c r="I76" s="35"/>
      <c r="J76" s="36"/>
      <c r="K76" s="37"/>
      <c r="L76" s="35"/>
      <c r="M76" s="36"/>
      <c r="N76" s="37"/>
      <c r="O76" s="35"/>
      <c r="P76" s="36"/>
      <c r="Q76" s="38"/>
    </row>
    <row r="77" spans="2:17" ht="36" hidden="1" customHeight="1">
      <c r="B77" s="84"/>
      <c r="C77" s="124"/>
      <c r="D77" s="128">
        <f t="shared" si="1"/>
        <v>0</v>
      </c>
      <c r="E77" s="126"/>
      <c r="F77" s="118">
        <f t="shared" si="0"/>
        <v>0</v>
      </c>
      <c r="H77" s="34"/>
      <c r="I77" s="35"/>
      <c r="J77" s="36"/>
      <c r="K77" s="37"/>
      <c r="L77" s="35"/>
      <c r="M77" s="36"/>
      <c r="N77" s="37"/>
      <c r="O77" s="35"/>
      <c r="P77" s="36"/>
      <c r="Q77" s="38"/>
    </row>
    <row r="78" spans="2:17" ht="36" hidden="1" customHeight="1">
      <c r="B78" s="84"/>
      <c r="C78" s="124"/>
      <c r="D78" s="128">
        <f t="shared" si="1"/>
        <v>0</v>
      </c>
      <c r="E78" s="126"/>
      <c r="F78" s="118">
        <f t="shared" si="0"/>
        <v>0</v>
      </c>
      <c r="H78" s="34"/>
      <c r="I78" s="35"/>
      <c r="J78" s="36"/>
      <c r="K78" s="37"/>
      <c r="L78" s="35"/>
      <c r="M78" s="36"/>
      <c r="N78" s="37"/>
      <c r="O78" s="35"/>
      <c r="P78" s="36"/>
      <c r="Q78" s="38"/>
    </row>
    <row r="79" spans="2:17" ht="36" hidden="1" customHeight="1">
      <c r="B79" s="84"/>
      <c r="C79" s="124"/>
      <c r="D79" s="128">
        <f t="shared" si="1"/>
        <v>0</v>
      </c>
      <c r="E79" s="126"/>
      <c r="F79" s="118">
        <f t="shared" si="0"/>
        <v>0</v>
      </c>
      <c r="H79" s="34"/>
      <c r="I79" s="35"/>
      <c r="J79" s="36"/>
      <c r="K79" s="37"/>
      <c r="L79" s="35"/>
      <c r="M79" s="36"/>
      <c r="N79" s="37"/>
      <c r="O79" s="35"/>
      <c r="P79" s="36"/>
      <c r="Q79" s="38"/>
    </row>
    <row r="80" spans="2:17" ht="36" customHeight="1" thickBot="1">
      <c r="B80" s="86"/>
      <c r="C80" s="129"/>
      <c r="D80" s="130">
        <f t="shared" si="1"/>
        <v>0</v>
      </c>
      <c r="E80" s="131"/>
      <c r="F80" s="132">
        <f t="shared" si="0"/>
        <v>0</v>
      </c>
      <c r="H80" s="34"/>
      <c r="I80" s="35"/>
      <c r="J80" s="36"/>
      <c r="K80" s="37"/>
      <c r="L80" s="35"/>
      <c r="M80" s="36"/>
      <c r="N80" s="37"/>
      <c r="O80" s="35"/>
      <c r="P80" s="36"/>
      <c r="Q80" s="38"/>
    </row>
    <row r="81" spans="2:10" s="4" customFormat="1" ht="36" customHeight="1">
      <c r="B81" s="106"/>
      <c r="C81" s="106"/>
      <c r="D81" s="106">
        <f>SUM(D6:D80)</f>
        <v>0</v>
      </c>
      <c r="E81" s="133"/>
      <c r="F81" s="133"/>
      <c r="G81" s="1"/>
      <c r="H81" s="1"/>
      <c r="I81" s="1"/>
      <c r="J81" s="1"/>
    </row>
    <row r="82" spans="2:10" s="4" customFormat="1" ht="32.1" customHeight="1">
      <c r="B82" s="2"/>
      <c r="C82" s="2"/>
      <c r="D82" s="2"/>
      <c r="E82" s="1"/>
      <c r="F82" s="1"/>
      <c r="G82" s="1"/>
      <c r="H82" s="1"/>
      <c r="I82" s="1"/>
      <c r="J82" s="1"/>
    </row>
    <row r="83" spans="2:10" s="4" customFormat="1" ht="32.1" customHeight="1">
      <c r="B83" s="2"/>
      <c r="C83" s="2"/>
      <c r="D83" s="2"/>
      <c r="E83" s="1"/>
      <c r="F83" s="1"/>
      <c r="G83" s="1"/>
      <c r="H83" s="1"/>
      <c r="I83" s="1"/>
      <c r="J83" s="1"/>
    </row>
    <row r="84" spans="2:10" s="4" customFormat="1" ht="32.1" customHeight="1">
      <c r="B84" s="2"/>
      <c r="C84" s="2"/>
      <c r="D84" s="2"/>
      <c r="E84" s="1"/>
      <c r="F84" s="1"/>
      <c r="G84" s="1"/>
      <c r="H84" s="1"/>
      <c r="I84" s="1"/>
      <c r="J84" s="1"/>
    </row>
    <row r="85" spans="2:10" s="4" customFormat="1" ht="32.1" customHeight="1">
      <c r="B85" s="2"/>
      <c r="C85" s="2"/>
      <c r="D85" s="2"/>
      <c r="E85" s="1"/>
      <c r="F85" s="1"/>
      <c r="G85" s="1"/>
      <c r="H85" s="1"/>
      <c r="I85" s="1"/>
      <c r="J85" s="1"/>
    </row>
    <row r="86" spans="2:10" s="4" customFormat="1" ht="32.1" customHeight="1">
      <c r="B86" s="2"/>
      <c r="C86" s="2"/>
      <c r="D86" s="2"/>
      <c r="E86" s="1"/>
      <c r="F86" s="1"/>
      <c r="G86" s="1"/>
      <c r="H86" s="1"/>
      <c r="I86" s="1"/>
      <c r="J86" s="1"/>
    </row>
    <row r="87" spans="2:10" s="4" customFormat="1" ht="32.1" customHeight="1">
      <c r="B87" s="2"/>
      <c r="C87" s="2"/>
      <c r="D87" s="2"/>
      <c r="E87" s="1"/>
      <c r="F87" s="1"/>
      <c r="G87" s="1"/>
      <c r="H87" s="1"/>
      <c r="I87" s="1"/>
      <c r="J87" s="1"/>
    </row>
    <row r="88" spans="2:10" s="5" customFormat="1" ht="32.1" customHeight="1">
      <c r="B88" s="2"/>
      <c r="C88" s="2"/>
      <c r="D88" s="2"/>
      <c r="E88" s="1"/>
      <c r="F88" s="1"/>
      <c r="G88" s="1"/>
      <c r="H88" s="1"/>
      <c r="I88" s="1"/>
      <c r="J88" s="1"/>
    </row>
    <row r="89" spans="2:10" s="5" customFormat="1" ht="32.1" customHeight="1">
      <c r="B89" s="2"/>
      <c r="C89" s="2"/>
      <c r="D89" s="2"/>
      <c r="E89" s="1"/>
      <c r="F89" s="1"/>
      <c r="G89" s="1"/>
      <c r="H89" s="1"/>
      <c r="I89" s="1"/>
      <c r="J89" s="1"/>
    </row>
    <row r="90" spans="2:10" s="5" customFormat="1" ht="32.1" customHeight="1">
      <c r="B90" s="2"/>
      <c r="C90" s="2"/>
      <c r="D90" s="2"/>
      <c r="E90" s="1"/>
      <c r="F90" s="1"/>
      <c r="G90" s="1"/>
      <c r="H90" s="1"/>
      <c r="I90" s="1"/>
      <c r="J90" s="1"/>
    </row>
    <row r="91" spans="2:10" s="5" customFormat="1" ht="32.1" customHeight="1">
      <c r="B91" s="2"/>
      <c r="C91" s="2"/>
      <c r="D91" s="2"/>
      <c r="E91" s="1"/>
      <c r="F91" s="1"/>
      <c r="G91" s="1"/>
      <c r="H91" s="1"/>
      <c r="I91" s="1"/>
      <c r="J91" s="1"/>
    </row>
    <row r="92" spans="2:10" s="5" customFormat="1" ht="32.1" customHeight="1">
      <c r="B92" s="2"/>
      <c r="C92" s="2"/>
      <c r="D92" s="2"/>
      <c r="E92" s="1"/>
      <c r="F92" s="1"/>
      <c r="G92" s="1"/>
      <c r="H92" s="1"/>
      <c r="I92" s="1"/>
      <c r="J92" s="1"/>
    </row>
    <row r="93" spans="2:10" s="5" customFormat="1" ht="32.1" customHeight="1">
      <c r="B93" s="2"/>
      <c r="C93" s="2"/>
      <c r="D93" s="2"/>
      <c r="E93" s="1"/>
      <c r="F93" s="1"/>
      <c r="G93" s="1"/>
      <c r="H93" s="1"/>
      <c r="I93" s="1"/>
      <c r="J93" s="1"/>
    </row>
  </sheetData>
  <mergeCells count="3">
    <mergeCell ref="B5:C5"/>
    <mergeCell ref="B1:C1"/>
    <mergeCell ref="B3:C3"/>
  </mergeCells>
  <phoneticPr fontId="3"/>
  <dataValidations count="1">
    <dataValidation type="list" allowBlank="1" showInputMessage="1" showErrorMessage="1" sqref="I3" xr:uid="{9D13171F-E761-43EF-AAE7-48359DD311EF}">
      <formula1>"10,5"</formula1>
    </dataValidation>
  </dataValidations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6870-9D42-4DED-86E3-08AB782475C9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200" t="s">
        <v>41</v>
      </c>
      <c r="C1" s="182"/>
      <c r="D1" s="58"/>
      <c r="E1" s="57"/>
      <c r="F1" s="57"/>
    </row>
    <row r="2" spans="2:10" ht="18.75" hidden="1" customHeight="1" thickBot="1">
      <c r="B2" s="14"/>
      <c r="C2" s="14"/>
      <c r="D2" s="14">
        <v>30</v>
      </c>
      <c r="E2" s="1" t="s">
        <v>20</v>
      </c>
    </row>
    <row r="3" spans="2:10" ht="50.1" customHeight="1" thickBot="1">
      <c r="B3" s="201"/>
      <c r="C3" s="202"/>
      <c r="D3" s="61"/>
      <c r="E3" s="148" t="s">
        <v>2</v>
      </c>
      <c r="F3" s="49"/>
    </row>
    <row r="4" spans="2:10" s="4" customFormat="1" ht="36" customHeight="1" thickBot="1">
      <c r="B4" s="12"/>
      <c r="C4" s="65" t="s">
        <v>0</v>
      </c>
      <c r="D4" s="69" t="s">
        <v>4</v>
      </c>
      <c r="E4" s="67" t="s">
        <v>21</v>
      </c>
      <c r="F4" s="68" t="s">
        <v>42</v>
      </c>
      <c r="G4" s="1"/>
      <c r="H4" s="1"/>
      <c r="I4" s="1"/>
      <c r="J4" s="1"/>
    </row>
    <row r="5" spans="2:10" ht="36" customHeight="1" thickTop="1">
      <c r="B5" s="203" t="s">
        <v>1</v>
      </c>
      <c r="C5" s="199"/>
      <c r="D5" s="113"/>
      <c r="E5" s="114"/>
      <c r="F5" s="115"/>
    </row>
    <row r="6" spans="2:10" ht="36" customHeight="1">
      <c r="B6" s="76"/>
      <c r="C6" s="77" t="s">
        <v>22</v>
      </c>
      <c r="D6" s="116">
        <v>1</v>
      </c>
      <c r="E6" s="117">
        <f>IF(B6=0,0,1)</f>
        <v>0</v>
      </c>
      <c r="F6" s="118">
        <f>IF($B6=0,0,$D$3*$B6)</f>
        <v>0</v>
      </c>
    </row>
    <row r="7" spans="2:10" ht="36" customHeight="1">
      <c r="B7" s="119"/>
      <c r="C7" s="120" t="s">
        <v>23</v>
      </c>
      <c r="D7" s="116">
        <v>1</v>
      </c>
      <c r="E7" s="117">
        <f>IF(B7=0,0,3)</f>
        <v>0</v>
      </c>
      <c r="F7" s="118">
        <f>IF($B7=0,0,$D$3*$B7)</f>
        <v>0</v>
      </c>
    </row>
    <row r="8" spans="2:10" ht="36" customHeight="1">
      <c r="B8" s="119">
        <v>1</v>
      </c>
      <c r="C8" s="120" t="s">
        <v>48</v>
      </c>
      <c r="D8" s="116">
        <v>1</v>
      </c>
      <c r="E8" s="117"/>
      <c r="F8" s="118">
        <f>IF($E8=0,0,50)</f>
        <v>0</v>
      </c>
    </row>
    <row r="9" spans="2:10" ht="36" customHeight="1">
      <c r="B9" s="119">
        <v>1</v>
      </c>
      <c r="C9" s="120" t="s">
        <v>37</v>
      </c>
      <c r="D9" s="116">
        <v>1</v>
      </c>
      <c r="E9" s="117"/>
      <c r="F9" s="118">
        <f>IF($E9=0,0,$D$3*$B9)</f>
        <v>0</v>
      </c>
    </row>
    <row r="10" spans="2:10" ht="36" customHeight="1" thickBot="1">
      <c r="B10" s="134">
        <v>1</v>
      </c>
      <c r="C10" s="135" t="s">
        <v>38</v>
      </c>
      <c r="D10" s="136">
        <v>1</v>
      </c>
      <c r="E10" s="137"/>
      <c r="F10" s="138">
        <f>IF($E10=0,0,$D$3*$B10)</f>
        <v>0</v>
      </c>
    </row>
    <row r="11" spans="2:10" ht="36" customHeight="1" thickTop="1">
      <c r="B11" s="84"/>
      <c r="C11" s="139" t="s">
        <v>47</v>
      </c>
      <c r="D11" s="204">
        <f>D6 + E8 + E9 + SUM(D12:D59)</f>
        <v>1</v>
      </c>
      <c r="E11" s="126"/>
      <c r="F11" s="127"/>
    </row>
    <row r="12" spans="2:10" ht="36" customHeight="1">
      <c r="B12" s="84"/>
      <c r="C12" s="124"/>
      <c r="D12" s="128"/>
      <c r="E12" s="126">
        <f t="shared" ref="E12:E59" si="0">ROUNDUP((D12/$D$2), 0)</f>
        <v>0</v>
      </c>
      <c r="F12" s="118">
        <f t="shared" ref="F12:F59" si="1">IF($E12=0,0,$D$3*$D12/$E12)</f>
        <v>0</v>
      </c>
    </row>
    <row r="13" spans="2:10" ht="36" customHeight="1">
      <c r="B13" s="84"/>
      <c r="C13" s="124"/>
      <c r="D13" s="128"/>
      <c r="E13" s="126">
        <f t="shared" si="0"/>
        <v>0</v>
      </c>
      <c r="F13" s="118">
        <f t="shared" si="1"/>
        <v>0</v>
      </c>
    </row>
    <row r="14" spans="2:10" ht="36" customHeight="1">
      <c r="B14" s="84"/>
      <c r="C14" s="124"/>
      <c r="D14" s="128"/>
      <c r="E14" s="126">
        <f t="shared" si="0"/>
        <v>0</v>
      </c>
      <c r="F14" s="118">
        <f t="shared" si="1"/>
        <v>0</v>
      </c>
    </row>
    <row r="15" spans="2:10" ht="36" customHeight="1">
      <c r="B15" s="84"/>
      <c r="C15" s="124"/>
      <c r="D15" s="128"/>
      <c r="E15" s="126">
        <f t="shared" si="0"/>
        <v>0</v>
      </c>
      <c r="F15" s="118">
        <f t="shared" si="1"/>
        <v>0</v>
      </c>
    </row>
    <row r="16" spans="2:10" ht="36" customHeight="1">
      <c r="B16" s="84"/>
      <c r="C16" s="124"/>
      <c r="D16" s="128"/>
      <c r="E16" s="126">
        <f t="shared" si="0"/>
        <v>0</v>
      </c>
      <c r="F16" s="118">
        <f t="shared" si="1"/>
        <v>0</v>
      </c>
    </row>
    <row r="17" spans="2:6" ht="36" customHeight="1">
      <c r="B17" s="84"/>
      <c r="C17" s="124"/>
      <c r="D17" s="128"/>
      <c r="E17" s="126">
        <f t="shared" si="0"/>
        <v>0</v>
      </c>
      <c r="F17" s="118">
        <f t="shared" si="1"/>
        <v>0</v>
      </c>
    </row>
    <row r="18" spans="2:6" ht="36" customHeight="1">
      <c r="B18" s="84"/>
      <c r="C18" s="124"/>
      <c r="D18" s="128"/>
      <c r="E18" s="126">
        <f t="shared" si="0"/>
        <v>0</v>
      </c>
      <c r="F18" s="118">
        <f t="shared" si="1"/>
        <v>0</v>
      </c>
    </row>
    <row r="19" spans="2:6" ht="36" customHeight="1">
      <c r="B19" s="84"/>
      <c r="C19" s="124"/>
      <c r="D19" s="128"/>
      <c r="E19" s="126">
        <f t="shared" si="0"/>
        <v>0</v>
      </c>
      <c r="F19" s="118">
        <f t="shared" si="1"/>
        <v>0</v>
      </c>
    </row>
    <row r="20" spans="2:6" ht="36" customHeight="1">
      <c r="B20" s="84"/>
      <c r="C20" s="124"/>
      <c r="D20" s="128"/>
      <c r="E20" s="126">
        <f t="shared" si="0"/>
        <v>0</v>
      </c>
      <c r="F20" s="118">
        <f t="shared" si="1"/>
        <v>0</v>
      </c>
    </row>
    <row r="21" spans="2:6" ht="36" customHeight="1">
      <c r="B21" s="84"/>
      <c r="C21" s="124"/>
      <c r="D21" s="128"/>
      <c r="E21" s="126">
        <f t="shared" si="0"/>
        <v>0</v>
      </c>
      <c r="F21" s="118">
        <f t="shared" si="1"/>
        <v>0</v>
      </c>
    </row>
    <row r="22" spans="2:6" ht="36" customHeight="1">
      <c r="B22" s="84"/>
      <c r="C22" s="124"/>
      <c r="D22" s="128"/>
      <c r="E22" s="126">
        <f t="shared" si="0"/>
        <v>0</v>
      </c>
      <c r="F22" s="118">
        <f t="shared" si="1"/>
        <v>0</v>
      </c>
    </row>
    <row r="23" spans="2:6" ht="36" hidden="1" customHeight="1">
      <c r="B23" s="84"/>
      <c r="C23" s="124"/>
      <c r="D23" s="128"/>
      <c r="E23" s="126">
        <f t="shared" si="0"/>
        <v>0</v>
      </c>
      <c r="F23" s="118">
        <f t="shared" si="1"/>
        <v>0</v>
      </c>
    </row>
    <row r="24" spans="2:6" ht="36" hidden="1" customHeight="1">
      <c r="B24" s="84"/>
      <c r="C24" s="124"/>
      <c r="D24" s="128"/>
      <c r="E24" s="126">
        <f t="shared" si="0"/>
        <v>0</v>
      </c>
      <c r="F24" s="118">
        <f t="shared" si="1"/>
        <v>0</v>
      </c>
    </row>
    <row r="25" spans="2:6" ht="36" hidden="1" customHeight="1">
      <c r="B25" s="84"/>
      <c r="C25" s="124"/>
      <c r="D25" s="128"/>
      <c r="E25" s="126">
        <f t="shared" si="0"/>
        <v>0</v>
      </c>
      <c r="F25" s="118">
        <f t="shared" si="1"/>
        <v>0</v>
      </c>
    </row>
    <row r="26" spans="2:6" ht="36" hidden="1" customHeight="1">
      <c r="B26" s="84"/>
      <c r="C26" s="124"/>
      <c r="D26" s="128"/>
      <c r="E26" s="126">
        <f t="shared" si="0"/>
        <v>0</v>
      </c>
      <c r="F26" s="118">
        <f t="shared" si="1"/>
        <v>0</v>
      </c>
    </row>
    <row r="27" spans="2:6" ht="36" hidden="1" customHeight="1">
      <c r="B27" s="84"/>
      <c r="C27" s="124"/>
      <c r="D27" s="128"/>
      <c r="E27" s="126">
        <f t="shared" si="0"/>
        <v>0</v>
      </c>
      <c r="F27" s="118">
        <f t="shared" si="1"/>
        <v>0</v>
      </c>
    </row>
    <row r="28" spans="2:6" ht="36" hidden="1" customHeight="1">
      <c r="B28" s="84"/>
      <c r="C28" s="124"/>
      <c r="D28" s="128"/>
      <c r="E28" s="126">
        <f t="shared" si="0"/>
        <v>0</v>
      </c>
      <c r="F28" s="118">
        <f t="shared" si="1"/>
        <v>0</v>
      </c>
    </row>
    <row r="29" spans="2:6" ht="36" hidden="1" customHeight="1">
      <c r="B29" s="84"/>
      <c r="C29" s="124"/>
      <c r="D29" s="128"/>
      <c r="E29" s="126">
        <f t="shared" si="0"/>
        <v>0</v>
      </c>
      <c r="F29" s="118">
        <f t="shared" si="1"/>
        <v>0</v>
      </c>
    </row>
    <row r="30" spans="2:6" ht="36" hidden="1" customHeight="1">
      <c r="B30" s="84"/>
      <c r="C30" s="124"/>
      <c r="D30" s="128"/>
      <c r="E30" s="126">
        <f t="shared" si="0"/>
        <v>0</v>
      </c>
      <c r="F30" s="118">
        <f t="shared" si="1"/>
        <v>0</v>
      </c>
    </row>
    <row r="31" spans="2:6" ht="36" hidden="1" customHeight="1">
      <c r="B31" s="84"/>
      <c r="C31" s="124"/>
      <c r="D31" s="128"/>
      <c r="E31" s="126">
        <f t="shared" si="0"/>
        <v>0</v>
      </c>
      <c r="F31" s="118">
        <f t="shared" si="1"/>
        <v>0</v>
      </c>
    </row>
    <row r="32" spans="2:6" ht="36" hidden="1" customHeight="1">
      <c r="B32" s="84"/>
      <c r="C32" s="124"/>
      <c r="D32" s="128"/>
      <c r="E32" s="126">
        <f t="shared" si="0"/>
        <v>0</v>
      </c>
      <c r="F32" s="118">
        <f t="shared" si="1"/>
        <v>0</v>
      </c>
    </row>
    <row r="33" spans="2:6" ht="36" hidden="1" customHeight="1">
      <c r="B33" s="84"/>
      <c r="C33" s="124"/>
      <c r="D33" s="128"/>
      <c r="E33" s="126">
        <f t="shared" si="0"/>
        <v>0</v>
      </c>
      <c r="F33" s="118">
        <f t="shared" si="1"/>
        <v>0</v>
      </c>
    </row>
    <row r="34" spans="2:6" ht="36" hidden="1" customHeight="1">
      <c r="B34" s="84"/>
      <c r="C34" s="124"/>
      <c r="D34" s="128"/>
      <c r="E34" s="126">
        <f t="shared" si="0"/>
        <v>0</v>
      </c>
      <c r="F34" s="118">
        <f t="shared" si="1"/>
        <v>0</v>
      </c>
    </row>
    <row r="35" spans="2:6" ht="36" hidden="1" customHeight="1">
      <c r="B35" s="84"/>
      <c r="C35" s="124"/>
      <c r="D35" s="128"/>
      <c r="E35" s="126">
        <f t="shared" si="0"/>
        <v>0</v>
      </c>
      <c r="F35" s="118">
        <f t="shared" si="1"/>
        <v>0</v>
      </c>
    </row>
    <row r="36" spans="2:6" ht="36" hidden="1" customHeight="1">
      <c r="B36" s="84"/>
      <c r="C36" s="124"/>
      <c r="D36" s="128"/>
      <c r="E36" s="126">
        <f t="shared" si="0"/>
        <v>0</v>
      </c>
      <c r="F36" s="118">
        <f t="shared" si="1"/>
        <v>0</v>
      </c>
    </row>
    <row r="37" spans="2:6" ht="36" hidden="1" customHeight="1">
      <c r="B37" s="84"/>
      <c r="C37" s="124"/>
      <c r="D37" s="128"/>
      <c r="E37" s="126">
        <f t="shared" si="0"/>
        <v>0</v>
      </c>
      <c r="F37" s="118">
        <f t="shared" si="1"/>
        <v>0</v>
      </c>
    </row>
    <row r="38" spans="2:6" ht="36" hidden="1" customHeight="1">
      <c r="B38" s="84"/>
      <c r="C38" s="124"/>
      <c r="D38" s="128"/>
      <c r="E38" s="126">
        <f t="shared" si="0"/>
        <v>0</v>
      </c>
      <c r="F38" s="118">
        <f t="shared" si="1"/>
        <v>0</v>
      </c>
    </row>
    <row r="39" spans="2:6" ht="36" hidden="1" customHeight="1">
      <c r="B39" s="84"/>
      <c r="C39" s="124"/>
      <c r="D39" s="128"/>
      <c r="E39" s="126">
        <f t="shared" si="0"/>
        <v>0</v>
      </c>
      <c r="F39" s="118">
        <f t="shared" si="1"/>
        <v>0</v>
      </c>
    </row>
    <row r="40" spans="2:6" ht="36" hidden="1" customHeight="1">
      <c r="B40" s="84"/>
      <c r="C40" s="124"/>
      <c r="D40" s="128"/>
      <c r="E40" s="126">
        <f t="shared" si="0"/>
        <v>0</v>
      </c>
      <c r="F40" s="118">
        <f t="shared" si="1"/>
        <v>0</v>
      </c>
    </row>
    <row r="41" spans="2:6" ht="36" hidden="1" customHeight="1">
      <c r="B41" s="84"/>
      <c r="C41" s="124"/>
      <c r="D41" s="128"/>
      <c r="E41" s="126">
        <f t="shared" si="0"/>
        <v>0</v>
      </c>
      <c r="F41" s="118">
        <f t="shared" si="1"/>
        <v>0</v>
      </c>
    </row>
    <row r="42" spans="2:6" ht="36" hidden="1" customHeight="1">
      <c r="B42" s="84"/>
      <c r="C42" s="124"/>
      <c r="D42" s="128"/>
      <c r="E42" s="126">
        <f t="shared" si="0"/>
        <v>0</v>
      </c>
      <c r="F42" s="118">
        <f t="shared" si="1"/>
        <v>0</v>
      </c>
    </row>
    <row r="43" spans="2:6" ht="36" hidden="1" customHeight="1">
      <c r="B43" s="84"/>
      <c r="C43" s="124"/>
      <c r="D43" s="128"/>
      <c r="E43" s="126">
        <f t="shared" si="0"/>
        <v>0</v>
      </c>
      <c r="F43" s="118">
        <f t="shared" si="1"/>
        <v>0</v>
      </c>
    </row>
    <row r="44" spans="2:6" ht="36" hidden="1" customHeight="1">
      <c r="B44" s="84"/>
      <c r="C44" s="124"/>
      <c r="D44" s="128"/>
      <c r="E44" s="126">
        <f t="shared" si="0"/>
        <v>0</v>
      </c>
      <c r="F44" s="118">
        <f t="shared" si="1"/>
        <v>0</v>
      </c>
    </row>
    <row r="45" spans="2:6" ht="36" hidden="1" customHeight="1">
      <c r="B45" s="84"/>
      <c r="C45" s="124"/>
      <c r="D45" s="128"/>
      <c r="E45" s="126">
        <f t="shared" si="0"/>
        <v>0</v>
      </c>
      <c r="F45" s="118">
        <f t="shared" si="1"/>
        <v>0</v>
      </c>
    </row>
    <row r="46" spans="2:6" ht="36" hidden="1" customHeight="1">
      <c r="B46" s="84"/>
      <c r="C46" s="124"/>
      <c r="D46" s="128"/>
      <c r="E46" s="126">
        <f t="shared" si="0"/>
        <v>0</v>
      </c>
      <c r="F46" s="118">
        <f t="shared" si="1"/>
        <v>0</v>
      </c>
    </row>
    <row r="47" spans="2:6" ht="36" hidden="1" customHeight="1">
      <c r="B47" s="84"/>
      <c r="C47" s="124"/>
      <c r="D47" s="128"/>
      <c r="E47" s="126">
        <f t="shared" si="0"/>
        <v>0</v>
      </c>
      <c r="F47" s="118">
        <f t="shared" si="1"/>
        <v>0</v>
      </c>
    </row>
    <row r="48" spans="2:6" ht="36" hidden="1" customHeight="1">
      <c r="B48" s="84"/>
      <c r="C48" s="124"/>
      <c r="D48" s="128"/>
      <c r="E48" s="126">
        <f t="shared" si="0"/>
        <v>0</v>
      </c>
      <c r="F48" s="118">
        <f t="shared" si="1"/>
        <v>0</v>
      </c>
    </row>
    <row r="49" spans="2:10" ht="36" hidden="1" customHeight="1">
      <c r="B49" s="84"/>
      <c r="C49" s="124"/>
      <c r="D49" s="128"/>
      <c r="E49" s="126">
        <f t="shared" si="0"/>
        <v>0</v>
      </c>
      <c r="F49" s="118">
        <f t="shared" si="1"/>
        <v>0</v>
      </c>
    </row>
    <row r="50" spans="2:10" ht="36" hidden="1" customHeight="1">
      <c r="B50" s="84"/>
      <c r="C50" s="124"/>
      <c r="D50" s="128"/>
      <c r="E50" s="126">
        <f t="shared" si="0"/>
        <v>0</v>
      </c>
      <c r="F50" s="118">
        <f t="shared" si="1"/>
        <v>0</v>
      </c>
    </row>
    <row r="51" spans="2:10" ht="36" hidden="1" customHeight="1">
      <c r="B51" s="84"/>
      <c r="C51" s="124"/>
      <c r="D51" s="128"/>
      <c r="E51" s="126">
        <f t="shared" si="0"/>
        <v>0</v>
      </c>
      <c r="F51" s="118">
        <f t="shared" si="1"/>
        <v>0</v>
      </c>
    </row>
    <row r="52" spans="2:10" ht="36" hidden="1" customHeight="1">
      <c r="B52" s="84"/>
      <c r="C52" s="124"/>
      <c r="D52" s="128"/>
      <c r="E52" s="126">
        <f t="shared" si="0"/>
        <v>0</v>
      </c>
      <c r="F52" s="118">
        <f t="shared" si="1"/>
        <v>0</v>
      </c>
    </row>
    <row r="53" spans="2:10" ht="36" hidden="1" customHeight="1">
      <c r="B53" s="84"/>
      <c r="C53" s="124"/>
      <c r="D53" s="128"/>
      <c r="E53" s="126">
        <f t="shared" si="0"/>
        <v>0</v>
      </c>
      <c r="F53" s="118">
        <f t="shared" si="1"/>
        <v>0</v>
      </c>
    </row>
    <row r="54" spans="2:10" ht="36" hidden="1" customHeight="1">
      <c r="B54" s="84"/>
      <c r="C54" s="124"/>
      <c r="D54" s="128"/>
      <c r="E54" s="126">
        <f t="shared" si="0"/>
        <v>0</v>
      </c>
      <c r="F54" s="118">
        <f t="shared" si="1"/>
        <v>0</v>
      </c>
    </row>
    <row r="55" spans="2:10" ht="36" hidden="1" customHeight="1">
      <c r="B55" s="84"/>
      <c r="C55" s="124"/>
      <c r="D55" s="128"/>
      <c r="E55" s="126">
        <f t="shared" si="0"/>
        <v>0</v>
      </c>
      <c r="F55" s="118">
        <f t="shared" si="1"/>
        <v>0</v>
      </c>
    </row>
    <row r="56" spans="2:10" ht="36" hidden="1" customHeight="1">
      <c r="B56" s="84"/>
      <c r="C56" s="124"/>
      <c r="D56" s="128"/>
      <c r="E56" s="126">
        <f t="shared" si="0"/>
        <v>0</v>
      </c>
      <c r="F56" s="118">
        <f t="shared" si="1"/>
        <v>0</v>
      </c>
    </row>
    <row r="57" spans="2:10" ht="36" hidden="1" customHeight="1">
      <c r="B57" s="84"/>
      <c r="C57" s="124"/>
      <c r="D57" s="128"/>
      <c r="E57" s="126">
        <f t="shared" si="0"/>
        <v>0</v>
      </c>
      <c r="F57" s="118">
        <f t="shared" si="1"/>
        <v>0</v>
      </c>
    </row>
    <row r="58" spans="2:10" ht="36" hidden="1" customHeight="1">
      <c r="B58" s="84"/>
      <c r="C58" s="124"/>
      <c r="D58" s="128"/>
      <c r="E58" s="126">
        <f t="shared" si="0"/>
        <v>0</v>
      </c>
      <c r="F58" s="118">
        <f t="shared" si="1"/>
        <v>0</v>
      </c>
    </row>
    <row r="59" spans="2:10" ht="36" customHeight="1" thickBot="1">
      <c r="B59" s="86"/>
      <c r="C59" s="129"/>
      <c r="D59" s="130"/>
      <c r="E59" s="131">
        <f t="shared" si="0"/>
        <v>0</v>
      </c>
      <c r="F59" s="132">
        <f t="shared" si="1"/>
        <v>0</v>
      </c>
    </row>
    <row r="60" spans="2:10" s="4" customFormat="1" ht="36" hidden="1" customHeight="1">
      <c r="B60" s="106"/>
      <c r="C60" s="106"/>
      <c r="D60" s="106">
        <f>SUM(D6:D59)</f>
        <v>6</v>
      </c>
      <c r="E60" s="133"/>
      <c r="F60" s="133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1784-D95B-4919-922A-99B145C8AF86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200" t="s">
        <v>43</v>
      </c>
      <c r="C1" s="182"/>
      <c r="D1" s="58"/>
      <c r="E1" s="57"/>
      <c r="F1" s="57"/>
    </row>
    <row r="2" spans="2:10" ht="18.75" hidden="1" customHeight="1" thickBot="1">
      <c r="B2" s="14"/>
      <c r="C2" s="14"/>
      <c r="D2" s="14">
        <v>30</v>
      </c>
      <c r="E2" s="1" t="s">
        <v>20</v>
      </c>
    </row>
    <row r="3" spans="2:10" ht="50.1" customHeight="1" thickBot="1">
      <c r="B3" s="201"/>
      <c r="C3" s="202"/>
      <c r="D3" s="61"/>
      <c r="E3" s="148" t="s">
        <v>2</v>
      </c>
      <c r="F3" s="49"/>
    </row>
    <row r="4" spans="2:10" s="4" customFormat="1" ht="36" customHeight="1" thickBot="1">
      <c r="B4" s="12"/>
      <c r="C4" s="65" t="s">
        <v>0</v>
      </c>
      <c r="D4" s="66" t="s">
        <v>4</v>
      </c>
      <c r="E4" s="67" t="s">
        <v>21</v>
      </c>
      <c r="F4" s="68" t="s">
        <v>42</v>
      </c>
      <c r="G4" s="1"/>
      <c r="H4" s="1"/>
      <c r="I4" s="1"/>
      <c r="J4" s="1"/>
    </row>
    <row r="5" spans="2:10" ht="36" customHeight="1" thickTop="1">
      <c r="B5" s="203" t="s">
        <v>1</v>
      </c>
      <c r="C5" s="199"/>
      <c r="D5" s="113"/>
      <c r="E5" s="114"/>
      <c r="F5" s="115"/>
    </row>
    <row r="6" spans="2:10" ht="36" customHeight="1">
      <c r="B6" s="76"/>
      <c r="C6" s="77" t="s">
        <v>22</v>
      </c>
      <c r="D6" s="116">
        <v>1</v>
      </c>
      <c r="E6" s="117">
        <f>IF(B6=0,0,1)</f>
        <v>0</v>
      </c>
      <c r="F6" s="118">
        <f>IF($B6=0,0,$D$3*$B6)</f>
        <v>0</v>
      </c>
    </row>
    <row r="7" spans="2:10" ht="36" customHeight="1">
      <c r="B7" s="119"/>
      <c r="C7" s="120" t="s">
        <v>23</v>
      </c>
      <c r="D7" s="116">
        <v>1</v>
      </c>
      <c r="E7" s="117">
        <f>IF(B7=0,0,3)</f>
        <v>0</v>
      </c>
      <c r="F7" s="118">
        <f>IF($B7=0,0,$D$3*$B7)</f>
        <v>0</v>
      </c>
    </row>
    <row r="8" spans="2:10" ht="36" customHeight="1">
      <c r="B8" s="119">
        <v>1</v>
      </c>
      <c r="C8" s="120" t="s">
        <v>48</v>
      </c>
      <c r="D8" s="116">
        <v>1</v>
      </c>
      <c r="E8" s="117"/>
      <c r="F8" s="118">
        <f>IF($E8=0,0,50)</f>
        <v>0</v>
      </c>
    </row>
    <row r="9" spans="2:10" ht="36" customHeight="1">
      <c r="B9" s="119">
        <v>1</v>
      </c>
      <c r="C9" s="120" t="s">
        <v>37</v>
      </c>
      <c r="D9" s="116">
        <v>1</v>
      </c>
      <c r="E9" s="117"/>
      <c r="F9" s="118">
        <f>IF($E9=0,0,$D$3*$B9)</f>
        <v>0</v>
      </c>
    </row>
    <row r="10" spans="2:10" ht="36" customHeight="1" thickBot="1">
      <c r="B10" s="134">
        <v>1</v>
      </c>
      <c r="C10" s="135" t="s">
        <v>38</v>
      </c>
      <c r="D10" s="136">
        <v>1</v>
      </c>
      <c r="E10" s="137"/>
      <c r="F10" s="138">
        <f>IF($E10=0,0,$D$3*$B10)</f>
        <v>0</v>
      </c>
    </row>
    <row r="11" spans="2:10" ht="36" customHeight="1" thickTop="1">
      <c r="B11" s="84"/>
      <c r="C11" s="139" t="s">
        <v>18</v>
      </c>
      <c r="D11" s="204">
        <f>D6 + E8 + E9 + SUM(D12:D59)</f>
        <v>1</v>
      </c>
      <c r="E11" s="126"/>
      <c r="F11" s="127"/>
    </row>
    <row r="12" spans="2:10" ht="36" customHeight="1">
      <c r="B12" s="84"/>
      <c r="C12" s="124"/>
      <c r="D12" s="128"/>
      <c r="E12" s="126">
        <f t="shared" ref="E12:E59" si="0">ROUNDUP((D12/$D$2), 0)</f>
        <v>0</v>
      </c>
      <c r="F12" s="118">
        <f t="shared" ref="F12:F59" si="1">IF($E12=0,0,$D$3*$D12/$E12)</f>
        <v>0</v>
      </c>
    </row>
    <row r="13" spans="2:10" ht="36" customHeight="1">
      <c r="B13" s="84"/>
      <c r="C13" s="124"/>
      <c r="D13" s="128"/>
      <c r="E13" s="126">
        <f t="shared" si="0"/>
        <v>0</v>
      </c>
      <c r="F13" s="118">
        <f t="shared" si="1"/>
        <v>0</v>
      </c>
    </row>
    <row r="14" spans="2:10" ht="36" customHeight="1">
      <c r="B14" s="84"/>
      <c r="C14" s="124"/>
      <c r="D14" s="128"/>
      <c r="E14" s="126">
        <f t="shared" si="0"/>
        <v>0</v>
      </c>
      <c r="F14" s="118">
        <f t="shared" si="1"/>
        <v>0</v>
      </c>
    </row>
    <row r="15" spans="2:10" ht="36" customHeight="1">
      <c r="B15" s="84"/>
      <c r="C15" s="124"/>
      <c r="D15" s="128"/>
      <c r="E15" s="126">
        <f t="shared" si="0"/>
        <v>0</v>
      </c>
      <c r="F15" s="118">
        <f t="shared" si="1"/>
        <v>0</v>
      </c>
    </row>
    <row r="16" spans="2:10" ht="36" customHeight="1">
      <c r="B16" s="84"/>
      <c r="C16" s="124"/>
      <c r="D16" s="128"/>
      <c r="E16" s="126">
        <f t="shared" si="0"/>
        <v>0</v>
      </c>
      <c r="F16" s="118">
        <f t="shared" si="1"/>
        <v>0</v>
      </c>
    </row>
    <row r="17" spans="2:6" ht="36" customHeight="1">
      <c r="B17" s="84"/>
      <c r="C17" s="124"/>
      <c r="D17" s="128"/>
      <c r="E17" s="126">
        <f t="shared" si="0"/>
        <v>0</v>
      </c>
      <c r="F17" s="118">
        <f t="shared" si="1"/>
        <v>0</v>
      </c>
    </row>
    <row r="18" spans="2:6" ht="36" customHeight="1">
      <c r="B18" s="84"/>
      <c r="C18" s="124"/>
      <c r="D18" s="128"/>
      <c r="E18" s="126">
        <f t="shared" si="0"/>
        <v>0</v>
      </c>
      <c r="F18" s="118">
        <f t="shared" si="1"/>
        <v>0</v>
      </c>
    </row>
    <row r="19" spans="2:6" ht="36" customHeight="1">
      <c r="B19" s="84"/>
      <c r="C19" s="124"/>
      <c r="D19" s="128"/>
      <c r="E19" s="126">
        <f t="shared" si="0"/>
        <v>0</v>
      </c>
      <c r="F19" s="118">
        <f t="shared" si="1"/>
        <v>0</v>
      </c>
    </row>
    <row r="20" spans="2:6" ht="36" customHeight="1">
      <c r="B20" s="84"/>
      <c r="C20" s="124"/>
      <c r="D20" s="128"/>
      <c r="E20" s="126">
        <f t="shared" si="0"/>
        <v>0</v>
      </c>
      <c r="F20" s="118">
        <f t="shared" si="1"/>
        <v>0</v>
      </c>
    </row>
    <row r="21" spans="2:6" ht="36" customHeight="1">
      <c r="B21" s="84"/>
      <c r="C21" s="124"/>
      <c r="D21" s="128"/>
      <c r="E21" s="126">
        <f t="shared" si="0"/>
        <v>0</v>
      </c>
      <c r="F21" s="118">
        <f t="shared" si="1"/>
        <v>0</v>
      </c>
    </row>
    <row r="22" spans="2:6" ht="36" customHeight="1">
      <c r="B22" s="84"/>
      <c r="C22" s="124"/>
      <c r="D22" s="128"/>
      <c r="E22" s="126">
        <f t="shared" si="0"/>
        <v>0</v>
      </c>
      <c r="F22" s="118">
        <f t="shared" si="1"/>
        <v>0</v>
      </c>
    </row>
    <row r="23" spans="2:6" ht="36" hidden="1" customHeight="1">
      <c r="B23" s="84"/>
      <c r="C23" s="124"/>
      <c r="D23" s="128"/>
      <c r="E23" s="126">
        <f t="shared" si="0"/>
        <v>0</v>
      </c>
      <c r="F23" s="118">
        <f t="shared" si="1"/>
        <v>0</v>
      </c>
    </row>
    <row r="24" spans="2:6" ht="36" hidden="1" customHeight="1">
      <c r="B24" s="84"/>
      <c r="C24" s="124"/>
      <c r="D24" s="128"/>
      <c r="E24" s="126">
        <f t="shared" si="0"/>
        <v>0</v>
      </c>
      <c r="F24" s="118">
        <f t="shared" si="1"/>
        <v>0</v>
      </c>
    </row>
    <row r="25" spans="2:6" ht="36" hidden="1" customHeight="1">
      <c r="B25" s="84"/>
      <c r="C25" s="124"/>
      <c r="D25" s="128"/>
      <c r="E25" s="126">
        <f t="shared" si="0"/>
        <v>0</v>
      </c>
      <c r="F25" s="118">
        <f t="shared" si="1"/>
        <v>0</v>
      </c>
    </row>
    <row r="26" spans="2:6" ht="36" hidden="1" customHeight="1">
      <c r="B26" s="84"/>
      <c r="C26" s="124"/>
      <c r="D26" s="128"/>
      <c r="E26" s="126">
        <f t="shared" si="0"/>
        <v>0</v>
      </c>
      <c r="F26" s="118">
        <f t="shared" si="1"/>
        <v>0</v>
      </c>
    </row>
    <row r="27" spans="2:6" ht="36" hidden="1" customHeight="1">
      <c r="B27" s="84"/>
      <c r="C27" s="124"/>
      <c r="D27" s="128"/>
      <c r="E27" s="126">
        <f t="shared" si="0"/>
        <v>0</v>
      </c>
      <c r="F27" s="118">
        <f t="shared" si="1"/>
        <v>0</v>
      </c>
    </row>
    <row r="28" spans="2:6" ht="36" hidden="1" customHeight="1">
      <c r="B28" s="84"/>
      <c r="C28" s="124"/>
      <c r="D28" s="128"/>
      <c r="E28" s="126">
        <f t="shared" si="0"/>
        <v>0</v>
      </c>
      <c r="F28" s="118">
        <f t="shared" si="1"/>
        <v>0</v>
      </c>
    </row>
    <row r="29" spans="2:6" ht="36" hidden="1" customHeight="1">
      <c r="B29" s="84"/>
      <c r="C29" s="124"/>
      <c r="D29" s="128"/>
      <c r="E29" s="126">
        <f t="shared" si="0"/>
        <v>0</v>
      </c>
      <c r="F29" s="118">
        <f t="shared" si="1"/>
        <v>0</v>
      </c>
    </row>
    <row r="30" spans="2:6" ht="36" hidden="1" customHeight="1">
      <c r="B30" s="84"/>
      <c r="C30" s="124"/>
      <c r="D30" s="128"/>
      <c r="E30" s="126">
        <f t="shared" si="0"/>
        <v>0</v>
      </c>
      <c r="F30" s="118">
        <f t="shared" si="1"/>
        <v>0</v>
      </c>
    </row>
    <row r="31" spans="2:6" ht="36" hidden="1" customHeight="1">
      <c r="B31" s="84"/>
      <c r="C31" s="124"/>
      <c r="D31" s="128"/>
      <c r="E31" s="126">
        <f t="shared" si="0"/>
        <v>0</v>
      </c>
      <c r="F31" s="118">
        <f t="shared" si="1"/>
        <v>0</v>
      </c>
    </row>
    <row r="32" spans="2:6" ht="36" hidden="1" customHeight="1">
      <c r="B32" s="84"/>
      <c r="C32" s="124"/>
      <c r="D32" s="128"/>
      <c r="E32" s="126">
        <f t="shared" si="0"/>
        <v>0</v>
      </c>
      <c r="F32" s="118">
        <f t="shared" si="1"/>
        <v>0</v>
      </c>
    </row>
    <row r="33" spans="2:6" ht="36" hidden="1" customHeight="1">
      <c r="B33" s="84"/>
      <c r="C33" s="124"/>
      <c r="D33" s="128"/>
      <c r="E33" s="126">
        <f t="shared" si="0"/>
        <v>0</v>
      </c>
      <c r="F33" s="118">
        <f t="shared" si="1"/>
        <v>0</v>
      </c>
    </row>
    <row r="34" spans="2:6" ht="36" hidden="1" customHeight="1">
      <c r="B34" s="84"/>
      <c r="C34" s="124"/>
      <c r="D34" s="128"/>
      <c r="E34" s="126">
        <f t="shared" si="0"/>
        <v>0</v>
      </c>
      <c r="F34" s="118">
        <f t="shared" si="1"/>
        <v>0</v>
      </c>
    </row>
    <row r="35" spans="2:6" ht="36" hidden="1" customHeight="1">
      <c r="B35" s="84"/>
      <c r="C35" s="124"/>
      <c r="D35" s="128"/>
      <c r="E35" s="126">
        <f t="shared" si="0"/>
        <v>0</v>
      </c>
      <c r="F35" s="118">
        <f t="shared" si="1"/>
        <v>0</v>
      </c>
    </row>
    <row r="36" spans="2:6" ht="36" hidden="1" customHeight="1">
      <c r="B36" s="84"/>
      <c r="C36" s="124"/>
      <c r="D36" s="128"/>
      <c r="E36" s="126">
        <f t="shared" si="0"/>
        <v>0</v>
      </c>
      <c r="F36" s="118">
        <f t="shared" si="1"/>
        <v>0</v>
      </c>
    </row>
    <row r="37" spans="2:6" ht="36" hidden="1" customHeight="1">
      <c r="B37" s="84"/>
      <c r="C37" s="124"/>
      <c r="D37" s="128"/>
      <c r="E37" s="126">
        <f t="shared" si="0"/>
        <v>0</v>
      </c>
      <c r="F37" s="118">
        <f t="shared" si="1"/>
        <v>0</v>
      </c>
    </row>
    <row r="38" spans="2:6" ht="36" hidden="1" customHeight="1">
      <c r="B38" s="84"/>
      <c r="C38" s="124"/>
      <c r="D38" s="128"/>
      <c r="E38" s="126">
        <f t="shared" si="0"/>
        <v>0</v>
      </c>
      <c r="F38" s="118">
        <f t="shared" si="1"/>
        <v>0</v>
      </c>
    </row>
    <row r="39" spans="2:6" ht="36" hidden="1" customHeight="1">
      <c r="B39" s="84"/>
      <c r="C39" s="124"/>
      <c r="D39" s="128"/>
      <c r="E39" s="126">
        <f t="shared" si="0"/>
        <v>0</v>
      </c>
      <c r="F39" s="118">
        <f t="shared" si="1"/>
        <v>0</v>
      </c>
    </row>
    <row r="40" spans="2:6" ht="36" hidden="1" customHeight="1">
      <c r="B40" s="84"/>
      <c r="C40" s="124"/>
      <c r="D40" s="128"/>
      <c r="E40" s="126">
        <f t="shared" si="0"/>
        <v>0</v>
      </c>
      <c r="F40" s="118">
        <f t="shared" si="1"/>
        <v>0</v>
      </c>
    </row>
    <row r="41" spans="2:6" ht="36" hidden="1" customHeight="1">
      <c r="B41" s="84"/>
      <c r="C41" s="124"/>
      <c r="D41" s="128"/>
      <c r="E41" s="126">
        <f t="shared" si="0"/>
        <v>0</v>
      </c>
      <c r="F41" s="118">
        <f t="shared" si="1"/>
        <v>0</v>
      </c>
    </row>
    <row r="42" spans="2:6" ht="36" hidden="1" customHeight="1">
      <c r="B42" s="84"/>
      <c r="C42" s="124"/>
      <c r="D42" s="128"/>
      <c r="E42" s="126">
        <f t="shared" si="0"/>
        <v>0</v>
      </c>
      <c r="F42" s="118">
        <f t="shared" si="1"/>
        <v>0</v>
      </c>
    </row>
    <row r="43" spans="2:6" ht="36" hidden="1" customHeight="1">
      <c r="B43" s="84"/>
      <c r="C43" s="124"/>
      <c r="D43" s="128"/>
      <c r="E43" s="126">
        <f t="shared" si="0"/>
        <v>0</v>
      </c>
      <c r="F43" s="118">
        <f t="shared" si="1"/>
        <v>0</v>
      </c>
    </row>
    <row r="44" spans="2:6" ht="36" hidden="1" customHeight="1">
      <c r="B44" s="84"/>
      <c r="C44" s="124"/>
      <c r="D44" s="128"/>
      <c r="E44" s="126">
        <f t="shared" si="0"/>
        <v>0</v>
      </c>
      <c r="F44" s="118">
        <f t="shared" si="1"/>
        <v>0</v>
      </c>
    </row>
    <row r="45" spans="2:6" ht="36" hidden="1" customHeight="1">
      <c r="B45" s="84"/>
      <c r="C45" s="124"/>
      <c r="D45" s="128"/>
      <c r="E45" s="126">
        <f t="shared" si="0"/>
        <v>0</v>
      </c>
      <c r="F45" s="118">
        <f t="shared" si="1"/>
        <v>0</v>
      </c>
    </row>
    <row r="46" spans="2:6" ht="36" hidden="1" customHeight="1">
      <c r="B46" s="84"/>
      <c r="C46" s="124"/>
      <c r="D46" s="128"/>
      <c r="E46" s="126">
        <f t="shared" si="0"/>
        <v>0</v>
      </c>
      <c r="F46" s="118">
        <f t="shared" si="1"/>
        <v>0</v>
      </c>
    </row>
    <row r="47" spans="2:6" ht="36" hidden="1" customHeight="1">
      <c r="B47" s="84"/>
      <c r="C47" s="124"/>
      <c r="D47" s="128"/>
      <c r="E47" s="126">
        <f t="shared" si="0"/>
        <v>0</v>
      </c>
      <c r="F47" s="118">
        <f t="shared" si="1"/>
        <v>0</v>
      </c>
    </row>
    <row r="48" spans="2:6" ht="36" hidden="1" customHeight="1">
      <c r="B48" s="84"/>
      <c r="C48" s="124"/>
      <c r="D48" s="128"/>
      <c r="E48" s="126">
        <f t="shared" si="0"/>
        <v>0</v>
      </c>
      <c r="F48" s="118">
        <f t="shared" si="1"/>
        <v>0</v>
      </c>
    </row>
    <row r="49" spans="2:10" ht="36" hidden="1" customHeight="1">
      <c r="B49" s="84"/>
      <c r="C49" s="124"/>
      <c r="D49" s="128"/>
      <c r="E49" s="126">
        <f t="shared" si="0"/>
        <v>0</v>
      </c>
      <c r="F49" s="118">
        <f t="shared" si="1"/>
        <v>0</v>
      </c>
    </row>
    <row r="50" spans="2:10" ht="36" hidden="1" customHeight="1">
      <c r="B50" s="84"/>
      <c r="C50" s="124"/>
      <c r="D50" s="128"/>
      <c r="E50" s="126">
        <f t="shared" si="0"/>
        <v>0</v>
      </c>
      <c r="F50" s="118">
        <f t="shared" si="1"/>
        <v>0</v>
      </c>
    </row>
    <row r="51" spans="2:10" ht="36" hidden="1" customHeight="1">
      <c r="B51" s="84"/>
      <c r="C51" s="124"/>
      <c r="D51" s="128"/>
      <c r="E51" s="126">
        <f t="shared" si="0"/>
        <v>0</v>
      </c>
      <c r="F51" s="118">
        <f t="shared" si="1"/>
        <v>0</v>
      </c>
    </row>
    <row r="52" spans="2:10" ht="36" hidden="1" customHeight="1">
      <c r="B52" s="84"/>
      <c r="C52" s="124"/>
      <c r="D52" s="128"/>
      <c r="E52" s="126">
        <f t="shared" si="0"/>
        <v>0</v>
      </c>
      <c r="F52" s="118">
        <f t="shared" si="1"/>
        <v>0</v>
      </c>
    </row>
    <row r="53" spans="2:10" ht="36" hidden="1" customHeight="1">
      <c r="B53" s="84"/>
      <c r="C53" s="124"/>
      <c r="D53" s="128"/>
      <c r="E53" s="126">
        <f t="shared" si="0"/>
        <v>0</v>
      </c>
      <c r="F53" s="118">
        <f t="shared" si="1"/>
        <v>0</v>
      </c>
    </row>
    <row r="54" spans="2:10" ht="36" hidden="1" customHeight="1">
      <c r="B54" s="84"/>
      <c r="C54" s="124"/>
      <c r="D54" s="128"/>
      <c r="E54" s="126">
        <f t="shared" si="0"/>
        <v>0</v>
      </c>
      <c r="F54" s="118">
        <f t="shared" si="1"/>
        <v>0</v>
      </c>
    </row>
    <row r="55" spans="2:10" ht="36" hidden="1" customHeight="1">
      <c r="B55" s="84"/>
      <c r="C55" s="124"/>
      <c r="D55" s="128"/>
      <c r="E55" s="126">
        <f t="shared" si="0"/>
        <v>0</v>
      </c>
      <c r="F55" s="118">
        <f t="shared" si="1"/>
        <v>0</v>
      </c>
    </row>
    <row r="56" spans="2:10" ht="36" hidden="1" customHeight="1">
      <c r="B56" s="84"/>
      <c r="C56" s="124"/>
      <c r="D56" s="128"/>
      <c r="E56" s="126">
        <f t="shared" si="0"/>
        <v>0</v>
      </c>
      <c r="F56" s="118">
        <f t="shared" si="1"/>
        <v>0</v>
      </c>
    </row>
    <row r="57" spans="2:10" ht="36" hidden="1" customHeight="1">
      <c r="B57" s="84"/>
      <c r="C57" s="124"/>
      <c r="D57" s="128"/>
      <c r="E57" s="126">
        <f t="shared" si="0"/>
        <v>0</v>
      </c>
      <c r="F57" s="118">
        <f t="shared" si="1"/>
        <v>0</v>
      </c>
    </row>
    <row r="58" spans="2:10" ht="36" hidden="1" customHeight="1">
      <c r="B58" s="84"/>
      <c r="C58" s="124"/>
      <c r="D58" s="128"/>
      <c r="E58" s="126">
        <f t="shared" si="0"/>
        <v>0</v>
      </c>
      <c r="F58" s="118">
        <f t="shared" si="1"/>
        <v>0</v>
      </c>
    </row>
    <row r="59" spans="2:10" ht="36" customHeight="1" thickBot="1">
      <c r="B59" s="86"/>
      <c r="C59" s="129"/>
      <c r="D59" s="130"/>
      <c r="E59" s="131">
        <f t="shared" si="0"/>
        <v>0</v>
      </c>
      <c r="F59" s="132">
        <f t="shared" si="1"/>
        <v>0</v>
      </c>
    </row>
    <row r="60" spans="2:10" s="4" customFormat="1" ht="32.1" customHeight="1">
      <c r="B60" s="2"/>
      <c r="C60" s="2"/>
      <c r="D60" s="2"/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98C2-D5DE-4C37-ABE9-E5C30EFF4BC5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200" t="s">
        <v>44</v>
      </c>
      <c r="C1" s="182"/>
      <c r="D1" s="58"/>
      <c r="E1" s="57"/>
      <c r="F1" s="57"/>
    </row>
    <row r="2" spans="2:10" ht="18.75" hidden="1" customHeight="1" thickBot="1">
      <c r="B2" s="14"/>
      <c r="C2" s="14"/>
      <c r="D2" s="14">
        <v>30</v>
      </c>
      <c r="E2" s="1" t="s">
        <v>20</v>
      </c>
    </row>
    <row r="3" spans="2:10" ht="50.1" customHeight="1" thickBot="1">
      <c r="B3" s="201"/>
      <c r="C3" s="202"/>
      <c r="D3" s="61"/>
      <c r="E3" s="148" t="s">
        <v>2</v>
      </c>
      <c r="F3" s="49"/>
    </row>
    <row r="4" spans="2:10" s="4" customFormat="1" ht="36" customHeight="1" thickBot="1">
      <c r="B4" s="12"/>
      <c r="C4" s="65" t="s">
        <v>0</v>
      </c>
      <c r="D4" s="66" t="s">
        <v>4</v>
      </c>
      <c r="E4" s="67" t="s">
        <v>21</v>
      </c>
      <c r="F4" s="68" t="s">
        <v>42</v>
      </c>
      <c r="G4" s="1"/>
      <c r="H4" s="1"/>
      <c r="I4" s="1"/>
      <c r="J4" s="1"/>
    </row>
    <row r="5" spans="2:10" ht="36" customHeight="1" thickTop="1">
      <c r="B5" s="203" t="s">
        <v>1</v>
      </c>
      <c r="C5" s="199"/>
      <c r="D5" s="113"/>
      <c r="E5" s="114"/>
      <c r="F5" s="115"/>
    </row>
    <row r="6" spans="2:10" ht="36" customHeight="1">
      <c r="B6" s="76"/>
      <c r="C6" s="77" t="s">
        <v>22</v>
      </c>
      <c r="D6" s="116">
        <v>1</v>
      </c>
      <c r="E6" s="117">
        <f>IF(B6=0,0,1)</f>
        <v>0</v>
      </c>
      <c r="F6" s="118">
        <f>IF($B6=0,0,$D$3*$B6)</f>
        <v>0</v>
      </c>
    </row>
    <row r="7" spans="2:10" ht="36" customHeight="1">
      <c r="B7" s="119"/>
      <c r="C7" s="120" t="s">
        <v>23</v>
      </c>
      <c r="D7" s="116">
        <v>1</v>
      </c>
      <c r="E7" s="117">
        <f>IF(B7=0,0,3)</f>
        <v>0</v>
      </c>
      <c r="F7" s="118">
        <f>IF($B7=0,0,$D$3*$B7)</f>
        <v>0</v>
      </c>
    </row>
    <row r="8" spans="2:10" ht="36" customHeight="1">
      <c r="B8" s="119">
        <v>1</v>
      </c>
      <c r="C8" s="120" t="s">
        <v>48</v>
      </c>
      <c r="D8" s="116">
        <v>1</v>
      </c>
      <c r="E8" s="117"/>
      <c r="F8" s="118">
        <f>IF($E8=0,0,50)</f>
        <v>0</v>
      </c>
    </row>
    <row r="9" spans="2:10" ht="36" customHeight="1">
      <c r="B9" s="119">
        <v>1</v>
      </c>
      <c r="C9" s="120" t="s">
        <v>37</v>
      </c>
      <c r="D9" s="116">
        <v>1</v>
      </c>
      <c r="E9" s="117"/>
      <c r="F9" s="118">
        <f>IF($E9=0,0,$D$3*$B9)</f>
        <v>0</v>
      </c>
    </row>
    <row r="10" spans="2:10" ht="36" customHeight="1" thickBot="1">
      <c r="B10" s="134">
        <v>1</v>
      </c>
      <c r="C10" s="135" t="s">
        <v>38</v>
      </c>
      <c r="D10" s="136">
        <v>1</v>
      </c>
      <c r="E10" s="137"/>
      <c r="F10" s="138">
        <f>IF($E10=0,0,$D$3*$B10)</f>
        <v>0</v>
      </c>
    </row>
    <row r="11" spans="2:10" ht="36" customHeight="1" thickTop="1">
      <c r="B11" s="84"/>
      <c r="C11" s="139" t="s">
        <v>17</v>
      </c>
      <c r="D11" s="204">
        <f>D6 + E8 + E9 + SUM(D12:D59)</f>
        <v>1</v>
      </c>
      <c r="E11" s="126"/>
      <c r="F11" s="127"/>
    </row>
    <row r="12" spans="2:10" ht="36" customHeight="1">
      <c r="B12" s="84"/>
      <c r="C12" s="124"/>
      <c r="D12" s="128"/>
      <c r="E12" s="126">
        <f t="shared" ref="E12:E59" si="0">ROUNDUP((D12/$D$2), 0)</f>
        <v>0</v>
      </c>
      <c r="F12" s="118">
        <f t="shared" ref="F12:F59" si="1">IF($E12=0,0,$D$3*$D12/$E12)</f>
        <v>0</v>
      </c>
    </row>
    <row r="13" spans="2:10" ht="36" customHeight="1">
      <c r="B13" s="84"/>
      <c r="C13" s="124"/>
      <c r="D13" s="128"/>
      <c r="E13" s="126">
        <f t="shared" si="0"/>
        <v>0</v>
      </c>
      <c r="F13" s="118">
        <f t="shared" si="1"/>
        <v>0</v>
      </c>
    </row>
    <row r="14" spans="2:10" ht="36" customHeight="1">
      <c r="B14" s="84"/>
      <c r="C14" s="124"/>
      <c r="D14" s="128"/>
      <c r="E14" s="126">
        <f t="shared" si="0"/>
        <v>0</v>
      </c>
      <c r="F14" s="118">
        <f t="shared" si="1"/>
        <v>0</v>
      </c>
    </row>
    <row r="15" spans="2:10" ht="36" customHeight="1">
      <c r="B15" s="84"/>
      <c r="C15" s="124"/>
      <c r="D15" s="128"/>
      <c r="E15" s="126">
        <f t="shared" si="0"/>
        <v>0</v>
      </c>
      <c r="F15" s="118">
        <f t="shared" si="1"/>
        <v>0</v>
      </c>
    </row>
    <row r="16" spans="2:10" ht="36" customHeight="1">
      <c r="B16" s="84"/>
      <c r="C16" s="124"/>
      <c r="D16" s="128"/>
      <c r="E16" s="126">
        <f t="shared" si="0"/>
        <v>0</v>
      </c>
      <c r="F16" s="118">
        <f t="shared" si="1"/>
        <v>0</v>
      </c>
    </row>
    <row r="17" spans="2:6" ht="36" customHeight="1">
      <c r="B17" s="84"/>
      <c r="C17" s="124"/>
      <c r="D17" s="128"/>
      <c r="E17" s="126">
        <f t="shared" si="0"/>
        <v>0</v>
      </c>
      <c r="F17" s="118">
        <f t="shared" si="1"/>
        <v>0</v>
      </c>
    </row>
    <row r="18" spans="2:6" ht="36" customHeight="1">
      <c r="B18" s="84"/>
      <c r="C18" s="124"/>
      <c r="D18" s="128"/>
      <c r="E18" s="126">
        <f t="shared" si="0"/>
        <v>0</v>
      </c>
      <c r="F18" s="118">
        <f t="shared" si="1"/>
        <v>0</v>
      </c>
    </row>
    <row r="19" spans="2:6" ht="36" customHeight="1">
      <c r="B19" s="84"/>
      <c r="C19" s="124"/>
      <c r="D19" s="128"/>
      <c r="E19" s="126">
        <f t="shared" si="0"/>
        <v>0</v>
      </c>
      <c r="F19" s="118">
        <f t="shared" si="1"/>
        <v>0</v>
      </c>
    </row>
    <row r="20" spans="2:6" ht="36" customHeight="1">
      <c r="B20" s="84"/>
      <c r="C20" s="124"/>
      <c r="D20" s="128"/>
      <c r="E20" s="126">
        <f t="shared" si="0"/>
        <v>0</v>
      </c>
      <c r="F20" s="118">
        <f t="shared" si="1"/>
        <v>0</v>
      </c>
    </row>
    <row r="21" spans="2:6" ht="36" customHeight="1">
      <c r="B21" s="84"/>
      <c r="C21" s="124"/>
      <c r="D21" s="128"/>
      <c r="E21" s="126">
        <f t="shared" si="0"/>
        <v>0</v>
      </c>
      <c r="F21" s="118">
        <f t="shared" si="1"/>
        <v>0</v>
      </c>
    </row>
    <row r="22" spans="2:6" ht="36" customHeight="1">
      <c r="B22" s="84"/>
      <c r="C22" s="124"/>
      <c r="D22" s="128"/>
      <c r="E22" s="126">
        <f t="shared" si="0"/>
        <v>0</v>
      </c>
      <c r="F22" s="118">
        <f t="shared" si="1"/>
        <v>0</v>
      </c>
    </row>
    <row r="23" spans="2:6" ht="36" hidden="1" customHeight="1">
      <c r="B23" s="84"/>
      <c r="C23" s="124"/>
      <c r="D23" s="128"/>
      <c r="E23" s="126">
        <f t="shared" si="0"/>
        <v>0</v>
      </c>
      <c r="F23" s="118">
        <f t="shared" si="1"/>
        <v>0</v>
      </c>
    </row>
    <row r="24" spans="2:6" ht="36" hidden="1" customHeight="1">
      <c r="B24" s="84"/>
      <c r="C24" s="124"/>
      <c r="D24" s="128"/>
      <c r="E24" s="126">
        <f t="shared" si="0"/>
        <v>0</v>
      </c>
      <c r="F24" s="118">
        <f t="shared" si="1"/>
        <v>0</v>
      </c>
    </row>
    <row r="25" spans="2:6" ht="36" hidden="1" customHeight="1">
      <c r="B25" s="84"/>
      <c r="C25" s="124"/>
      <c r="D25" s="128"/>
      <c r="E25" s="126">
        <f t="shared" si="0"/>
        <v>0</v>
      </c>
      <c r="F25" s="118">
        <f t="shared" si="1"/>
        <v>0</v>
      </c>
    </row>
    <row r="26" spans="2:6" ht="36" hidden="1" customHeight="1">
      <c r="B26" s="84"/>
      <c r="C26" s="124"/>
      <c r="D26" s="128"/>
      <c r="E26" s="126">
        <f t="shared" si="0"/>
        <v>0</v>
      </c>
      <c r="F26" s="118">
        <f t="shared" si="1"/>
        <v>0</v>
      </c>
    </row>
    <row r="27" spans="2:6" ht="36" hidden="1" customHeight="1">
      <c r="B27" s="84"/>
      <c r="C27" s="124"/>
      <c r="D27" s="128"/>
      <c r="E27" s="126">
        <f t="shared" si="0"/>
        <v>0</v>
      </c>
      <c r="F27" s="118">
        <f t="shared" si="1"/>
        <v>0</v>
      </c>
    </row>
    <row r="28" spans="2:6" ht="36" hidden="1" customHeight="1">
      <c r="B28" s="84"/>
      <c r="C28" s="124"/>
      <c r="D28" s="128"/>
      <c r="E28" s="126">
        <f t="shared" si="0"/>
        <v>0</v>
      </c>
      <c r="F28" s="118">
        <f t="shared" si="1"/>
        <v>0</v>
      </c>
    </row>
    <row r="29" spans="2:6" ht="36" hidden="1" customHeight="1">
      <c r="B29" s="84"/>
      <c r="C29" s="124"/>
      <c r="D29" s="128"/>
      <c r="E29" s="126">
        <f t="shared" si="0"/>
        <v>0</v>
      </c>
      <c r="F29" s="118">
        <f t="shared" si="1"/>
        <v>0</v>
      </c>
    </row>
    <row r="30" spans="2:6" ht="36" hidden="1" customHeight="1">
      <c r="B30" s="84"/>
      <c r="C30" s="124"/>
      <c r="D30" s="128"/>
      <c r="E30" s="126">
        <f t="shared" si="0"/>
        <v>0</v>
      </c>
      <c r="F30" s="118">
        <f t="shared" si="1"/>
        <v>0</v>
      </c>
    </row>
    <row r="31" spans="2:6" ht="36" hidden="1" customHeight="1">
      <c r="B31" s="84"/>
      <c r="C31" s="124"/>
      <c r="D31" s="128"/>
      <c r="E31" s="126">
        <f t="shared" si="0"/>
        <v>0</v>
      </c>
      <c r="F31" s="118">
        <f t="shared" si="1"/>
        <v>0</v>
      </c>
    </row>
    <row r="32" spans="2:6" ht="36" hidden="1" customHeight="1">
      <c r="B32" s="84"/>
      <c r="C32" s="124"/>
      <c r="D32" s="128"/>
      <c r="E32" s="126">
        <f t="shared" si="0"/>
        <v>0</v>
      </c>
      <c r="F32" s="118">
        <f t="shared" si="1"/>
        <v>0</v>
      </c>
    </row>
    <row r="33" spans="2:6" ht="36" hidden="1" customHeight="1">
      <c r="B33" s="84"/>
      <c r="C33" s="124"/>
      <c r="D33" s="128"/>
      <c r="E33" s="126">
        <f t="shared" si="0"/>
        <v>0</v>
      </c>
      <c r="F33" s="118">
        <f t="shared" si="1"/>
        <v>0</v>
      </c>
    </row>
    <row r="34" spans="2:6" ht="36" hidden="1" customHeight="1">
      <c r="B34" s="84"/>
      <c r="C34" s="124"/>
      <c r="D34" s="128"/>
      <c r="E34" s="126">
        <f t="shared" si="0"/>
        <v>0</v>
      </c>
      <c r="F34" s="118">
        <f t="shared" si="1"/>
        <v>0</v>
      </c>
    </row>
    <row r="35" spans="2:6" ht="36" hidden="1" customHeight="1">
      <c r="B35" s="84"/>
      <c r="C35" s="124"/>
      <c r="D35" s="128"/>
      <c r="E35" s="126">
        <f t="shared" si="0"/>
        <v>0</v>
      </c>
      <c r="F35" s="118">
        <f t="shared" si="1"/>
        <v>0</v>
      </c>
    </row>
    <row r="36" spans="2:6" ht="36" hidden="1" customHeight="1">
      <c r="B36" s="84"/>
      <c r="C36" s="124"/>
      <c r="D36" s="128"/>
      <c r="E36" s="126">
        <f t="shared" si="0"/>
        <v>0</v>
      </c>
      <c r="F36" s="118">
        <f t="shared" si="1"/>
        <v>0</v>
      </c>
    </row>
    <row r="37" spans="2:6" ht="36" hidden="1" customHeight="1">
      <c r="B37" s="84"/>
      <c r="C37" s="124"/>
      <c r="D37" s="128"/>
      <c r="E37" s="126">
        <f t="shared" si="0"/>
        <v>0</v>
      </c>
      <c r="F37" s="118">
        <f t="shared" si="1"/>
        <v>0</v>
      </c>
    </row>
    <row r="38" spans="2:6" ht="36" hidden="1" customHeight="1">
      <c r="B38" s="84"/>
      <c r="C38" s="124"/>
      <c r="D38" s="128"/>
      <c r="E38" s="126">
        <f t="shared" si="0"/>
        <v>0</v>
      </c>
      <c r="F38" s="118">
        <f t="shared" si="1"/>
        <v>0</v>
      </c>
    </row>
    <row r="39" spans="2:6" ht="36" hidden="1" customHeight="1">
      <c r="B39" s="84"/>
      <c r="C39" s="124"/>
      <c r="D39" s="128"/>
      <c r="E39" s="126">
        <f t="shared" si="0"/>
        <v>0</v>
      </c>
      <c r="F39" s="118">
        <f t="shared" si="1"/>
        <v>0</v>
      </c>
    </row>
    <row r="40" spans="2:6" ht="36" hidden="1" customHeight="1">
      <c r="B40" s="84"/>
      <c r="C40" s="124"/>
      <c r="D40" s="128"/>
      <c r="E40" s="126">
        <f t="shared" si="0"/>
        <v>0</v>
      </c>
      <c r="F40" s="118">
        <f t="shared" si="1"/>
        <v>0</v>
      </c>
    </row>
    <row r="41" spans="2:6" ht="36" hidden="1" customHeight="1">
      <c r="B41" s="84"/>
      <c r="C41" s="124"/>
      <c r="D41" s="128"/>
      <c r="E41" s="126">
        <f t="shared" si="0"/>
        <v>0</v>
      </c>
      <c r="F41" s="118">
        <f t="shared" si="1"/>
        <v>0</v>
      </c>
    </row>
    <row r="42" spans="2:6" ht="36" hidden="1" customHeight="1">
      <c r="B42" s="84"/>
      <c r="C42" s="124"/>
      <c r="D42" s="128"/>
      <c r="E42" s="126">
        <f t="shared" si="0"/>
        <v>0</v>
      </c>
      <c r="F42" s="118">
        <f t="shared" si="1"/>
        <v>0</v>
      </c>
    </row>
    <row r="43" spans="2:6" ht="36" hidden="1" customHeight="1">
      <c r="B43" s="84"/>
      <c r="C43" s="124"/>
      <c r="D43" s="128"/>
      <c r="E43" s="126">
        <f t="shared" si="0"/>
        <v>0</v>
      </c>
      <c r="F43" s="118">
        <f t="shared" si="1"/>
        <v>0</v>
      </c>
    </row>
    <row r="44" spans="2:6" ht="36" hidden="1" customHeight="1">
      <c r="B44" s="84"/>
      <c r="C44" s="124"/>
      <c r="D44" s="128"/>
      <c r="E44" s="126">
        <f t="shared" si="0"/>
        <v>0</v>
      </c>
      <c r="F44" s="118">
        <f t="shared" si="1"/>
        <v>0</v>
      </c>
    </row>
    <row r="45" spans="2:6" ht="36" hidden="1" customHeight="1">
      <c r="B45" s="84"/>
      <c r="C45" s="124"/>
      <c r="D45" s="128"/>
      <c r="E45" s="126">
        <f t="shared" si="0"/>
        <v>0</v>
      </c>
      <c r="F45" s="118">
        <f t="shared" si="1"/>
        <v>0</v>
      </c>
    </row>
    <row r="46" spans="2:6" ht="36" hidden="1" customHeight="1">
      <c r="B46" s="84"/>
      <c r="C46" s="124"/>
      <c r="D46" s="128"/>
      <c r="E46" s="126">
        <f t="shared" si="0"/>
        <v>0</v>
      </c>
      <c r="F46" s="118">
        <f t="shared" si="1"/>
        <v>0</v>
      </c>
    </row>
    <row r="47" spans="2:6" ht="36" hidden="1" customHeight="1">
      <c r="B47" s="84"/>
      <c r="C47" s="124"/>
      <c r="D47" s="128"/>
      <c r="E47" s="126">
        <f t="shared" si="0"/>
        <v>0</v>
      </c>
      <c r="F47" s="118">
        <f t="shared" si="1"/>
        <v>0</v>
      </c>
    </row>
    <row r="48" spans="2:6" ht="36" hidden="1" customHeight="1">
      <c r="B48" s="84"/>
      <c r="C48" s="124"/>
      <c r="D48" s="128"/>
      <c r="E48" s="126">
        <f t="shared" si="0"/>
        <v>0</v>
      </c>
      <c r="F48" s="118">
        <f t="shared" si="1"/>
        <v>0</v>
      </c>
    </row>
    <row r="49" spans="2:10" ht="36" hidden="1" customHeight="1">
      <c r="B49" s="84"/>
      <c r="C49" s="124"/>
      <c r="D49" s="128"/>
      <c r="E49" s="126">
        <f t="shared" si="0"/>
        <v>0</v>
      </c>
      <c r="F49" s="118">
        <f t="shared" si="1"/>
        <v>0</v>
      </c>
    </row>
    <row r="50" spans="2:10" ht="36" hidden="1" customHeight="1">
      <c r="B50" s="84"/>
      <c r="C50" s="124"/>
      <c r="D50" s="128"/>
      <c r="E50" s="126">
        <f t="shared" si="0"/>
        <v>0</v>
      </c>
      <c r="F50" s="118">
        <f t="shared" si="1"/>
        <v>0</v>
      </c>
    </row>
    <row r="51" spans="2:10" ht="36" hidden="1" customHeight="1">
      <c r="B51" s="84"/>
      <c r="C51" s="124"/>
      <c r="D51" s="128"/>
      <c r="E51" s="126">
        <f t="shared" si="0"/>
        <v>0</v>
      </c>
      <c r="F51" s="118">
        <f t="shared" si="1"/>
        <v>0</v>
      </c>
    </row>
    <row r="52" spans="2:10" ht="36" hidden="1" customHeight="1">
      <c r="B52" s="84"/>
      <c r="C52" s="124"/>
      <c r="D52" s="128"/>
      <c r="E52" s="126">
        <f t="shared" si="0"/>
        <v>0</v>
      </c>
      <c r="F52" s="118">
        <f t="shared" si="1"/>
        <v>0</v>
      </c>
    </row>
    <row r="53" spans="2:10" ht="36" hidden="1" customHeight="1">
      <c r="B53" s="84"/>
      <c r="C53" s="124"/>
      <c r="D53" s="128"/>
      <c r="E53" s="126">
        <f t="shared" si="0"/>
        <v>0</v>
      </c>
      <c r="F53" s="118">
        <f t="shared" si="1"/>
        <v>0</v>
      </c>
    </row>
    <row r="54" spans="2:10" ht="36" hidden="1" customHeight="1">
      <c r="B54" s="84"/>
      <c r="C54" s="124"/>
      <c r="D54" s="128"/>
      <c r="E54" s="126">
        <f t="shared" si="0"/>
        <v>0</v>
      </c>
      <c r="F54" s="118">
        <f t="shared" si="1"/>
        <v>0</v>
      </c>
    </row>
    <row r="55" spans="2:10" ht="36" hidden="1" customHeight="1">
      <c r="B55" s="84"/>
      <c r="C55" s="124"/>
      <c r="D55" s="128"/>
      <c r="E55" s="126">
        <f t="shared" si="0"/>
        <v>0</v>
      </c>
      <c r="F55" s="118">
        <f t="shared" si="1"/>
        <v>0</v>
      </c>
    </row>
    <row r="56" spans="2:10" ht="36" hidden="1" customHeight="1">
      <c r="B56" s="84"/>
      <c r="C56" s="124"/>
      <c r="D56" s="128"/>
      <c r="E56" s="126">
        <f t="shared" si="0"/>
        <v>0</v>
      </c>
      <c r="F56" s="118">
        <f t="shared" si="1"/>
        <v>0</v>
      </c>
    </row>
    <row r="57" spans="2:10" ht="36" hidden="1" customHeight="1">
      <c r="B57" s="84"/>
      <c r="C57" s="124"/>
      <c r="D57" s="128"/>
      <c r="E57" s="126">
        <f t="shared" si="0"/>
        <v>0</v>
      </c>
      <c r="F57" s="118">
        <f t="shared" si="1"/>
        <v>0</v>
      </c>
    </row>
    <row r="58" spans="2:10" ht="36" hidden="1" customHeight="1">
      <c r="B58" s="84"/>
      <c r="C58" s="124"/>
      <c r="D58" s="128"/>
      <c r="E58" s="126">
        <f t="shared" si="0"/>
        <v>0</v>
      </c>
      <c r="F58" s="118">
        <f t="shared" si="1"/>
        <v>0</v>
      </c>
    </row>
    <row r="59" spans="2:10" ht="36" customHeight="1" thickBot="1">
      <c r="B59" s="86"/>
      <c r="C59" s="129"/>
      <c r="D59" s="130"/>
      <c r="E59" s="131">
        <f t="shared" si="0"/>
        <v>0</v>
      </c>
      <c r="F59" s="132">
        <f t="shared" si="1"/>
        <v>0</v>
      </c>
    </row>
    <row r="60" spans="2:10" s="4" customFormat="1" ht="32.1" customHeight="1">
      <c r="B60" s="2"/>
      <c r="C60" s="2"/>
      <c r="D60" s="2"/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52DF-ECEB-4721-B175-2660E014A9C6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7" width="7.6640625" style="1" customWidth="1"/>
    <col min="8" max="10" width="10.88671875" style="1" customWidth="1"/>
    <col min="11" max="17" width="10.88671875" style="3" customWidth="1"/>
    <col min="18" max="16384" width="13.109375" style="3"/>
  </cols>
  <sheetData>
    <row r="1" spans="2:17" ht="48" customHeight="1" thickBot="1">
      <c r="B1" s="200" t="s">
        <v>24</v>
      </c>
      <c r="C1" s="182"/>
      <c r="D1" s="57"/>
      <c r="E1" s="57"/>
      <c r="F1" s="57"/>
    </row>
    <row r="2" spans="2:17" ht="18.75" hidden="1" customHeight="1" thickBot="1">
      <c r="B2" s="14"/>
      <c r="C2" s="14"/>
      <c r="D2" s="14">
        <v>30</v>
      </c>
      <c r="E2" s="1" t="s">
        <v>20</v>
      </c>
    </row>
    <row r="3" spans="2:17" ht="50.1" customHeight="1" thickBot="1">
      <c r="B3" s="201"/>
      <c r="C3" s="202"/>
      <c r="D3" s="61"/>
      <c r="E3" s="158" t="s">
        <v>2</v>
      </c>
      <c r="F3" s="169"/>
      <c r="H3" s="1" t="s">
        <v>45</v>
      </c>
      <c r="I3" s="1">
        <v>10</v>
      </c>
      <c r="J3" s="1" t="s">
        <v>46</v>
      </c>
    </row>
    <row r="4" spans="2:17" s="4" customFormat="1" ht="36" customHeight="1" thickBot="1">
      <c r="B4" s="15"/>
      <c r="C4" s="70" t="s">
        <v>24</v>
      </c>
      <c r="D4" s="71" t="s">
        <v>35</v>
      </c>
      <c r="E4" s="72" t="s">
        <v>21</v>
      </c>
      <c r="F4" s="73" t="s">
        <v>36</v>
      </c>
      <c r="G4" s="1"/>
      <c r="H4" s="39"/>
      <c r="I4" s="40">
        <f>SUM(I6:I10)</f>
        <v>2</v>
      </c>
      <c r="J4" s="40">
        <f>SUM(J6:J10)</f>
        <v>4</v>
      </c>
      <c r="K4" s="41">
        <f>SUM(K6:K10)</f>
        <v>0</v>
      </c>
    </row>
    <row r="5" spans="2:17" ht="36" customHeight="1" thickTop="1">
      <c r="B5" s="198" t="s">
        <v>1</v>
      </c>
      <c r="C5" s="199"/>
      <c r="D5" s="113"/>
      <c r="E5" s="114"/>
      <c r="F5" s="115"/>
      <c r="H5" s="42" t="s">
        <v>4</v>
      </c>
      <c r="I5" s="43" t="s">
        <v>39</v>
      </c>
      <c r="J5" s="43" t="s">
        <v>31</v>
      </c>
      <c r="K5" s="44" t="s">
        <v>40</v>
      </c>
    </row>
    <row r="6" spans="2:17" ht="36" customHeight="1">
      <c r="B6" s="76">
        <v>0</v>
      </c>
      <c r="C6" s="77" t="s">
        <v>22</v>
      </c>
      <c r="D6" s="116">
        <v>0</v>
      </c>
      <c r="E6" s="117">
        <f>IF(B6=0,0,IF($I$3=10, $I6, $J6))</f>
        <v>0</v>
      </c>
      <c r="F6" s="118">
        <f>IF($B6=0,0,$D$3*$B6)</f>
        <v>0</v>
      </c>
      <c r="H6" s="45">
        <v>0</v>
      </c>
      <c r="I6" s="46">
        <v>0</v>
      </c>
      <c r="J6" s="47">
        <v>0</v>
      </c>
      <c r="K6" s="48">
        <v>0</v>
      </c>
    </row>
    <row r="7" spans="2:17" ht="36" customHeight="1">
      <c r="B7" s="119">
        <f>I3</f>
        <v>10</v>
      </c>
      <c r="C7" s="120" t="s">
        <v>23</v>
      </c>
      <c r="D7" s="116">
        <v>0</v>
      </c>
      <c r="E7" s="117">
        <f>IF(B7=0,0,IF($I$3=10, $I7, $J7))</f>
        <v>2</v>
      </c>
      <c r="F7" s="118">
        <f>IF($B7=0,0,$D$3*$B7)</f>
        <v>0</v>
      </c>
      <c r="H7" s="45"/>
      <c r="I7" s="46">
        <v>2</v>
      </c>
      <c r="J7" s="47">
        <v>4</v>
      </c>
      <c r="K7" s="48">
        <v>0</v>
      </c>
    </row>
    <row r="8" spans="2:17" ht="36" customHeight="1">
      <c r="B8" s="119">
        <v>1</v>
      </c>
      <c r="C8" s="120" t="s">
        <v>22</v>
      </c>
      <c r="D8" s="116">
        <v>0</v>
      </c>
      <c r="E8" s="117">
        <f>IF(B8=0,0,K8)</f>
        <v>0</v>
      </c>
      <c r="F8" s="118">
        <f t="shared" ref="F8:F10" si="0">IF($H8=0,0,$D$3*$B8)</f>
        <v>0</v>
      </c>
      <c r="H8" s="45"/>
      <c r="I8" s="47"/>
      <c r="J8" s="47"/>
      <c r="K8" s="48"/>
    </row>
    <row r="9" spans="2:17" ht="36" customHeight="1">
      <c r="B9" s="119">
        <v>1</v>
      </c>
      <c r="C9" s="120" t="s">
        <v>50</v>
      </c>
      <c r="D9" s="116">
        <v>0</v>
      </c>
      <c r="E9" s="117">
        <f>IF(B9=0,0,K9)</f>
        <v>0</v>
      </c>
      <c r="F9" s="118">
        <f t="shared" si="0"/>
        <v>0</v>
      </c>
      <c r="H9" s="45"/>
      <c r="I9" s="47"/>
      <c r="J9" s="47"/>
      <c r="K9" s="48"/>
    </row>
    <row r="10" spans="2:17" ht="36" customHeight="1" thickBot="1">
      <c r="B10" s="97">
        <v>1</v>
      </c>
      <c r="C10" s="98" t="s">
        <v>23</v>
      </c>
      <c r="D10" s="121">
        <v>0</v>
      </c>
      <c r="E10" s="122">
        <f>IF(B10=0,0,K10)</f>
        <v>0</v>
      </c>
      <c r="F10" s="123">
        <f t="shared" si="0"/>
        <v>0</v>
      </c>
      <c r="H10" s="45"/>
      <c r="I10" s="47"/>
      <c r="J10" s="47"/>
      <c r="K10" s="48"/>
    </row>
    <row r="11" spans="2:17" ht="36" customHeight="1" thickTop="1">
      <c r="B11" s="84"/>
      <c r="C11" s="124"/>
      <c r="D11" s="125"/>
      <c r="E11" s="126"/>
      <c r="F11" s="127">
        <f>IF($D11=0,0,$D$3*$D11)</f>
        <v>0</v>
      </c>
      <c r="H11" s="24"/>
      <c r="I11" s="25">
        <f>SUM(I13:I59)</f>
        <v>0</v>
      </c>
      <c r="J11" s="26"/>
      <c r="K11" s="27">
        <f>SUM(K13:K59)</f>
        <v>0</v>
      </c>
      <c r="L11" s="25">
        <f>SUM(L13:L59)</f>
        <v>0</v>
      </c>
      <c r="M11" s="26"/>
      <c r="N11" s="27">
        <f>SUM(N13:N59)</f>
        <v>0</v>
      </c>
      <c r="O11" s="25">
        <f>SUM(O13:O59)</f>
        <v>0</v>
      </c>
      <c r="P11" s="26"/>
      <c r="Q11" s="28">
        <f>SUM(Q13:Q59)</f>
        <v>0</v>
      </c>
    </row>
    <row r="12" spans="2:17" ht="36" customHeight="1">
      <c r="B12" s="84"/>
      <c r="C12" s="124"/>
      <c r="D12" s="128"/>
      <c r="E12" s="126"/>
      <c r="F12" s="118">
        <f t="shared" ref="F12:F59" si="1">IF($D12=0,0,$D$3*$D12)</f>
        <v>0</v>
      </c>
      <c r="H12" s="29" t="s">
        <v>4</v>
      </c>
      <c r="I12" s="30" t="s">
        <v>26</v>
      </c>
      <c r="J12" s="31" t="s">
        <v>34</v>
      </c>
      <c r="K12" s="32" t="s">
        <v>27</v>
      </c>
      <c r="L12" s="30" t="s">
        <v>28</v>
      </c>
      <c r="M12" s="31" t="s">
        <v>29</v>
      </c>
      <c r="N12" s="32" t="s">
        <v>30</v>
      </c>
      <c r="O12" s="30" t="s">
        <v>31</v>
      </c>
      <c r="P12" s="31" t="s">
        <v>32</v>
      </c>
      <c r="Q12" s="33" t="s">
        <v>33</v>
      </c>
    </row>
    <row r="13" spans="2:17" ht="36" customHeight="1">
      <c r="B13" s="84"/>
      <c r="C13" s="124"/>
      <c r="D13" s="128">
        <f>IF($I$3=10,$J13, $P13)</f>
        <v>0</v>
      </c>
      <c r="E13" s="126"/>
      <c r="F13" s="118">
        <f t="shared" si="1"/>
        <v>0</v>
      </c>
      <c r="H13" s="34"/>
      <c r="I13" s="35"/>
      <c r="J13" s="36"/>
      <c r="K13" s="37"/>
      <c r="L13" s="35"/>
      <c r="M13" s="36"/>
      <c r="N13" s="37"/>
      <c r="O13" s="35"/>
      <c r="P13" s="36"/>
      <c r="Q13" s="38"/>
    </row>
    <row r="14" spans="2:17" ht="36" customHeight="1">
      <c r="B14" s="84"/>
      <c r="C14" s="124"/>
      <c r="D14" s="128">
        <f t="shared" ref="D14:D59" si="2">IF($I$3=10,$J14, $P14)</f>
        <v>0</v>
      </c>
      <c r="E14" s="126"/>
      <c r="F14" s="118">
        <f t="shared" si="1"/>
        <v>0</v>
      </c>
      <c r="H14" s="34"/>
      <c r="I14" s="35"/>
      <c r="J14" s="36"/>
      <c r="K14" s="37"/>
      <c r="L14" s="35"/>
      <c r="M14" s="36"/>
      <c r="N14" s="37"/>
      <c r="O14" s="35"/>
      <c r="P14" s="36"/>
      <c r="Q14" s="38"/>
    </row>
    <row r="15" spans="2:17" ht="36" customHeight="1">
      <c r="B15" s="84"/>
      <c r="C15" s="124"/>
      <c r="D15" s="128">
        <f t="shared" si="2"/>
        <v>0</v>
      </c>
      <c r="E15" s="126"/>
      <c r="F15" s="118">
        <f t="shared" si="1"/>
        <v>0</v>
      </c>
      <c r="H15" s="34"/>
      <c r="I15" s="35"/>
      <c r="J15" s="36"/>
      <c r="K15" s="37"/>
      <c r="L15" s="35"/>
      <c r="M15" s="36"/>
      <c r="N15" s="37"/>
      <c r="O15" s="35"/>
      <c r="P15" s="36"/>
      <c r="Q15" s="38"/>
    </row>
    <row r="16" spans="2:17" ht="36" customHeight="1">
      <c r="B16" s="84"/>
      <c r="C16" s="124"/>
      <c r="D16" s="128">
        <f t="shared" si="2"/>
        <v>0</v>
      </c>
      <c r="E16" s="126"/>
      <c r="F16" s="118">
        <f t="shared" si="1"/>
        <v>0</v>
      </c>
      <c r="H16" s="34"/>
      <c r="I16" s="35"/>
      <c r="J16" s="36"/>
      <c r="K16" s="37"/>
      <c r="L16" s="35"/>
      <c r="M16" s="36"/>
      <c r="N16" s="37"/>
      <c r="O16" s="35"/>
      <c r="P16" s="36"/>
      <c r="Q16" s="38"/>
    </row>
    <row r="17" spans="2:17" ht="36" customHeight="1">
      <c r="B17" s="84"/>
      <c r="C17" s="124"/>
      <c r="D17" s="128">
        <f t="shared" si="2"/>
        <v>0</v>
      </c>
      <c r="E17" s="126"/>
      <c r="F17" s="118">
        <f t="shared" si="1"/>
        <v>0</v>
      </c>
      <c r="H17" s="34"/>
      <c r="I17" s="35"/>
      <c r="J17" s="36"/>
      <c r="K17" s="37"/>
      <c r="L17" s="35"/>
      <c r="M17" s="36"/>
      <c r="N17" s="37"/>
      <c r="O17" s="35"/>
      <c r="P17" s="36"/>
      <c r="Q17" s="38"/>
    </row>
    <row r="18" spans="2:17" ht="36" customHeight="1">
      <c r="B18" s="84"/>
      <c r="C18" s="124"/>
      <c r="D18" s="128">
        <f t="shared" si="2"/>
        <v>0</v>
      </c>
      <c r="E18" s="126"/>
      <c r="F18" s="118">
        <f t="shared" si="1"/>
        <v>0</v>
      </c>
      <c r="H18" s="34"/>
      <c r="I18" s="35"/>
      <c r="J18" s="36"/>
      <c r="K18" s="37"/>
      <c r="L18" s="35"/>
      <c r="M18" s="36"/>
      <c r="N18" s="37"/>
      <c r="O18" s="35"/>
      <c r="P18" s="36"/>
      <c r="Q18" s="38"/>
    </row>
    <row r="19" spans="2:17" ht="36" customHeight="1">
      <c r="B19" s="84"/>
      <c r="C19" s="124"/>
      <c r="D19" s="128">
        <f t="shared" si="2"/>
        <v>0</v>
      </c>
      <c r="E19" s="126"/>
      <c r="F19" s="118">
        <f t="shared" si="1"/>
        <v>0</v>
      </c>
      <c r="H19" s="34"/>
      <c r="I19" s="35"/>
      <c r="J19" s="36"/>
      <c r="K19" s="37"/>
      <c r="L19" s="35"/>
      <c r="M19" s="36"/>
      <c r="N19" s="37"/>
      <c r="O19" s="35"/>
      <c r="P19" s="36"/>
      <c r="Q19" s="38"/>
    </row>
    <row r="20" spans="2:17" ht="36" customHeight="1">
      <c r="B20" s="84"/>
      <c r="C20" s="124"/>
      <c r="D20" s="128">
        <f t="shared" si="2"/>
        <v>0</v>
      </c>
      <c r="E20" s="126"/>
      <c r="F20" s="118">
        <f t="shared" si="1"/>
        <v>0</v>
      </c>
      <c r="H20" s="34"/>
      <c r="I20" s="35"/>
      <c r="J20" s="36"/>
      <c r="K20" s="37"/>
      <c r="L20" s="35"/>
      <c r="M20" s="36"/>
      <c r="N20" s="37"/>
      <c r="O20" s="35"/>
      <c r="P20" s="36"/>
      <c r="Q20" s="38"/>
    </row>
    <row r="21" spans="2:17" ht="36" customHeight="1">
      <c r="B21" s="84"/>
      <c r="C21" s="124"/>
      <c r="D21" s="128">
        <f t="shared" si="2"/>
        <v>0</v>
      </c>
      <c r="E21" s="126"/>
      <c r="F21" s="118">
        <f t="shared" si="1"/>
        <v>0</v>
      </c>
      <c r="H21" s="34"/>
      <c r="I21" s="35"/>
      <c r="J21" s="36"/>
      <c r="K21" s="37"/>
      <c r="L21" s="35"/>
      <c r="M21" s="36"/>
      <c r="N21" s="37"/>
      <c r="O21" s="35"/>
      <c r="P21" s="36"/>
      <c r="Q21" s="38"/>
    </row>
    <row r="22" spans="2:17" ht="36" hidden="1" customHeight="1">
      <c r="B22" s="84"/>
      <c r="C22" s="124"/>
      <c r="D22" s="128">
        <f t="shared" si="2"/>
        <v>0</v>
      </c>
      <c r="E22" s="126"/>
      <c r="F22" s="118">
        <f t="shared" si="1"/>
        <v>0</v>
      </c>
      <c r="H22" s="34"/>
      <c r="I22" s="35"/>
      <c r="J22" s="36"/>
      <c r="K22" s="37"/>
      <c r="L22" s="35"/>
      <c r="M22" s="36"/>
      <c r="N22" s="37"/>
      <c r="O22" s="35"/>
      <c r="P22" s="36"/>
      <c r="Q22" s="38"/>
    </row>
    <row r="23" spans="2:17" ht="36" hidden="1" customHeight="1">
      <c r="B23" s="84"/>
      <c r="C23" s="124"/>
      <c r="D23" s="128">
        <f t="shared" si="2"/>
        <v>0</v>
      </c>
      <c r="E23" s="126"/>
      <c r="F23" s="118">
        <f t="shared" si="1"/>
        <v>0</v>
      </c>
      <c r="H23" s="34"/>
      <c r="I23" s="35"/>
      <c r="J23" s="36"/>
      <c r="K23" s="37"/>
      <c r="L23" s="35"/>
      <c r="M23" s="36"/>
      <c r="N23" s="37"/>
      <c r="O23" s="35"/>
      <c r="P23" s="36"/>
      <c r="Q23" s="38"/>
    </row>
    <row r="24" spans="2:17" ht="36" hidden="1" customHeight="1">
      <c r="B24" s="84"/>
      <c r="C24" s="124"/>
      <c r="D24" s="128">
        <f t="shared" si="2"/>
        <v>0</v>
      </c>
      <c r="E24" s="126"/>
      <c r="F24" s="118">
        <f t="shared" si="1"/>
        <v>0</v>
      </c>
      <c r="H24" s="34"/>
      <c r="I24" s="35"/>
      <c r="J24" s="36"/>
      <c r="K24" s="37"/>
      <c r="L24" s="35"/>
      <c r="M24" s="36"/>
      <c r="N24" s="37"/>
      <c r="O24" s="35"/>
      <c r="P24" s="36"/>
      <c r="Q24" s="38"/>
    </row>
    <row r="25" spans="2:17" ht="36" hidden="1" customHeight="1">
      <c r="B25" s="84"/>
      <c r="C25" s="124"/>
      <c r="D25" s="128">
        <f t="shared" si="2"/>
        <v>0</v>
      </c>
      <c r="E25" s="126"/>
      <c r="F25" s="118">
        <f t="shared" si="1"/>
        <v>0</v>
      </c>
      <c r="H25" s="34"/>
      <c r="I25" s="35"/>
      <c r="J25" s="36"/>
      <c r="K25" s="37"/>
      <c r="L25" s="35"/>
      <c r="M25" s="36"/>
      <c r="N25" s="37"/>
      <c r="O25" s="35"/>
      <c r="P25" s="36"/>
      <c r="Q25" s="38"/>
    </row>
    <row r="26" spans="2:17" ht="36" hidden="1" customHeight="1">
      <c r="B26" s="84"/>
      <c r="C26" s="124"/>
      <c r="D26" s="128">
        <f t="shared" si="2"/>
        <v>0</v>
      </c>
      <c r="E26" s="126"/>
      <c r="F26" s="118">
        <f t="shared" si="1"/>
        <v>0</v>
      </c>
      <c r="H26" s="34"/>
      <c r="I26" s="35"/>
      <c r="J26" s="36"/>
      <c r="K26" s="37"/>
      <c r="L26" s="35"/>
      <c r="M26" s="36"/>
      <c r="N26" s="37"/>
      <c r="O26" s="35"/>
      <c r="P26" s="36"/>
      <c r="Q26" s="38"/>
    </row>
    <row r="27" spans="2:17" ht="36" hidden="1" customHeight="1">
      <c r="B27" s="84"/>
      <c r="C27" s="124"/>
      <c r="D27" s="128">
        <f t="shared" si="2"/>
        <v>0</v>
      </c>
      <c r="E27" s="126"/>
      <c r="F27" s="118">
        <f t="shared" si="1"/>
        <v>0</v>
      </c>
      <c r="H27" s="34"/>
      <c r="I27" s="35"/>
      <c r="J27" s="36"/>
      <c r="K27" s="37"/>
      <c r="L27" s="35"/>
      <c r="M27" s="36"/>
      <c r="N27" s="37"/>
      <c r="O27" s="35"/>
      <c r="P27" s="36"/>
      <c r="Q27" s="38"/>
    </row>
    <row r="28" spans="2:17" ht="36" hidden="1" customHeight="1">
      <c r="B28" s="84"/>
      <c r="C28" s="124"/>
      <c r="D28" s="128">
        <f t="shared" si="2"/>
        <v>0</v>
      </c>
      <c r="E28" s="126"/>
      <c r="F28" s="118">
        <f t="shared" si="1"/>
        <v>0</v>
      </c>
      <c r="H28" s="34"/>
      <c r="I28" s="35"/>
      <c r="J28" s="36"/>
      <c r="K28" s="37"/>
      <c r="L28" s="35"/>
      <c r="M28" s="36"/>
      <c r="N28" s="37"/>
      <c r="O28" s="35"/>
      <c r="P28" s="36"/>
      <c r="Q28" s="38"/>
    </row>
    <row r="29" spans="2:17" ht="36" hidden="1" customHeight="1">
      <c r="B29" s="84"/>
      <c r="C29" s="124"/>
      <c r="D29" s="128">
        <f t="shared" si="2"/>
        <v>0</v>
      </c>
      <c r="E29" s="126"/>
      <c r="F29" s="118">
        <f t="shared" si="1"/>
        <v>0</v>
      </c>
      <c r="H29" s="34"/>
      <c r="I29" s="35"/>
      <c r="J29" s="36"/>
      <c r="K29" s="37"/>
      <c r="L29" s="35"/>
      <c r="M29" s="36"/>
      <c r="N29" s="37"/>
      <c r="O29" s="35"/>
      <c r="P29" s="36"/>
      <c r="Q29" s="38"/>
    </row>
    <row r="30" spans="2:17" ht="36" hidden="1" customHeight="1">
      <c r="B30" s="84"/>
      <c r="C30" s="124"/>
      <c r="D30" s="128">
        <f t="shared" si="2"/>
        <v>0</v>
      </c>
      <c r="E30" s="126"/>
      <c r="F30" s="118">
        <f t="shared" si="1"/>
        <v>0</v>
      </c>
      <c r="H30" s="34"/>
      <c r="I30" s="35"/>
      <c r="J30" s="36"/>
      <c r="K30" s="37"/>
      <c r="L30" s="35"/>
      <c r="M30" s="36"/>
      <c r="N30" s="37"/>
      <c r="O30" s="35"/>
      <c r="P30" s="36"/>
      <c r="Q30" s="38"/>
    </row>
    <row r="31" spans="2:17" ht="36" hidden="1" customHeight="1">
      <c r="B31" s="84"/>
      <c r="C31" s="124"/>
      <c r="D31" s="128">
        <f t="shared" si="2"/>
        <v>0</v>
      </c>
      <c r="E31" s="126"/>
      <c r="F31" s="118">
        <f t="shared" si="1"/>
        <v>0</v>
      </c>
      <c r="H31" s="34"/>
      <c r="I31" s="35"/>
      <c r="J31" s="36"/>
      <c r="K31" s="37"/>
      <c r="L31" s="35"/>
      <c r="M31" s="36"/>
      <c r="N31" s="37"/>
      <c r="O31" s="35"/>
      <c r="P31" s="36"/>
      <c r="Q31" s="38"/>
    </row>
    <row r="32" spans="2:17" ht="36" hidden="1" customHeight="1">
      <c r="B32" s="84"/>
      <c r="C32" s="124"/>
      <c r="D32" s="128">
        <f t="shared" si="2"/>
        <v>0</v>
      </c>
      <c r="E32" s="126"/>
      <c r="F32" s="118">
        <f t="shared" si="1"/>
        <v>0</v>
      </c>
      <c r="H32" s="34"/>
      <c r="I32" s="35"/>
      <c r="J32" s="36"/>
      <c r="K32" s="37"/>
      <c r="L32" s="35"/>
      <c r="M32" s="36"/>
      <c r="N32" s="37"/>
      <c r="O32" s="35"/>
      <c r="P32" s="36"/>
      <c r="Q32" s="38"/>
    </row>
    <row r="33" spans="2:17" ht="36" hidden="1" customHeight="1">
      <c r="B33" s="84"/>
      <c r="C33" s="124"/>
      <c r="D33" s="128">
        <f t="shared" si="2"/>
        <v>0</v>
      </c>
      <c r="E33" s="126"/>
      <c r="F33" s="118">
        <f t="shared" si="1"/>
        <v>0</v>
      </c>
      <c r="H33" s="34"/>
      <c r="I33" s="35"/>
      <c r="J33" s="36"/>
      <c r="K33" s="37"/>
      <c r="L33" s="35"/>
      <c r="M33" s="36"/>
      <c r="N33" s="37"/>
      <c r="O33" s="35"/>
      <c r="P33" s="36"/>
      <c r="Q33" s="38"/>
    </row>
    <row r="34" spans="2:17" ht="36" hidden="1" customHeight="1">
      <c r="B34" s="84"/>
      <c r="C34" s="124"/>
      <c r="D34" s="128">
        <f t="shared" si="2"/>
        <v>0</v>
      </c>
      <c r="E34" s="126"/>
      <c r="F34" s="118">
        <f t="shared" si="1"/>
        <v>0</v>
      </c>
      <c r="H34" s="34"/>
      <c r="I34" s="35"/>
      <c r="J34" s="36"/>
      <c r="K34" s="37"/>
      <c r="L34" s="35"/>
      <c r="M34" s="36"/>
      <c r="N34" s="37"/>
      <c r="O34" s="35"/>
      <c r="P34" s="36"/>
      <c r="Q34" s="38"/>
    </row>
    <row r="35" spans="2:17" ht="36" hidden="1" customHeight="1">
      <c r="B35" s="84"/>
      <c r="C35" s="124"/>
      <c r="D35" s="128">
        <f t="shared" si="2"/>
        <v>0</v>
      </c>
      <c r="E35" s="126"/>
      <c r="F35" s="118">
        <f t="shared" si="1"/>
        <v>0</v>
      </c>
      <c r="H35" s="34"/>
      <c r="I35" s="35"/>
      <c r="J35" s="36"/>
      <c r="K35" s="37"/>
      <c r="L35" s="35"/>
      <c r="M35" s="36"/>
      <c r="N35" s="37"/>
      <c r="O35" s="35"/>
      <c r="P35" s="36"/>
      <c r="Q35" s="38"/>
    </row>
    <row r="36" spans="2:17" ht="36" hidden="1" customHeight="1">
      <c r="B36" s="84"/>
      <c r="C36" s="124"/>
      <c r="D36" s="128">
        <f t="shared" si="2"/>
        <v>0</v>
      </c>
      <c r="E36" s="126"/>
      <c r="F36" s="118">
        <f t="shared" si="1"/>
        <v>0</v>
      </c>
      <c r="H36" s="34"/>
      <c r="I36" s="35"/>
      <c r="J36" s="36"/>
      <c r="K36" s="37"/>
      <c r="L36" s="35"/>
      <c r="M36" s="36"/>
      <c r="N36" s="37"/>
      <c r="O36" s="35"/>
      <c r="P36" s="36"/>
      <c r="Q36" s="38"/>
    </row>
    <row r="37" spans="2:17" ht="36" hidden="1" customHeight="1">
      <c r="B37" s="84"/>
      <c r="C37" s="124"/>
      <c r="D37" s="128">
        <f t="shared" si="2"/>
        <v>0</v>
      </c>
      <c r="E37" s="126"/>
      <c r="F37" s="118">
        <f t="shared" si="1"/>
        <v>0</v>
      </c>
      <c r="H37" s="34"/>
      <c r="I37" s="35"/>
      <c r="J37" s="36"/>
      <c r="K37" s="37"/>
      <c r="L37" s="35"/>
      <c r="M37" s="36"/>
      <c r="N37" s="37"/>
      <c r="O37" s="35"/>
      <c r="P37" s="36"/>
      <c r="Q37" s="38"/>
    </row>
    <row r="38" spans="2:17" ht="36" hidden="1" customHeight="1">
      <c r="B38" s="84"/>
      <c r="C38" s="124"/>
      <c r="D38" s="128">
        <f t="shared" si="2"/>
        <v>0</v>
      </c>
      <c r="E38" s="126"/>
      <c r="F38" s="118">
        <f t="shared" si="1"/>
        <v>0</v>
      </c>
      <c r="H38" s="34"/>
      <c r="I38" s="35"/>
      <c r="J38" s="36"/>
      <c r="K38" s="37"/>
      <c r="L38" s="35"/>
      <c r="M38" s="36"/>
      <c r="N38" s="37"/>
      <c r="O38" s="35"/>
      <c r="P38" s="36"/>
      <c r="Q38" s="38"/>
    </row>
    <row r="39" spans="2:17" ht="36" hidden="1" customHeight="1">
      <c r="B39" s="84"/>
      <c r="C39" s="124"/>
      <c r="D39" s="128">
        <f t="shared" si="2"/>
        <v>0</v>
      </c>
      <c r="E39" s="126"/>
      <c r="F39" s="118">
        <f t="shared" si="1"/>
        <v>0</v>
      </c>
      <c r="H39" s="34"/>
      <c r="I39" s="35"/>
      <c r="J39" s="36"/>
      <c r="K39" s="37"/>
      <c r="L39" s="35"/>
      <c r="M39" s="36"/>
      <c r="N39" s="37"/>
      <c r="O39" s="35"/>
      <c r="P39" s="36"/>
      <c r="Q39" s="38"/>
    </row>
    <row r="40" spans="2:17" ht="36" hidden="1" customHeight="1">
      <c r="B40" s="84"/>
      <c r="C40" s="124"/>
      <c r="D40" s="128">
        <f t="shared" si="2"/>
        <v>0</v>
      </c>
      <c r="E40" s="126"/>
      <c r="F40" s="118">
        <f t="shared" si="1"/>
        <v>0</v>
      </c>
      <c r="H40" s="34"/>
      <c r="I40" s="35"/>
      <c r="J40" s="36"/>
      <c r="K40" s="37"/>
      <c r="L40" s="35"/>
      <c r="M40" s="36"/>
      <c r="N40" s="37"/>
      <c r="O40" s="35"/>
      <c r="P40" s="36"/>
      <c r="Q40" s="38"/>
    </row>
    <row r="41" spans="2:17" ht="36" hidden="1" customHeight="1">
      <c r="B41" s="84"/>
      <c r="C41" s="124"/>
      <c r="D41" s="128">
        <f t="shared" si="2"/>
        <v>0</v>
      </c>
      <c r="E41" s="126"/>
      <c r="F41" s="118">
        <f t="shared" si="1"/>
        <v>0</v>
      </c>
      <c r="H41" s="34"/>
      <c r="I41" s="35"/>
      <c r="J41" s="36"/>
      <c r="K41" s="37"/>
      <c r="L41" s="35"/>
      <c r="M41" s="36"/>
      <c r="N41" s="37"/>
      <c r="O41" s="35"/>
      <c r="P41" s="36"/>
      <c r="Q41" s="38"/>
    </row>
    <row r="42" spans="2:17" ht="36" hidden="1" customHeight="1">
      <c r="B42" s="84"/>
      <c r="C42" s="124"/>
      <c r="D42" s="128">
        <f t="shared" si="2"/>
        <v>0</v>
      </c>
      <c r="E42" s="126"/>
      <c r="F42" s="118">
        <f t="shared" si="1"/>
        <v>0</v>
      </c>
      <c r="H42" s="34"/>
      <c r="I42" s="35"/>
      <c r="J42" s="36"/>
      <c r="K42" s="37"/>
      <c r="L42" s="35"/>
      <c r="M42" s="36"/>
      <c r="N42" s="37"/>
      <c r="O42" s="35"/>
      <c r="P42" s="36"/>
      <c r="Q42" s="38"/>
    </row>
    <row r="43" spans="2:17" ht="36" hidden="1" customHeight="1">
      <c r="B43" s="84"/>
      <c r="C43" s="124"/>
      <c r="D43" s="128">
        <f t="shared" si="2"/>
        <v>0</v>
      </c>
      <c r="E43" s="126"/>
      <c r="F43" s="118">
        <f t="shared" si="1"/>
        <v>0</v>
      </c>
      <c r="H43" s="34"/>
      <c r="I43" s="35"/>
      <c r="J43" s="36"/>
      <c r="K43" s="37"/>
      <c r="L43" s="35"/>
      <c r="M43" s="36"/>
      <c r="N43" s="37"/>
      <c r="O43" s="35"/>
      <c r="P43" s="36"/>
      <c r="Q43" s="38"/>
    </row>
    <row r="44" spans="2:17" ht="36" hidden="1" customHeight="1">
      <c r="B44" s="84"/>
      <c r="C44" s="124"/>
      <c r="D44" s="128">
        <f t="shared" si="2"/>
        <v>0</v>
      </c>
      <c r="E44" s="126"/>
      <c r="F44" s="118">
        <f t="shared" si="1"/>
        <v>0</v>
      </c>
      <c r="H44" s="34"/>
      <c r="I44" s="35"/>
      <c r="J44" s="36"/>
      <c r="K44" s="37"/>
      <c r="L44" s="35"/>
      <c r="M44" s="36"/>
      <c r="N44" s="37"/>
      <c r="O44" s="35"/>
      <c r="P44" s="36"/>
      <c r="Q44" s="38"/>
    </row>
    <row r="45" spans="2:17" ht="36" hidden="1" customHeight="1">
      <c r="B45" s="84"/>
      <c r="C45" s="124"/>
      <c r="D45" s="128">
        <f t="shared" si="2"/>
        <v>0</v>
      </c>
      <c r="E45" s="126"/>
      <c r="F45" s="118">
        <f t="shared" si="1"/>
        <v>0</v>
      </c>
      <c r="H45" s="34"/>
      <c r="I45" s="35"/>
      <c r="J45" s="36"/>
      <c r="K45" s="37"/>
      <c r="L45" s="35"/>
      <c r="M45" s="36"/>
      <c r="N45" s="37"/>
      <c r="O45" s="35"/>
      <c r="P45" s="36"/>
      <c r="Q45" s="38"/>
    </row>
    <row r="46" spans="2:17" ht="36" hidden="1" customHeight="1">
      <c r="B46" s="84"/>
      <c r="C46" s="124"/>
      <c r="D46" s="128">
        <f t="shared" si="2"/>
        <v>0</v>
      </c>
      <c r="E46" s="126"/>
      <c r="F46" s="118">
        <f t="shared" si="1"/>
        <v>0</v>
      </c>
      <c r="H46" s="34"/>
      <c r="I46" s="35"/>
      <c r="J46" s="36"/>
      <c r="K46" s="37"/>
      <c r="L46" s="35"/>
      <c r="M46" s="36"/>
      <c r="N46" s="37"/>
      <c r="O46" s="35"/>
      <c r="P46" s="36"/>
      <c r="Q46" s="38"/>
    </row>
    <row r="47" spans="2:17" ht="36" hidden="1" customHeight="1">
      <c r="B47" s="84"/>
      <c r="C47" s="124"/>
      <c r="D47" s="128">
        <f t="shared" si="2"/>
        <v>0</v>
      </c>
      <c r="E47" s="126"/>
      <c r="F47" s="118">
        <f t="shared" si="1"/>
        <v>0</v>
      </c>
      <c r="H47" s="34"/>
      <c r="I47" s="35"/>
      <c r="J47" s="36"/>
      <c r="K47" s="37"/>
      <c r="L47" s="35"/>
      <c r="M47" s="36"/>
      <c r="N47" s="37"/>
      <c r="O47" s="35"/>
      <c r="P47" s="36"/>
      <c r="Q47" s="38"/>
    </row>
    <row r="48" spans="2:17" ht="36" hidden="1" customHeight="1">
      <c r="B48" s="84"/>
      <c r="C48" s="124"/>
      <c r="D48" s="128">
        <f t="shared" si="2"/>
        <v>0</v>
      </c>
      <c r="E48" s="126"/>
      <c r="F48" s="118">
        <f t="shared" si="1"/>
        <v>0</v>
      </c>
      <c r="H48" s="34"/>
      <c r="I48" s="35"/>
      <c r="J48" s="36"/>
      <c r="K48" s="37"/>
      <c r="L48" s="35"/>
      <c r="M48" s="36"/>
      <c r="N48" s="37"/>
      <c r="O48" s="35"/>
      <c r="P48" s="36"/>
      <c r="Q48" s="38"/>
    </row>
    <row r="49" spans="2:17" ht="36" hidden="1" customHeight="1">
      <c r="B49" s="84"/>
      <c r="C49" s="124"/>
      <c r="D49" s="128">
        <f t="shared" si="2"/>
        <v>0</v>
      </c>
      <c r="E49" s="126"/>
      <c r="F49" s="118">
        <f t="shared" si="1"/>
        <v>0</v>
      </c>
      <c r="H49" s="34"/>
      <c r="I49" s="35"/>
      <c r="J49" s="36"/>
      <c r="K49" s="37"/>
      <c r="L49" s="35"/>
      <c r="M49" s="36"/>
      <c r="N49" s="37"/>
      <c r="O49" s="35"/>
      <c r="P49" s="36"/>
      <c r="Q49" s="38"/>
    </row>
    <row r="50" spans="2:17" ht="36" hidden="1" customHeight="1">
      <c r="B50" s="84"/>
      <c r="C50" s="124"/>
      <c r="D50" s="128">
        <f t="shared" si="2"/>
        <v>0</v>
      </c>
      <c r="E50" s="126"/>
      <c r="F50" s="118">
        <f t="shared" si="1"/>
        <v>0</v>
      </c>
      <c r="H50" s="34"/>
      <c r="I50" s="35"/>
      <c r="J50" s="36"/>
      <c r="K50" s="37"/>
      <c r="L50" s="35"/>
      <c r="M50" s="36"/>
      <c r="N50" s="37"/>
      <c r="O50" s="35"/>
      <c r="P50" s="36"/>
      <c r="Q50" s="38"/>
    </row>
    <row r="51" spans="2:17" ht="36" hidden="1" customHeight="1">
      <c r="B51" s="84"/>
      <c r="C51" s="124"/>
      <c r="D51" s="128">
        <f t="shared" si="2"/>
        <v>0</v>
      </c>
      <c r="E51" s="126"/>
      <c r="F51" s="118">
        <f t="shared" si="1"/>
        <v>0</v>
      </c>
      <c r="H51" s="34"/>
      <c r="I51" s="35"/>
      <c r="J51" s="36"/>
      <c r="K51" s="37"/>
      <c r="L51" s="35"/>
      <c r="M51" s="36"/>
      <c r="N51" s="37"/>
      <c r="O51" s="35"/>
      <c r="P51" s="36"/>
      <c r="Q51" s="38"/>
    </row>
    <row r="52" spans="2:17" ht="36" hidden="1" customHeight="1">
      <c r="B52" s="84"/>
      <c r="C52" s="124"/>
      <c r="D52" s="128">
        <f t="shared" si="2"/>
        <v>0</v>
      </c>
      <c r="E52" s="126"/>
      <c r="F52" s="118">
        <f t="shared" si="1"/>
        <v>0</v>
      </c>
      <c r="H52" s="34"/>
      <c r="I52" s="35"/>
      <c r="J52" s="36"/>
      <c r="K52" s="37"/>
      <c r="L52" s="35"/>
      <c r="M52" s="36"/>
      <c r="N52" s="37"/>
      <c r="O52" s="35"/>
      <c r="P52" s="36"/>
      <c r="Q52" s="38"/>
    </row>
    <row r="53" spans="2:17" ht="36" hidden="1" customHeight="1">
      <c r="B53" s="84"/>
      <c r="C53" s="124"/>
      <c r="D53" s="128">
        <f t="shared" si="2"/>
        <v>0</v>
      </c>
      <c r="E53" s="126"/>
      <c r="F53" s="118">
        <f t="shared" si="1"/>
        <v>0</v>
      </c>
      <c r="H53" s="34"/>
      <c r="I53" s="35"/>
      <c r="J53" s="36"/>
      <c r="K53" s="37"/>
      <c r="L53" s="35"/>
      <c r="M53" s="36"/>
      <c r="N53" s="37"/>
      <c r="O53" s="35"/>
      <c r="P53" s="36"/>
      <c r="Q53" s="38"/>
    </row>
    <row r="54" spans="2:17" ht="36" hidden="1" customHeight="1">
      <c r="B54" s="84"/>
      <c r="C54" s="124"/>
      <c r="D54" s="128">
        <f t="shared" si="2"/>
        <v>0</v>
      </c>
      <c r="E54" s="126"/>
      <c r="F54" s="118">
        <f t="shared" si="1"/>
        <v>0</v>
      </c>
      <c r="H54" s="34"/>
      <c r="I54" s="35"/>
      <c r="J54" s="36"/>
      <c r="K54" s="37"/>
      <c r="L54" s="35"/>
      <c r="M54" s="36"/>
      <c r="N54" s="37"/>
      <c r="O54" s="35"/>
      <c r="P54" s="36"/>
      <c r="Q54" s="38"/>
    </row>
    <row r="55" spans="2:17" ht="36" hidden="1" customHeight="1">
      <c r="B55" s="84"/>
      <c r="C55" s="124"/>
      <c r="D55" s="128">
        <f t="shared" si="2"/>
        <v>0</v>
      </c>
      <c r="E55" s="126"/>
      <c r="F55" s="118">
        <f t="shared" si="1"/>
        <v>0</v>
      </c>
      <c r="H55" s="34"/>
      <c r="I55" s="35"/>
      <c r="J55" s="36"/>
      <c r="K55" s="37"/>
      <c r="L55" s="35"/>
      <c r="M55" s="36"/>
      <c r="N55" s="37"/>
      <c r="O55" s="35"/>
      <c r="P55" s="36"/>
      <c r="Q55" s="38"/>
    </row>
    <row r="56" spans="2:17" ht="36" hidden="1" customHeight="1">
      <c r="B56" s="84"/>
      <c r="C56" s="124"/>
      <c r="D56" s="128">
        <f t="shared" si="2"/>
        <v>0</v>
      </c>
      <c r="E56" s="126"/>
      <c r="F56" s="118">
        <f t="shared" si="1"/>
        <v>0</v>
      </c>
      <c r="H56" s="34"/>
      <c r="I56" s="35"/>
      <c r="J56" s="36"/>
      <c r="K56" s="37"/>
      <c r="L56" s="35"/>
      <c r="M56" s="36"/>
      <c r="N56" s="37"/>
      <c r="O56" s="35"/>
      <c r="P56" s="36"/>
      <c r="Q56" s="38"/>
    </row>
    <row r="57" spans="2:17" ht="36" hidden="1" customHeight="1">
      <c r="B57" s="84"/>
      <c r="C57" s="124"/>
      <c r="D57" s="128">
        <f t="shared" si="2"/>
        <v>0</v>
      </c>
      <c r="E57" s="126"/>
      <c r="F57" s="118">
        <f t="shared" si="1"/>
        <v>0</v>
      </c>
      <c r="H57" s="34"/>
      <c r="I57" s="35"/>
      <c r="J57" s="36"/>
      <c r="K57" s="37"/>
      <c r="L57" s="35"/>
      <c r="M57" s="36"/>
      <c r="N57" s="37"/>
      <c r="O57" s="35"/>
      <c r="P57" s="36"/>
      <c r="Q57" s="38"/>
    </row>
    <row r="58" spans="2:17" ht="36" hidden="1" customHeight="1">
      <c r="B58" s="84"/>
      <c r="C58" s="124"/>
      <c r="D58" s="128">
        <f t="shared" si="2"/>
        <v>0</v>
      </c>
      <c r="E58" s="126"/>
      <c r="F58" s="118">
        <f t="shared" si="1"/>
        <v>0</v>
      </c>
      <c r="H58" s="34"/>
      <c r="I58" s="35"/>
      <c r="J58" s="36"/>
      <c r="K58" s="37"/>
      <c r="L58" s="35"/>
      <c r="M58" s="36"/>
      <c r="N58" s="37"/>
      <c r="O58" s="35"/>
      <c r="P58" s="36"/>
      <c r="Q58" s="38"/>
    </row>
    <row r="59" spans="2:17" ht="36" customHeight="1" thickBot="1">
      <c r="B59" s="86"/>
      <c r="C59" s="129"/>
      <c r="D59" s="130">
        <f t="shared" si="2"/>
        <v>0</v>
      </c>
      <c r="E59" s="131"/>
      <c r="F59" s="132">
        <f t="shared" si="1"/>
        <v>0</v>
      </c>
      <c r="H59" s="34"/>
      <c r="I59" s="35"/>
      <c r="J59" s="36"/>
      <c r="K59" s="37"/>
      <c r="L59" s="35"/>
      <c r="M59" s="36"/>
      <c r="N59" s="37"/>
      <c r="O59" s="35"/>
      <c r="P59" s="36"/>
      <c r="Q59" s="38"/>
    </row>
    <row r="60" spans="2:17" s="4" customFormat="1" ht="32.1" customHeight="1">
      <c r="B60" s="106"/>
      <c r="C60" s="106"/>
      <c r="D60" s="106">
        <f>SUM(D11:D59)</f>
        <v>0</v>
      </c>
      <c r="E60" s="133"/>
      <c r="F60" s="133"/>
      <c r="G60" s="1"/>
      <c r="H60" s="1"/>
      <c r="I60" s="1"/>
      <c r="J60" s="1"/>
    </row>
    <row r="61" spans="2:17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7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7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7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5:C5"/>
    <mergeCell ref="B1:C1"/>
    <mergeCell ref="B3:C3"/>
  </mergeCells>
  <phoneticPr fontId="3"/>
  <dataValidations count="1">
    <dataValidation type="list" allowBlank="1" showInputMessage="1" showErrorMessage="1" sqref="I3" xr:uid="{BC627EC8-A122-4817-B35C-90B3CB09129D}">
      <formula1>"10,5"</formula1>
    </dataValidation>
  </dataValidations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14</vt:i4>
      </vt:variant>
    </vt:vector>
  </HeadingPairs>
  <TitlesOfParts>
    <vt:vector size="24" baseType="lpstr">
      <vt:lpstr>具_常食</vt:lpstr>
      <vt:lpstr>具_薄味</vt:lpstr>
      <vt:lpstr>具_ソフト</vt:lpstr>
      <vt:lpstr>具_ミキサー</vt:lpstr>
      <vt:lpstr>具_ゼリー</vt:lpstr>
      <vt:lpstr>汁_常食</vt:lpstr>
      <vt:lpstr>汁_ソフト</vt:lpstr>
      <vt:lpstr>汁_ミキサー</vt:lpstr>
      <vt:lpstr>汁_ゼリー</vt:lpstr>
      <vt:lpstr>汁_薄味</vt:lpstr>
      <vt:lpstr>具_常食!Print_Area</vt:lpstr>
      <vt:lpstr>具_薄味!Print_Area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具_常食!Print_Titles</vt:lpstr>
      <vt:lpstr>具_薄味!Print_Titles</vt:lpstr>
      <vt:lpstr>汁_ゼリー!Print_Titles</vt:lpstr>
      <vt:lpstr>汁_ソフト!Print_Titles</vt:lpstr>
      <vt:lpstr>汁_ミキサー!Print_Titles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2022-10-06T05:49:55Z</cp:lastPrinted>
  <dcterms:created xsi:type="dcterms:W3CDTF">2022-04-09T08:43:38Z</dcterms:created>
  <dcterms:modified xsi:type="dcterms:W3CDTF">2023-08-18T01:20:33Z</dcterms:modified>
</cp:coreProperties>
</file>