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277CE66B-A477-4DB6-90A2-3CDF51968430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常食" sheetId="3" r:id="rId1"/>
    <sheet name="具_薄味" sheetId="4" r:id="rId2"/>
    <sheet name="具_ソフト" sheetId="5" r:id="rId3"/>
    <sheet name="具_ミキサー" sheetId="6" r:id="rId4"/>
    <sheet name="具_ゼリー" sheetId="7" r:id="rId5"/>
    <sheet name="汁_常食" sheetId="10" r:id="rId6"/>
    <sheet name="汁_ソフト" sheetId="13" r:id="rId7"/>
    <sheet name="汁_ミキサー" sheetId="14" r:id="rId8"/>
    <sheet name="汁_ゼリー" sheetId="15" r:id="rId9"/>
    <sheet name="汁_薄味" sheetId="12" r:id="rId10"/>
  </sheets>
  <definedNames>
    <definedName name="_xlnm.Print_Area" localSheetId="0">具_常食!$A$1:$H$85</definedName>
    <definedName name="_xlnm.Print_Area" localSheetId="1">具_薄味!$A$1:$G$61</definedName>
    <definedName name="_xlnm.Print_Titles" localSheetId="4">具_ゼリー!$1:$3</definedName>
    <definedName name="_xlnm.Print_Titles" localSheetId="2">具_ソフト!$1:$3</definedName>
    <definedName name="_xlnm.Print_Titles" localSheetId="3">具_ミキサー!$1:$3</definedName>
    <definedName name="_xlnm.Print_Titles" localSheetId="0">具_常食!$1:$3</definedName>
    <definedName name="_xlnm.Print_Titles" localSheetId="1">具_薄味!$1:$3</definedName>
    <definedName name="_xlnm.Print_Titles" localSheetId="8">汁_ゼリー!$1:$4</definedName>
    <definedName name="_xlnm.Print_Titles" localSheetId="6">汁_ソフト!$1:$4</definedName>
    <definedName name="_xlnm.Print_Titles" localSheetId="7">汁_ミキサー!$1:$4</definedName>
    <definedName name="_xlnm.Print_Titles" localSheetId="5">汁_常食!$1:$4</definedName>
    <definedName name="_xlnm.Print_Titles" localSheetId="9">汁_薄味!$1:$4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15" l="1"/>
  <c r="D11" i="14"/>
  <c r="D11" i="13"/>
  <c r="D8" i="7"/>
  <c r="D8" i="6"/>
  <c r="D8" i="5"/>
  <c r="F8" i="15"/>
  <c r="F8" i="14"/>
  <c r="F8" i="13"/>
  <c r="F8" i="10"/>
  <c r="F8" i="12"/>
  <c r="H6" i="7"/>
  <c r="F6" i="7"/>
  <c r="B6" i="7"/>
  <c r="H6" i="6"/>
  <c r="F6" i="6"/>
  <c r="B6" i="6"/>
  <c r="H6" i="5"/>
  <c r="F6" i="5"/>
  <c r="B6" i="5"/>
  <c r="H7" i="4"/>
  <c r="F7" i="4"/>
  <c r="E7" i="4"/>
  <c r="H7" i="3"/>
  <c r="F7" i="3"/>
  <c r="E63" i="10"/>
  <c r="F63" i="10" s="1"/>
  <c r="E62" i="10"/>
  <c r="F62" i="10" s="1"/>
  <c r="E61" i="10"/>
  <c r="F61" i="10" s="1"/>
  <c r="E60" i="10"/>
  <c r="F60" i="10" s="1"/>
  <c r="E59" i="10"/>
  <c r="F59" i="10" s="1"/>
  <c r="E58" i="10"/>
  <c r="F58" i="10" s="1"/>
  <c r="E57" i="10"/>
  <c r="F57" i="10" s="1"/>
  <c r="E56" i="10"/>
  <c r="F56" i="10" s="1"/>
  <c r="E55" i="10"/>
  <c r="F55" i="10" s="1"/>
  <c r="E54" i="10"/>
  <c r="F54" i="10" s="1"/>
  <c r="E53" i="10"/>
  <c r="F53" i="10" s="1"/>
  <c r="E52" i="10"/>
  <c r="F52" i="10" s="1"/>
  <c r="E51" i="10"/>
  <c r="F51" i="10" s="1"/>
  <c r="E50" i="10"/>
  <c r="F50" i="10" s="1"/>
  <c r="E49" i="10"/>
  <c r="F49" i="10" s="1"/>
  <c r="E48" i="10"/>
  <c r="F48" i="10" s="1"/>
  <c r="E47" i="10"/>
  <c r="F47" i="10" s="1"/>
  <c r="E46" i="10"/>
  <c r="F46" i="10" s="1"/>
  <c r="E45" i="10"/>
  <c r="F45" i="10" s="1"/>
  <c r="E44" i="10"/>
  <c r="F44" i="10" s="1"/>
  <c r="H72" i="3"/>
  <c r="G72" i="3"/>
  <c r="F72" i="3"/>
  <c r="H71" i="3"/>
  <c r="G71" i="3"/>
  <c r="E71" i="3" s="1"/>
  <c r="F71" i="3"/>
  <c r="H70" i="3"/>
  <c r="G70" i="3"/>
  <c r="F70" i="3"/>
  <c r="H69" i="3"/>
  <c r="G69" i="3"/>
  <c r="F69" i="3"/>
  <c r="H68" i="3"/>
  <c r="G68" i="3"/>
  <c r="F68" i="3"/>
  <c r="H67" i="3"/>
  <c r="G67" i="3"/>
  <c r="F67" i="3"/>
  <c r="H66" i="3"/>
  <c r="E66" i="3" s="1"/>
  <c r="G66" i="3"/>
  <c r="F66" i="3"/>
  <c r="H65" i="3"/>
  <c r="G65" i="3"/>
  <c r="F65" i="3"/>
  <c r="H64" i="3"/>
  <c r="G64" i="3"/>
  <c r="F64" i="3"/>
  <c r="H63" i="3"/>
  <c r="G63" i="3"/>
  <c r="E63" i="3" s="1"/>
  <c r="F63" i="3"/>
  <c r="H62" i="3"/>
  <c r="E62" i="3" s="1"/>
  <c r="G62" i="3"/>
  <c r="F62" i="3"/>
  <c r="H61" i="3"/>
  <c r="G61" i="3"/>
  <c r="F61" i="3"/>
  <c r="E61" i="3"/>
  <c r="H60" i="3"/>
  <c r="G60" i="3"/>
  <c r="F60" i="3"/>
  <c r="H59" i="3"/>
  <c r="G59" i="3"/>
  <c r="E59" i="3" s="1"/>
  <c r="F59" i="3"/>
  <c r="H58" i="3"/>
  <c r="E58" i="3" s="1"/>
  <c r="G58" i="3"/>
  <c r="F58" i="3"/>
  <c r="H57" i="3"/>
  <c r="G57" i="3"/>
  <c r="F57" i="3"/>
  <c r="H56" i="3"/>
  <c r="G56" i="3"/>
  <c r="F56" i="3"/>
  <c r="H55" i="3"/>
  <c r="E55" i="3" s="1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E49" i="3" s="1"/>
  <c r="G49" i="3"/>
  <c r="F49" i="3"/>
  <c r="H55" i="7"/>
  <c r="G55" i="7"/>
  <c r="F55" i="7"/>
  <c r="H54" i="7"/>
  <c r="G54" i="7"/>
  <c r="F54" i="7"/>
  <c r="H57" i="7"/>
  <c r="G57" i="7"/>
  <c r="F57" i="7"/>
  <c r="H56" i="7"/>
  <c r="G56" i="7"/>
  <c r="F56" i="7"/>
  <c r="H53" i="7"/>
  <c r="G53" i="7"/>
  <c r="F53" i="7"/>
  <c r="H52" i="7"/>
  <c r="G52" i="7"/>
  <c r="F52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50" i="6"/>
  <c r="G50" i="6"/>
  <c r="F50" i="6"/>
  <c r="H49" i="6"/>
  <c r="G49" i="6"/>
  <c r="F49" i="6"/>
  <c r="H48" i="6"/>
  <c r="G48" i="6"/>
  <c r="F48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50" i="5"/>
  <c r="G50" i="5"/>
  <c r="F50" i="5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F10" i="10"/>
  <c r="F9" i="10"/>
  <c r="F10" i="12"/>
  <c r="F9" i="12"/>
  <c r="F9" i="15"/>
  <c r="F9" i="14"/>
  <c r="F9" i="13"/>
  <c r="E57" i="3" l="1"/>
  <c r="E52" i="3"/>
  <c r="E65" i="3"/>
  <c r="E53" i="3"/>
  <c r="E51" i="3"/>
  <c r="E60" i="3"/>
  <c r="E70" i="3"/>
  <c r="E54" i="3"/>
  <c r="E56" i="3"/>
  <c r="E68" i="3"/>
  <c r="E69" i="3"/>
  <c r="E50" i="3"/>
  <c r="E64" i="3"/>
  <c r="E67" i="3"/>
  <c r="E72" i="3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E19" i="4" s="1"/>
  <c r="H18" i="4"/>
  <c r="E18" i="4" s="1"/>
  <c r="H17" i="4"/>
  <c r="H16" i="4"/>
  <c r="E16" i="4" s="1"/>
  <c r="H15" i="4"/>
  <c r="E15" i="4" s="1"/>
  <c r="H14" i="4"/>
  <c r="H13" i="4"/>
  <c r="E13" i="4" s="1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E23" i="3" s="1"/>
  <c r="H22" i="3"/>
  <c r="H21" i="3"/>
  <c r="H20" i="3"/>
  <c r="H19" i="3"/>
  <c r="H18" i="3"/>
  <c r="H17" i="3"/>
  <c r="H16" i="3"/>
  <c r="E16" i="3" s="1"/>
  <c r="H15" i="3"/>
  <c r="E15" i="3" s="1"/>
  <c r="H14" i="3"/>
  <c r="H13" i="3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E21" i="4" s="1"/>
  <c r="G20" i="4"/>
  <c r="G19" i="4"/>
  <c r="G18" i="4"/>
  <c r="G17" i="4"/>
  <c r="G16" i="4"/>
  <c r="G15" i="4"/>
  <c r="G14" i="4"/>
  <c r="E14" i="4" s="1"/>
  <c r="G13" i="4"/>
  <c r="G85" i="3"/>
  <c r="G84" i="3"/>
  <c r="G83" i="3"/>
  <c r="G82" i="3"/>
  <c r="E82" i="3" s="1"/>
  <c r="G81" i="3"/>
  <c r="G80" i="3"/>
  <c r="G79" i="3"/>
  <c r="G78" i="3"/>
  <c r="G77" i="3"/>
  <c r="G76" i="3"/>
  <c r="G75" i="3"/>
  <c r="G74" i="3"/>
  <c r="G73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E17" i="3" s="1"/>
  <c r="G16" i="3"/>
  <c r="G15" i="3"/>
  <c r="G14" i="3"/>
  <c r="G13" i="3"/>
  <c r="E8" i="7"/>
  <c r="E8" i="6"/>
  <c r="E8" i="5"/>
  <c r="E7" i="7"/>
  <c r="E5" i="7"/>
  <c r="E4" i="7"/>
  <c r="E7" i="6"/>
  <c r="E5" i="6"/>
  <c r="E4" i="6"/>
  <c r="E7" i="5"/>
  <c r="E5" i="5"/>
  <c r="E4" i="5"/>
  <c r="E6" i="15"/>
  <c r="E6" i="14"/>
  <c r="E6" i="13"/>
  <c r="D60" i="15"/>
  <c r="E59" i="15"/>
  <c r="F59" i="15" s="1"/>
  <c r="E58" i="15"/>
  <c r="F58" i="15" s="1"/>
  <c r="E57" i="15"/>
  <c r="F57" i="15" s="1"/>
  <c r="E56" i="15"/>
  <c r="F56" i="15" s="1"/>
  <c r="E55" i="15"/>
  <c r="F55" i="15" s="1"/>
  <c r="E54" i="15"/>
  <c r="F54" i="15" s="1"/>
  <c r="E53" i="15"/>
  <c r="F53" i="15" s="1"/>
  <c r="E52" i="15"/>
  <c r="F52" i="15" s="1"/>
  <c r="E51" i="15"/>
  <c r="F51" i="15" s="1"/>
  <c r="E50" i="15"/>
  <c r="F50" i="15" s="1"/>
  <c r="E49" i="15"/>
  <c r="F49" i="15" s="1"/>
  <c r="E48" i="15"/>
  <c r="F48" i="15" s="1"/>
  <c r="E47" i="15"/>
  <c r="F47" i="15" s="1"/>
  <c r="E46" i="15"/>
  <c r="F46" i="15" s="1"/>
  <c r="E45" i="15"/>
  <c r="F45" i="15" s="1"/>
  <c r="E44" i="15"/>
  <c r="F44" i="15" s="1"/>
  <c r="E43" i="15"/>
  <c r="F43" i="15" s="1"/>
  <c r="E42" i="15"/>
  <c r="F42" i="15" s="1"/>
  <c r="E41" i="15"/>
  <c r="F41" i="15" s="1"/>
  <c r="E40" i="15"/>
  <c r="F40" i="15" s="1"/>
  <c r="E39" i="15"/>
  <c r="F39" i="15" s="1"/>
  <c r="E38" i="15"/>
  <c r="F38" i="15" s="1"/>
  <c r="E37" i="15"/>
  <c r="F37" i="15" s="1"/>
  <c r="E36" i="15"/>
  <c r="F36" i="15" s="1"/>
  <c r="E35" i="15"/>
  <c r="F35" i="15" s="1"/>
  <c r="E34" i="15"/>
  <c r="F34" i="15" s="1"/>
  <c r="E33" i="15"/>
  <c r="F33" i="15" s="1"/>
  <c r="E32" i="15"/>
  <c r="F32" i="15" s="1"/>
  <c r="E31" i="15"/>
  <c r="F31" i="15" s="1"/>
  <c r="E30" i="15"/>
  <c r="F30" i="15" s="1"/>
  <c r="E29" i="15"/>
  <c r="F29" i="15" s="1"/>
  <c r="E28" i="15"/>
  <c r="F28" i="15" s="1"/>
  <c r="E27" i="15"/>
  <c r="F27" i="15" s="1"/>
  <c r="E26" i="15"/>
  <c r="F26" i="15" s="1"/>
  <c r="E25" i="15"/>
  <c r="F25" i="15" s="1"/>
  <c r="E24" i="15"/>
  <c r="F24" i="15" s="1"/>
  <c r="E23" i="15"/>
  <c r="F23" i="15" s="1"/>
  <c r="E22" i="15"/>
  <c r="F22" i="15" s="1"/>
  <c r="E21" i="15"/>
  <c r="F21" i="15" s="1"/>
  <c r="E20" i="15"/>
  <c r="F20" i="15" s="1"/>
  <c r="E19" i="15"/>
  <c r="F19" i="15" s="1"/>
  <c r="E18" i="15"/>
  <c r="F18" i="15" s="1"/>
  <c r="E17" i="15"/>
  <c r="F17" i="15" s="1"/>
  <c r="F16" i="15"/>
  <c r="E16" i="15"/>
  <c r="E15" i="15"/>
  <c r="F15" i="15" s="1"/>
  <c r="E14" i="15"/>
  <c r="F14" i="15" s="1"/>
  <c r="E13" i="15"/>
  <c r="F13" i="15" s="1"/>
  <c r="E12" i="15"/>
  <c r="F12" i="15" s="1"/>
  <c r="F10" i="15"/>
  <c r="F7" i="15"/>
  <c r="E7" i="15"/>
  <c r="F6" i="15"/>
  <c r="E59" i="14"/>
  <c r="F59" i="14" s="1"/>
  <c r="E58" i="14"/>
  <c r="F58" i="14" s="1"/>
  <c r="E57" i="14"/>
  <c r="F57" i="14" s="1"/>
  <c r="E56" i="14"/>
  <c r="F56" i="14" s="1"/>
  <c r="E55" i="14"/>
  <c r="F55" i="14" s="1"/>
  <c r="E54" i="14"/>
  <c r="F54" i="14" s="1"/>
  <c r="E53" i="14"/>
  <c r="F53" i="14" s="1"/>
  <c r="E52" i="14"/>
  <c r="F52" i="14" s="1"/>
  <c r="E51" i="14"/>
  <c r="F51" i="14" s="1"/>
  <c r="E50" i="14"/>
  <c r="F50" i="14" s="1"/>
  <c r="E49" i="14"/>
  <c r="F49" i="14" s="1"/>
  <c r="E48" i="14"/>
  <c r="F48" i="14" s="1"/>
  <c r="E47" i="14"/>
  <c r="F47" i="14" s="1"/>
  <c r="E46" i="14"/>
  <c r="F46" i="14" s="1"/>
  <c r="E45" i="14"/>
  <c r="F45" i="14" s="1"/>
  <c r="E44" i="14"/>
  <c r="F44" i="14" s="1"/>
  <c r="E43" i="14"/>
  <c r="F43" i="14" s="1"/>
  <c r="E42" i="14"/>
  <c r="F42" i="14" s="1"/>
  <c r="E41" i="14"/>
  <c r="F41" i="14" s="1"/>
  <c r="E40" i="14"/>
  <c r="F40" i="14" s="1"/>
  <c r="E39" i="14"/>
  <c r="F39" i="14" s="1"/>
  <c r="E38" i="14"/>
  <c r="F38" i="14" s="1"/>
  <c r="E37" i="14"/>
  <c r="F37" i="14" s="1"/>
  <c r="E36" i="14"/>
  <c r="F36" i="14" s="1"/>
  <c r="E35" i="14"/>
  <c r="F35" i="14" s="1"/>
  <c r="E34" i="14"/>
  <c r="F34" i="14" s="1"/>
  <c r="E33" i="14"/>
  <c r="F33" i="14" s="1"/>
  <c r="E32" i="14"/>
  <c r="F32" i="14" s="1"/>
  <c r="E31" i="14"/>
  <c r="F31" i="14" s="1"/>
  <c r="E30" i="14"/>
  <c r="F30" i="14" s="1"/>
  <c r="E29" i="14"/>
  <c r="F29" i="14" s="1"/>
  <c r="E28" i="14"/>
  <c r="F28" i="14" s="1"/>
  <c r="E27" i="14"/>
  <c r="F27" i="14" s="1"/>
  <c r="E26" i="14"/>
  <c r="F26" i="14" s="1"/>
  <c r="E25" i="14"/>
  <c r="F25" i="14" s="1"/>
  <c r="E24" i="14"/>
  <c r="F24" i="14" s="1"/>
  <c r="E23" i="14"/>
  <c r="F23" i="14" s="1"/>
  <c r="E22" i="14"/>
  <c r="F22" i="14" s="1"/>
  <c r="E21" i="14"/>
  <c r="F21" i="14" s="1"/>
  <c r="E20" i="14"/>
  <c r="F20" i="14" s="1"/>
  <c r="E19" i="14"/>
  <c r="F19" i="14" s="1"/>
  <c r="E18" i="14"/>
  <c r="F18" i="14" s="1"/>
  <c r="E17" i="14"/>
  <c r="F17" i="14" s="1"/>
  <c r="E16" i="14"/>
  <c r="F16" i="14" s="1"/>
  <c r="E15" i="14"/>
  <c r="F15" i="14" s="1"/>
  <c r="E14" i="14"/>
  <c r="F14" i="14" s="1"/>
  <c r="E13" i="14"/>
  <c r="F13" i="14" s="1"/>
  <c r="E12" i="14"/>
  <c r="F12" i="14" s="1"/>
  <c r="F10" i="14"/>
  <c r="F7" i="14"/>
  <c r="E7" i="14"/>
  <c r="F6" i="14"/>
  <c r="E59" i="13"/>
  <c r="F59" i="13" s="1"/>
  <c r="E58" i="13"/>
  <c r="F58" i="13" s="1"/>
  <c r="E57" i="13"/>
  <c r="F57" i="13" s="1"/>
  <c r="E56" i="13"/>
  <c r="F56" i="13" s="1"/>
  <c r="E55" i="13"/>
  <c r="F55" i="13" s="1"/>
  <c r="E54" i="13"/>
  <c r="F54" i="13" s="1"/>
  <c r="E53" i="13"/>
  <c r="F53" i="13" s="1"/>
  <c r="E52" i="13"/>
  <c r="F52" i="13" s="1"/>
  <c r="E51" i="13"/>
  <c r="F51" i="13" s="1"/>
  <c r="E50" i="13"/>
  <c r="F50" i="13" s="1"/>
  <c r="E49" i="13"/>
  <c r="F49" i="13" s="1"/>
  <c r="E48" i="13"/>
  <c r="F48" i="13" s="1"/>
  <c r="E47" i="13"/>
  <c r="F47" i="13" s="1"/>
  <c r="E46" i="13"/>
  <c r="F46" i="13" s="1"/>
  <c r="E45" i="13"/>
  <c r="F45" i="13" s="1"/>
  <c r="E44" i="13"/>
  <c r="F44" i="13" s="1"/>
  <c r="E43" i="13"/>
  <c r="F43" i="13" s="1"/>
  <c r="E42" i="13"/>
  <c r="F42" i="13" s="1"/>
  <c r="E41" i="13"/>
  <c r="F41" i="13" s="1"/>
  <c r="E40" i="13"/>
  <c r="F40" i="13" s="1"/>
  <c r="E39" i="13"/>
  <c r="F39" i="13" s="1"/>
  <c r="E38" i="13"/>
  <c r="F38" i="13" s="1"/>
  <c r="E37" i="13"/>
  <c r="F37" i="13" s="1"/>
  <c r="E36" i="13"/>
  <c r="F36" i="13" s="1"/>
  <c r="E35" i="13"/>
  <c r="F35" i="13" s="1"/>
  <c r="E34" i="13"/>
  <c r="F34" i="13" s="1"/>
  <c r="E33" i="13"/>
  <c r="F33" i="13" s="1"/>
  <c r="E32" i="13"/>
  <c r="F32" i="13" s="1"/>
  <c r="E31" i="13"/>
  <c r="F31" i="13" s="1"/>
  <c r="E30" i="13"/>
  <c r="F30" i="13" s="1"/>
  <c r="E29" i="13"/>
  <c r="F29" i="13" s="1"/>
  <c r="E28" i="13"/>
  <c r="F28" i="13" s="1"/>
  <c r="E27" i="13"/>
  <c r="F27" i="13" s="1"/>
  <c r="E26" i="13"/>
  <c r="F26" i="13" s="1"/>
  <c r="E25" i="13"/>
  <c r="F25" i="13" s="1"/>
  <c r="E24" i="13"/>
  <c r="F24" i="13" s="1"/>
  <c r="E23" i="13"/>
  <c r="F23" i="13" s="1"/>
  <c r="E22" i="13"/>
  <c r="F22" i="13" s="1"/>
  <c r="E21" i="13"/>
  <c r="F21" i="13" s="1"/>
  <c r="F20" i="13"/>
  <c r="E20" i="13"/>
  <c r="E19" i="13"/>
  <c r="F19" i="13" s="1"/>
  <c r="E18" i="13"/>
  <c r="F18" i="13" s="1"/>
  <c r="E17" i="13"/>
  <c r="F17" i="13" s="1"/>
  <c r="E16" i="13"/>
  <c r="F16" i="13" s="1"/>
  <c r="E15" i="13"/>
  <c r="F15" i="13" s="1"/>
  <c r="E14" i="13"/>
  <c r="F14" i="13" s="1"/>
  <c r="E13" i="13"/>
  <c r="F13" i="13" s="1"/>
  <c r="E12" i="13"/>
  <c r="F12" i="13" s="1"/>
  <c r="F10" i="13"/>
  <c r="F7" i="13"/>
  <c r="E7" i="13"/>
  <c r="F6" i="13"/>
  <c r="H9" i="4"/>
  <c r="F9" i="4"/>
  <c r="E9" i="4"/>
  <c r="H8" i="4"/>
  <c r="F8" i="4"/>
  <c r="E8" i="4"/>
  <c r="H6" i="4"/>
  <c r="F6" i="4"/>
  <c r="E6" i="4"/>
  <c r="H5" i="4"/>
  <c r="F5" i="4"/>
  <c r="E5" i="4"/>
  <c r="H9" i="3"/>
  <c r="F9" i="3"/>
  <c r="E9" i="3"/>
  <c r="H8" i="3"/>
  <c r="F8" i="3"/>
  <c r="E8" i="3"/>
  <c r="H6" i="3"/>
  <c r="F6" i="3"/>
  <c r="E6" i="3"/>
  <c r="H5" i="3"/>
  <c r="F5" i="3"/>
  <c r="E5" i="3"/>
  <c r="F7" i="12"/>
  <c r="F6" i="12"/>
  <c r="F7" i="10"/>
  <c r="F6" i="10"/>
  <c r="H7" i="5"/>
  <c r="H10" i="5"/>
  <c r="H11" i="5"/>
  <c r="H12" i="5"/>
  <c r="H13" i="5"/>
  <c r="H14" i="5"/>
  <c r="H51" i="5"/>
  <c r="H52" i="5"/>
  <c r="H53" i="5"/>
  <c r="H54" i="5"/>
  <c r="H55" i="5"/>
  <c r="H56" i="5"/>
  <c r="H57" i="5"/>
  <c r="H58" i="5"/>
  <c r="H59" i="5"/>
  <c r="E59" i="12"/>
  <c r="F59" i="12" s="1"/>
  <c r="E58" i="12"/>
  <c r="F58" i="12" s="1"/>
  <c r="E57" i="12"/>
  <c r="F57" i="12" s="1"/>
  <c r="E56" i="12"/>
  <c r="F56" i="12" s="1"/>
  <c r="E55" i="12"/>
  <c r="F55" i="12" s="1"/>
  <c r="E54" i="12"/>
  <c r="F54" i="12" s="1"/>
  <c r="E53" i="12"/>
  <c r="F53" i="12" s="1"/>
  <c r="E52" i="12"/>
  <c r="F52" i="12" s="1"/>
  <c r="E51" i="12"/>
  <c r="F51" i="12" s="1"/>
  <c r="E50" i="12"/>
  <c r="F50" i="12" s="1"/>
  <c r="E49" i="12"/>
  <c r="F49" i="12" s="1"/>
  <c r="E48" i="12"/>
  <c r="F48" i="12" s="1"/>
  <c r="E47" i="12"/>
  <c r="F47" i="12" s="1"/>
  <c r="E46" i="12"/>
  <c r="F46" i="12" s="1"/>
  <c r="E45" i="12"/>
  <c r="F45" i="12" s="1"/>
  <c r="E44" i="12"/>
  <c r="F44" i="12" s="1"/>
  <c r="E43" i="12"/>
  <c r="F43" i="12" s="1"/>
  <c r="E42" i="12"/>
  <c r="F42" i="12" s="1"/>
  <c r="E41" i="12"/>
  <c r="F41" i="12" s="1"/>
  <c r="E40" i="12"/>
  <c r="F40" i="12" s="1"/>
  <c r="E39" i="12"/>
  <c r="F39" i="12" s="1"/>
  <c r="E38" i="12"/>
  <c r="F38" i="12" s="1"/>
  <c r="E37" i="12"/>
  <c r="F37" i="12" s="1"/>
  <c r="E36" i="12"/>
  <c r="F36" i="12" s="1"/>
  <c r="E35" i="12"/>
  <c r="F35" i="12" s="1"/>
  <c r="E34" i="12"/>
  <c r="F34" i="12" s="1"/>
  <c r="E33" i="12"/>
  <c r="F33" i="12" s="1"/>
  <c r="E32" i="12"/>
  <c r="F32" i="12" s="1"/>
  <c r="E31" i="12"/>
  <c r="F31" i="12" s="1"/>
  <c r="E30" i="12"/>
  <c r="F30" i="12" s="1"/>
  <c r="E29" i="12"/>
  <c r="F29" i="12" s="1"/>
  <c r="E28" i="12"/>
  <c r="F28" i="12" s="1"/>
  <c r="E27" i="12"/>
  <c r="F27" i="12" s="1"/>
  <c r="E26" i="12"/>
  <c r="F26" i="12" s="1"/>
  <c r="E25" i="12"/>
  <c r="F25" i="12" s="1"/>
  <c r="E24" i="12"/>
  <c r="F24" i="12" s="1"/>
  <c r="E23" i="12"/>
  <c r="F23" i="12" s="1"/>
  <c r="E22" i="12"/>
  <c r="F22" i="12" s="1"/>
  <c r="E21" i="12"/>
  <c r="F21" i="12" s="1"/>
  <c r="E20" i="12"/>
  <c r="F20" i="12" s="1"/>
  <c r="E19" i="12"/>
  <c r="F19" i="12" s="1"/>
  <c r="E18" i="12"/>
  <c r="F18" i="12" s="1"/>
  <c r="E17" i="12"/>
  <c r="F17" i="12" s="1"/>
  <c r="E16" i="12"/>
  <c r="F16" i="12" s="1"/>
  <c r="E15" i="12"/>
  <c r="F15" i="12" s="1"/>
  <c r="E14" i="12"/>
  <c r="F14" i="12" s="1"/>
  <c r="E13" i="12"/>
  <c r="F13" i="12" s="1"/>
  <c r="E12" i="12"/>
  <c r="F12" i="12" s="1"/>
  <c r="E11" i="12"/>
  <c r="E7" i="12"/>
  <c r="E6" i="12"/>
  <c r="E79" i="10"/>
  <c r="F79" i="10" s="1"/>
  <c r="E78" i="10"/>
  <c r="F78" i="10" s="1"/>
  <c r="E77" i="10"/>
  <c r="F77" i="10" s="1"/>
  <c r="E76" i="10"/>
  <c r="F76" i="10" s="1"/>
  <c r="E75" i="10"/>
  <c r="F75" i="10" s="1"/>
  <c r="E74" i="10"/>
  <c r="F74" i="10" s="1"/>
  <c r="E73" i="10"/>
  <c r="F73" i="10" s="1"/>
  <c r="E72" i="10"/>
  <c r="F72" i="10" s="1"/>
  <c r="E71" i="10"/>
  <c r="F71" i="10" s="1"/>
  <c r="E70" i="10"/>
  <c r="F70" i="10" s="1"/>
  <c r="E69" i="10"/>
  <c r="F69" i="10" s="1"/>
  <c r="E68" i="10"/>
  <c r="F68" i="10" s="1"/>
  <c r="E67" i="10"/>
  <c r="F67" i="10" s="1"/>
  <c r="E66" i="10"/>
  <c r="F66" i="10" s="1"/>
  <c r="E65" i="10"/>
  <c r="F65" i="10" s="1"/>
  <c r="E64" i="10"/>
  <c r="F64" i="10" s="1"/>
  <c r="E43" i="10"/>
  <c r="F43" i="10" s="1"/>
  <c r="E42" i="10"/>
  <c r="F42" i="10" s="1"/>
  <c r="E41" i="10"/>
  <c r="F41" i="10" s="1"/>
  <c r="E40" i="10"/>
  <c r="F40" i="10" s="1"/>
  <c r="E39" i="10"/>
  <c r="F39" i="10" s="1"/>
  <c r="E38" i="10"/>
  <c r="F38" i="10" s="1"/>
  <c r="E37" i="10"/>
  <c r="F37" i="10" s="1"/>
  <c r="E36" i="10"/>
  <c r="F36" i="10" s="1"/>
  <c r="E35" i="10"/>
  <c r="F35" i="10" s="1"/>
  <c r="E34" i="10"/>
  <c r="F34" i="10" s="1"/>
  <c r="E33" i="10"/>
  <c r="F33" i="10" s="1"/>
  <c r="E32" i="10"/>
  <c r="F32" i="10" s="1"/>
  <c r="E31" i="10"/>
  <c r="F31" i="10" s="1"/>
  <c r="E30" i="10"/>
  <c r="F30" i="10" s="1"/>
  <c r="E29" i="10"/>
  <c r="F29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E11" i="10"/>
  <c r="E17" i="4" l="1"/>
  <c r="E20" i="4"/>
  <c r="E29" i="4"/>
  <c r="E61" i="4"/>
  <c r="E22" i="4"/>
  <c r="E13" i="3"/>
  <c r="E21" i="3"/>
  <c r="E24" i="3"/>
  <c r="E14" i="3"/>
  <c r="E22" i="3"/>
  <c r="E18" i="3"/>
  <c r="E29" i="3"/>
  <c r="E19" i="3"/>
  <c r="E20" i="3"/>
  <c r="E28" i="3"/>
  <c r="E36" i="3"/>
  <c r="E44" i="3"/>
  <c r="E76" i="3"/>
  <c r="E25" i="3"/>
  <c r="E26" i="3"/>
  <c r="E34" i="3"/>
  <c r="E42" i="3"/>
  <c r="E74" i="3"/>
  <c r="E84" i="3"/>
  <c r="E37" i="3"/>
  <c r="E45" i="3"/>
  <c r="E77" i="3"/>
  <c r="E85" i="3"/>
  <c r="E30" i="3"/>
  <c r="E38" i="3"/>
  <c r="E46" i="3"/>
  <c r="E78" i="3"/>
  <c r="E31" i="3"/>
  <c r="E39" i="3"/>
  <c r="E47" i="3"/>
  <c r="E79" i="3"/>
  <c r="E33" i="3"/>
  <c r="E41" i="3"/>
  <c r="E73" i="3"/>
  <c r="E81" i="3"/>
  <c r="E32" i="3"/>
  <c r="E80" i="3"/>
  <c r="E27" i="3"/>
  <c r="E35" i="3"/>
  <c r="E43" i="3"/>
  <c r="E75" i="3"/>
  <c r="E83" i="3"/>
  <c r="E48" i="3"/>
  <c r="E40" i="3"/>
  <c r="E37" i="4"/>
  <c r="E53" i="4"/>
  <c r="E45" i="4"/>
  <c r="E30" i="4"/>
  <c r="E38" i="4"/>
  <c r="E46" i="4"/>
  <c r="E54" i="4"/>
  <c r="E23" i="4"/>
  <c r="E31" i="4"/>
  <c r="E39" i="4"/>
  <c r="E47" i="4"/>
  <c r="E55" i="4"/>
  <c r="E32" i="4"/>
  <c r="E25" i="4"/>
  <c r="E33" i="4"/>
  <c r="E41" i="4"/>
  <c r="E49" i="4"/>
  <c r="E57" i="4"/>
  <c r="E40" i="4"/>
  <c r="E26" i="4"/>
  <c r="E34" i="4"/>
  <c r="E42" i="4"/>
  <c r="E50" i="4"/>
  <c r="E58" i="4"/>
  <c r="E24" i="4"/>
  <c r="E48" i="4"/>
  <c r="E27" i="4"/>
  <c r="E35" i="4"/>
  <c r="E43" i="4"/>
  <c r="E51" i="4"/>
  <c r="E59" i="4"/>
  <c r="E28" i="4"/>
  <c r="E36" i="4"/>
  <c r="E44" i="4"/>
  <c r="E52" i="4"/>
  <c r="E60" i="4"/>
  <c r="E56" i="4"/>
  <c r="F11" i="12"/>
  <c r="D60" i="12"/>
  <c r="F11" i="10"/>
  <c r="F12" i="10"/>
  <c r="E7" i="10"/>
  <c r="E6" i="10"/>
  <c r="D80" i="10" l="1"/>
  <c r="H7" i="7" l="1"/>
  <c r="H7" i="6"/>
  <c r="D59" i="7" l="1"/>
  <c r="D59" i="6"/>
  <c r="D60" i="5"/>
  <c r="D12" i="3" l="1"/>
  <c r="E12" i="3" s="1"/>
  <c r="D11" i="3"/>
  <c r="E11" i="3" s="1"/>
  <c r="D10" i="3"/>
  <c r="E10" i="3" s="1"/>
  <c r="F8" i="7"/>
  <c r="F7" i="7"/>
  <c r="B7" i="7"/>
  <c r="F5" i="7"/>
  <c r="B5" i="7"/>
  <c r="F8" i="6"/>
  <c r="F7" i="6"/>
  <c r="B7" i="6"/>
  <c r="F5" i="6"/>
  <c r="B5" i="6"/>
  <c r="B5" i="5"/>
  <c r="F8" i="5"/>
  <c r="F7" i="5"/>
  <c r="B7" i="5"/>
  <c r="H58" i="7"/>
  <c r="G58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47" i="6"/>
  <c r="G47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G59" i="5"/>
  <c r="G58" i="5"/>
  <c r="G57" i="5"/>
  <c r="G56" i="5"/>
  <c r="G55" i="5"/>
  <c r="G54" i="5"/>
  <c r="G53" i="5"/>
  <c r="G52" i="5"/>
  <c r="G51" i="5"/>
  <c r="G14" i="5"/>
  <c r="G13" i="5"/>
  <c r="G12" i="5"/>
  <c r="G11" i="5"/>
  <c r="G10" i="5"/>
  <c r="H12" i="4"/>
  <c r="G12" i="4"/>
  <c r="H11" i="4"/>
  <c r="G11" i="4"/>
  <c r="H10" i="4"/>
  <c r="G10" i="4"/>
  <c r="E12" i="4" l="1"/>
  <c r="E11" i="4"/>
  <c r="E10" i="4"/>
  <c r="F10" i="4"/>
  <c r="F58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4" i="7"/>
  <c r="F58" i="6"/>
  <c r="F57" i="6"/>
  <c r="F56" i="6"/>
  <c r="F55" i="6"/>
  <c r="F54" i="6"/>
  <c r="F53" i="6"/>
  <c r="F52" i="6"/>
  <c r="F51" i="6"/>
  <c r="F47" i="6"/>
  <c r="F20" i="6"/>
  <c r="F19" i="6"/>
  <c r="F18" i="6"/>
  <c r="F17" i="6"/>
  <c r="F16" i="6"/>
  <c r="F15" i="6"/>
  <c r="F14" i="6"/>
  <c r="F13" i="6"/>
  <c r="F12" i="6"/>
  <c r="F11" i="6"/>
  <c r="F10" i="6"/>
  <c r="F4" i="6"/>
  <c r="F59" i="5"/>
  <c r="F58" i="5"/>
  <c r="F57" i="5"/>
  <c r="F56" i="5"/>
  <c r="F55" i="5"/>
  <c r="F54" i="5"/>
  <c r="F53" i="5"/>
  <c r="F52" i="5"/>
  <c r="F51" i="5"/>
  <c r="F14" i="5"/>
  <c r="F13" i="5"/>
  <c r="F12" i="5"/>
  <c r="F11" i="5"/>
  <c r="F10" i="5"/>
  <c r="F5" i="5"/>
  <c r="F4" i="5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4" i="4"/>
  <c r="E4" i="3"/>
  <c r="F4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E4" i="4" l="1"/>
</calcChain>
</file>

<file path=xl/sharedStrings.xml><?xml version="1.0" encoding="utf-8"?>
<sst xmlns="http://schemas.openxmlformats.org/spreadsheetml/2006/main" count="125" uniqueCount="35">
  <si>
    <t>常食</t>
  </si>
  <si>
    <t>1人</t>
  </si>
  <si>
    <t>g</t>
  </si>
  <si>
    <t>薄味</t>
  </si>
  <si>
    <t>注文数</t>
  </si>
  <si>
    <t>端数</t>
  </si>
  <si>
    <t>合計</t>
  </si>
  <si>
    <t>人</t>
  </si>
  <si>
    <t>人（針刺し用）</t>
  </si>
  <si>
    <t>袋数</t>
  </si>
  <si>
    <t>ソフト食</t>
  </si>
  <si>
    <t>ミキサー食</t>
  </si>
  <si>
    <t>ゼリー食</t>
  </si>
  <si>
    <t>ソフト合計</t>
  </si>
  <si>
    <t>ミキサー合計</t>
  </si>
  <si>
    <t>ゼリー合計</t>
  </si>
  <si>
    <t>人（保存用）</t>
    <rPh sb="2" eb="4">
      <t xml:space="preserve">ホゾｎ </t>
    </rPh>
    <phoneticPr fontId="3"/>
  </si>
  <si>
    <t>ゼリー合計</t>
    <phoneticPr fontId="3"/>
  </si>
  <si>
    <t>ミキサー合計</t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</si>
  <si>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</si>
  <si>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</si>
  <si>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袋数</t>
    <rPh sb="0" eb="1">
      <t>フクロ</t>
    </rPh>
    <rPh sb="1" eb="2">
      <t>スウ</t>
    </rPh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</si>
  <si>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</si>
  <si>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</si>
  <si>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</si>
  <si>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薄味</t>
    <rPh sb="0" eb="2">
      <t>ウスアジ</t>
    </rPh>
    <phoneticPr fontId="3"/>
  </si>
  <si>
    <t>常食</t>
    <phoneticPr fontId="3"/>
  </si>
  <si>
    <t>人前（保存用）</t>
    <rPh sb="1" eb="2">
      <t>マエ</t>
    </rPh>
    <rPh sb="3" eb="5">
      <t>ホゾン</t>
    </rPh>
    <phoneticPr fontId="3"/>
  </si>
  <si>
    <t>人前（写真用）</t>
    <rPh sb="1" eb="2">
      <t>マエ</t>
    </rPh>
    <rPh sb="3" eb="5">
      <t>シャシン</t>
    </rPh>
    <phoneticPr fontId="3"/>
  </si>
  <si>
    <t>ソフト食</t>
    <phoneticPr fontId="3"/>
  </si>
  <si>
    <t>ミキサー食</t>
    <phoneticPr fontId="3"/>
  </si>
  <si>
    <t>ゼリー食</t>
    <phoneticPr fontId="3"/>
  </si>
  <si>
    <t>ソフト合計</t>
    <phoneticPr fontId="3"/>
  </si>
  <si>
    <t>人前（保存用50g）</t>
    <rPh sb="1" eb="2">
      <t>マエ</t>
    </rPh>
    <rPh sb="3" eb="5">
      <t>ホゾン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</si>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</sst>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21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b/>
      <sz val="20"/>
      <color theme="1"/>
      <name val="Meiryo"/>
      <family val="2"/>
      <charset val="128"/>
    </font>
    <font>
      <sz val="16"/>
      <color theme="1"/>
      <name val="Meiryo UI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8"/>
      <color theme="1"/>
      <name val="Meiryo"/>
      <charset val="128"/>
    </font>
    <font>
      <b/>
      <sz val="28"/>
      <color theme="1"/>
      <name val="Meiryo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4"/>
      <color theme="1"/>
      <name val="Meiryo"/>
      <charset val="128"/>
    </font>
    <font>
      <sz val="22"/>
      <color theme="1"/>
      <name val="Meiryo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8" xfId="0" applyFont="1" applyFill="1" applyBorder="1" applyAlignment="1">
      <alignment horizontal="center" vertical="center" shrinkToFit="1"/>
    </xf>
    <xf numFmtId="0" fontId="1" fillId="4" borderId="42" xfId="0" applyFont="1" applyFill="1" applyBorder="1" applyAlignment="1">
      <alignment horizontal="center" vertical="center" shrinkToFit="1"/>
    </xf>
    <xf numFmtId="0" fontId="1" fillId="4" borderId="43" xfId="0" applyFont="1" applyFill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2" fillId="0" borderId="63" xfId="0" applyFont="1" applyBorder="1" applyAlignment="1">
      <alignment horizontal="center" vertical="center" shrinkToFit="1"/>
    </xf>
    <xf numFmtId="0" fontId="1" fillId="5" borderId="42" xfId="0" applyFont="1" applyFill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0" fillId="0" borderId="56" xfId="0" applyBorder="1"/>
    <xf numFmtId="1" fontId="4" fillId="0" borderId="15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vertical="center" shrinkToFit="1"/>
    </xf>
    <xf numFmtId="1" fontId="4" fillId="0" borderId="66" xfId="0" applyNumberFormat="1" applyFont="1" applyBorder="1" applyAlignment="1">
      <alignment vertical="center" shrinkToFit="1"/>
    </xf>
    <xf numFmtId="0" fontId="4" fillId="0" borderId="28" xfId="0" applyFont="1" applyBorder="1" applyAlignment="1">
      <alignment horizontal="center" vertical="center" shrinkToFit="1"/>
    </xf>
    <xf numFmtId="1" fontId="8" fillId="0" borderId="14" xfId="0" applyNumberFormat="1" applyFont="1" applyBorder="1" applyAlignment="1">
      <alignment horizontal="right" vertical="center" indent="1" shrinkToFit="1"/>
    </xf>
    <xf numFmtId="1" fontId="8" fillId="0" borderId="15" xfId="0" applyNumberFormat="1" applyFont="1" applyBorder="1" applyAlignment="1">
      <alignment horizontal="right" vertical="center" indent="1" shrinkToFit="1"/>
    </xf>
    <xf numFmtId="1" fontId="4" fillId="0" borderId="72" xfId="0" applyNumberFormat="1" applyFont="1" applyBorder="1" applyAlignment="1">
      <alignment horizontal="right" vertical="center" indent="1" shrinkToFit="1"/>
    </xf>
    <xf numFmtId="1" fontId="4" fillId="0" borderId="16" xfId="0" applyNumberFormat="1" applyFont="1" applyBorder="1" applyAlignment="1">
      <alignment horizontal="right" vertical="center" indent="1" shrinkToFit="1"/>
    </xf>
    <xf numFmtId="1" fontId="4" fillId="0" borderId="66" xfId="0" applyNumberFormat="1" applyFont="1" applyBorder="1" applyAlignment="1">
      <alignment horizontal="right" vertical="center" indent="1" shrinkToFit="1"/>
    </xf>
    <xf numFmtId="0" fontId="8" fillId="0" borderId="14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1" fontId="4" fillId="0" borderId="72" xfId="0" applyNumberFormat="1" applyFont="1" applyBorder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12" fillId="0" borderId="27" xfId="0" applyFont="1" applyBorder="1" applyAlignment="1">
      <alignment horizontal="right" vertical="center" shrinkToFit="1"/>
    </xf>
    <xf numFmtId="1" fontId="12" fillId="0" borderId="27" xfId="0" applyNumberFormat="1" applyFont="1" applyBorder="1" applyAlignment="1">
      <alignment horizontal="right" vertical="center" shrinkToFit="1"/>
    </xf>
    <xf numFmtId="176" fontId="12" fillId="0" borderId="27" xfId="0" applyNumberFormat="1" applyFont="1" applyBorder="1" applyAlignment="1">
      <alignment horizontal="right" vertical="center" shrinkToFit="1"/>
    </xf>
    <xf numFmtId="177" fontId="14" fillId="0" borderId="64" xfId="0" applyNumberFormat="1" applyFont="1" applyBorder="1" applyAlignment="1">
      <alignment horizontal="right" vertical="center" shrinkToFit="1"/>
    </xf>
    <xf numFmtId="0" fontId="15" fillId="2" borderId="11" xfId="0" applyFont="1" applyFill="1" applyBorder="1" applyAlignment="1">
      <alignment horizontal="center" vertical="center" shrinkToFit="1"/>
    </xf>
    <xf numFmtId="0" fontId="16" fillId="2" borderId="31" xfId="0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15" fillId="4" borderId="44" xfId="0" applyFont="1" applyFill="1" applyBorder="1" applyAlignment="1">
      <alignment horizontal="center" vertical="center" shrinkToFit="1"/>
    </xf>
    <xf numFmtId="1" fontId="16" fillId="4" borderId="44" xfId="0" applyNumberFormat="1" applyFont="1" applyFill="1" applyBorder="1" applyAlignment="1">
      <alignment horizontal="center" vertical="center" shrinkToFit="1"/>
    </xf>
    <xf numFmtId="0" fontId="16" fillId="4" borderId="45" xfId="0" applyFont="1" applyFill="1" applyBorder="1" applyAlignment="1">
      <alignment horizontal="center" vertical="center" shrinkToFit="1"/>
    </xf>
    <xf numFmtId="0" fontId="15" fillId="5" borderId="44" xfId="0" applyFont="1" applyFill="1" applyBorder="1" applyAlignment="1">
      <alignment horizontal="center" vertical="center" shrinkToFit="1"/>
    </xf>
    <xf numFmtId="1" fontId="16" fillId="5" borderId="44" xfId="0" applyNumberFormat="1" applyFont="1" applyFill="1" applyBorder="1" applyAlignment="1">
      <alignment horizontal="center" vertical="center" shrinkToFit="1"/>
    </xf>
    <xf numFmtId="0" fontId="16" fillId="5" borderId="45" xfId="0" applyFont="1" applyFill="1" applyBorder="1" applyAlignment="1">
      <alignment horizontal="center" vertical="center" shrinkToFit="1"/>
    </xf>
    <xf numFmtId="0" fontId="16" fillId="0" borderId="10" xfId="0" applyFont="1" applyBorder="1" applyAlignment="1">
      <alignment vertical="center" shrinkToFit="1"/>
    </xf>
    <xf numFmtId="1" fontId="17" fillId="0" borderId="1" xfId="0" applyNumberFormat="1" applyFont="1" applyBorder="1" applyAlignment="1">
      <alignment vertical="center" shrinkToFit="1"/>
    </xf>
    <xf numFmtId="0" fontId="16" fillId="0" borderId="51" xfId="0" applyFont="1" applyBorder="1" applyAlignment="1">
      <alignment horizontal="right" vertical="center" shrinkToFit="1"/>
    </xf>
    <xf numFmtId="0" fontId="16" fillId="0" borderId="52" xfId="0" applyFont="1" applyBorder="1" applyAlignment="1">
      <alignment horizontal="left" vertical="center" shrinkToFit="1"/>
    </xf>
    <xf numFmtId="0" fontId="16" fillId="0" borderId="7" xfId="0" applyFont="1" applyBorder="1" applyAlignment="1">
      <alignment vertical="center" shrinkToFit="1"/>
    </xf>
    <xf numFmtId="1" fontId="17" fillId="0" borderId="3" xfId="0" applyNumberFormat="1" applyFont="1" applyBorder="1" applyAlignment="1">
      <alignment vertical="center" shrinkToFit="1"/>
    </xf>
    <xf numFmtId="0" fontId="16" fillId="0" borderId="11" xfId="0" applyFont="1" applyBorder="1" applyAlignment="1">
      <alignment vertical="center" shrinkToFit="1"/>
    </xf>
    <xf numFmtId="1" fontId="17" fillId="0" borderId="12" xfId="0" applyNumberFormat="1" applyFont="1" applyBorder="1" applyAlignment="1">
      <alignment vertical="center" shrinkToFit="1"/>
    </xf>
    <xf numFmtId="0" fontId="16" fillId="0" borderId="22" xfId="0" applyFont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0" borderId="23" xfId="0" applyFont="1" applyBorder="1" applyAlignment="1">
      <alignment vertical="center" shrinkToFit="1"/>
    </xf>
    <xf numFmtId="0" fontId="16" fillId="0" borderId="4" xfId="0" applyFont="1" applyBorder="1" applyAlignment="1">
      <alignment vertical="center" shrinkToFit="1"/>
    </xf>
    <xf numFmtId="0" fontId="16" fillId="0" borderId="24" xfId="0" applyFont="1" applyBorder="1" applyAlignment="1">
      <alignment vertical="center" shrinkToFit="1"/>
    </xf>
    <xf numFmtId="0" fontId="16" fillId="0" borderId="19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1" fontId="17" fillId="0" borderId="48" xfId="0" applyNumberFormat="1" applyFont="1" applyBorder="1" applyAlignment="1">
      <alignment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57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8" fillId="0" borderId="47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1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 shrinkToFit="1"/>
    </xf>
    <xf numFmtId="0" fontId="16" fillId="0" borderId="21" xfId="0" applyFont="1" applyBorder="1" applyAlignment="1">
      <alignment horizontal="right" vertical="center" shrinkToFit="1"/>
    </xf>
    <xf numFmtId="0" fontId="16" fillId="0" borderId="18" xfId="0" applyFont="1" applyBorder="1" applyAlignment="1">
      <alignment horizontal="left" vertical="center" shrinkToFit="1"/>
    </xf>
    <xf numFmtId="1" fontId="17" fillId="0" borderId="13" xfId="0" applyNumberFormat="1" applyFont="1" applyBorder="1" applyAlignment="1">
      <alignment vertical="center" shrinkToFit="1"/>
    </xf>
    <xf numFmtId="0" fontId="15" fillId="0" borderId="25" xfId="0" applyFont="1" applyBorder="1" applyAlignment="1">
      <alignment horizontal="right" vertical="center" shrinkToFit="1"/>
    </xf>
    <xf numFmtId="0" fontId="15" fillId="0" borderId="26" xfId="0" applyFont="1" applyBorder="1" applyAlignment="1">
      <alignment horizontal="left" vertical="center" shrinkToFit="1"/>
    </xf>
    <xf numFmtId="1" fontId="17" fillId="0" borderId="1" xfId="0" applyNumberFormat="1" applyFont="1" applyBorder="1" applyAlignment="1">
      <alignment horizontal="right" vertical="center" shrinkToFit="1"/>
    </xf>
    <xf numFmtId="0" fontId="16" fillId="0" borderId="53" xfId="0" applyFont="1" applyBorder="1" applyAlignment="1">
      <alignment vertical="center" shrinkToFit="1"/>
    </xf>
    <xf numFmtId="1" fontId="17" fillId="0" borderId="50" xfId="0" applyNumberFormat="1" applyFont="1" applyBorder="1" applyAlignment="1">
      <alignment horizontal="right" vertical="center" shrinkToFit="1"/>
    </xf>
    <xf numFmtId="1" fontId="17" fillId="0" borderId="12" xfId="0" applyNumberFormat="1" applyFont="1" applyBorder="1" applyAlignment="1">
      <alignment horizontal="right" vertical="center" shrinkToFit="1"/>
    </xf>
    <xf numFmtId="1" fontId="17" fillId="0" borderId="13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vertical="center" shrinkToFit="1"/>
    </xf>
    <xf numFmtId="0" fontId="15" fillId="0" borderId="56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6" fillId="0" borderId="38" xfId="0" applyFont="1" applyBorder="1" applyAlignment="1">
      <alignment vertical="center" shrinkToFit="1"/>
    </xf>
    <xf numFmtId="0" fontId="16" fillId="0" borderId="9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57" xfId="0" applyFont="1" applyBorder="1" applyAlignment="1">
      <alignment vertical="center" shrinkToFit="1"/>
    </xf>
    <xf numFmtId="177" fontId="16" fillId="0" borderId="58" xfId="0" applyNumberFormat="1" applyFont="1" applyBorder="1" applyAlignment="1">
      <alignment horizontal="right" vertical="center" shrinkToFit="1"/>
    </xf>
    <xf numFmtId="1" fontId="16" fillId="0" borderId="57" xfId="0" applyNumberFormat="1" applyFont="1" applyBorder="1" applyAlignment="1">
      <alignment horizontal="right" vertical="center" shrinkToFit="1"/>
    </xf>
    <xf numFmtId="0" fontId="16" fillId="0" borderId="23" xfId="0" applyFont="1" applyBorder="1" applyAlignment="1">
      <alignment horizontal="right" vertical="center" shrinkToFit="1"/>
    </xf>
    <xf numFmtId="0" fontId="16" fillId="0" borderId="4" xfId="0" applyFont="1" applyBorder="1" applyAlignment="1">
      <alignment horizontal="left" vertical="center" shrinkToFit="1"/>
    </xf>
    <xf numFmtId="0" fontId="16" fillId="0" borderId="31" xfId="0" applyFont="1" applyBorder="1" applyAlignment="1">
      <alignment vertical="center" shrinkToFit="1"/>
    </xf>
    <xf numFmtId="177" fontId="16" fillId="0" borderId="59" xfId="0" applyNumberFormat="1" applyFont="1" applyBorder="1" applyAlignment="1">
      <alignment horizontal="right" vertical="center" shrinkToFit="1"/>
    </xf>
    <xf numFmtId="1" fontId="16" fillId="0" borderId="31" xfId="0" applyNumberFormat="1" applyFont="1" applyBorder="1" applyAlignment="1">
      <alignment horizontal="right" vertical="center" shrinkToFit="1"/>
    </xf>
    <xf numFmtId="0" fontId="16" fillId="0" borderId="36" xfId="0" applyFont="1" applyBorder="1" applyAlignment="1">
      <alignment vertical="center" shrinkToFit="1"/>
    </xf>
    <xf numFmtId="0" fontId="16" fillId="0" borderId="39" xfId="0" applyFont="1" applyBorder="1" applyAlignment="1">
      <alignment vertical="center" shrinkToFit="1"/>
    </xf>
    <xf numFmtId="177" fontId="16" fillId="0" borderId="9" xfId="0" applyNumberFormat="1" applyFont="1" applyBorder="1" applyAlignment="1">
      <alignment horizontal="right" vertical="center" shrinkToFit="1"/>
    </xf>
    <xf numFmtId="1" fontId="16" fillId="0" borderId="29" xfId="0" applyNumberFormat="1" applyFont="1" applyBorder="1" applyAlignment="1">
      <alignment horizontal="right" vertical="center" shrinkToFit="1"/>
    </xf>
    <xf numFmtId="0" fontId="16" fillId="0" borderId="40" xfId="0" applyFont="1" applyBorder="1" applyAlignment="1">
      <alignment vertical="center" shrinkToFit="1"/>
    </xf>
    <xf numFmtId="0" fontId="16" fillId="0" borderId="37" xfId="0" applyFont="1" applyBorder="1" applyAlignment="1">
      <alignment vertical="center" shrinkToFit="1"/>
    </xf>
    <xf numFmtId="0" fontId="16" fillId="0" borderId="41" xfId="0" applyFont="1" applyBorder="1" applyAlignment="1">
      <alignment vertical="center" shrinkToFit="1"/>
    </xf>
    <xf numFmtId="177" fontId="16" fillId="0" borderId="60" xfId="0" applyNumberFormat="1" applyFont="1" applyBorder="1" applyAlignment="1">
      <alignment horizontal="right" vertical="center" shrinkToFit="1"/>
    </xf>
    <xf numFmtId="1" fontId="16" fillId="0" borderId="61" xfId="0" applyNumberFormat="1" applyFont="1" applyBorder="1" applyAlignment="1">
      <alignment horizontal="right" vertical="center" shrinkToFit="1"/>
    </xf>
    <xf numFmtId="0" fontId="16" fillId="0" borderId="67" xfId="0" applyFont="1" applyBorder="1" applyAlignment="1">
      <alignment horizontal="right" vertical="center" shrinkToFit="1"/>
    </xf>
    <xf numFmtId="0" fontId="16" fillId="0" borderId="68" xfId="0" applyFont="1" applyBorder="1" applyAlignment="1">
      <alignment horizontal="left" vertical="center" shrinkToFit="1"/>
    </xf>
    <xf numFmtId="0" fontId="16" fillId="0" borderId="69" xfId="0" applyFont="1" applyBorder="1" applyAlignment="1">
      <alignment vertical="center" shrinkToFit="1"/>
    </xf>
    <xf numFmtId="177" fontId="16" fillId="0" borderId="70" xfId="0" applyNumberFormat="1" applyFont="1" applyBorder="1" applyAlignment="1">
      <alignment horizontal="right" vertical="center" shrinkToFit="1"/>
    </xf>
    <xf numFmtId="1" fontId="16" fillId="0" borderId="69" xfId="0" applyNumberFormat="1" applyFont="1" applyBorder="1" applyAlignment="1">
      <alignment horizontal="right" vertical="center" shrinkToFit="1"/>
    </xf>
    <xf numFmtId="0" fontId="17" fillId="0" borderId="36" xfId="0" applyFont="1" applyBorder="1" applyAlignment="1">
      <alignment vertical="center" shrinkToFit="1"/>
    </xf>
    <xf numFmtId="0" fontId="15" fillId="5" borderId="43" xfId="0" applyFont="1" applyFill="1" applyBorder="1" applyAlignment="1">
      <alignment horizontal="center" vertical="center" shrinkToFit="1"/>
    </xf>
    <xf numFmtId="0" fontId="15" fillId="4" borderId="43" xfId="0" applyFont="1" applyFill="1" applyBorder="1" applyAlignment="1">
      <alignment horizontal="center" vertical="center" shrinkToFit="1"/>
    </xf>
    <xf numFmtId="0" fontId="20" fillId="0" borderId="7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18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0" fillId="0" borderId="49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5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0" fillId="0" borderId="37" xfId="0" applyFont="1" applyBorder="1" applyAlignment="1">
      <alignment horizontal="center" vertical="center" shrinkToFit="1"/>
    </xf>
    <xf numFmtId="0" fontId="20" fillId="0" borderId="28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20" fillId="0" borderId="56" xfId="0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0" fontId="20" fillId="0" borderId="14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0" fontId="16" fillId="0" borderId="73" xfId="0" applyFont="1" applyBorder="1" applyAlignment="1">
      <alignment vertical="center" shrinkToFit="1"/>
    </xf>
    <xf numFmtId="1" fontId="17" fillId="0" borderId="74" xfId="0" applyNumberFormat="1" applyFont="1" applyBorder="1" applyAlignment="1">
      <alignment horizontal="right" vertical="center" shrinkToFit="1"/>
    </xf>
    <xf numFmtId="0" fontId="20" fillId="0" borderId="75" xfId="0" applyFont="1" applyBorder="1" applyAlignment="1">
      <alignment horizontal="center" vertical="center" shrinkToFit="1"/>
    </xf>
    <xf numFmtId="0" fontId="7" fillId="0" borderId="69" xfId="0" applyFont="1" applyBorder="1" applyAlignment="1">
      <alignment horizontal="center" vertical="center" shrinkToFit="1"/>
    </xf>
    <xf numFmtId="1" fontId="17" fillId="0" borderId="3" xfId="0" applyNumberFormat="1" applyFont="1" applyBorder="1" applyAlignment="1">
      <alignment horizontal="right" vertical="center" shrinkToFit="1"/>
    </xf>
    <xf numFmtId="0" fontId="7" fillId="0" borderId="57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shrinkToFit="1"/>
    </xf>
    <xf numFmtId="0" fontId="17" fillId="0" borderId="26" xfId="0" applyFont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5" fillId="0" borderId="25" xfId="0" applyFont="1" applyBorder="1" applyAlignment="1">
      <alignment horizontal="left" vertical="center" shrinkToFit="1"/>
    </xf>
    <xf numFmtId="0" fontId="16" fillId="0" borderId="26" xfId="0" applyFont="1" applyBorder="1" applyAlignment="1">
      <alignment horizontal="left" vertical="center" shrinkToFit="1"/>
    </xf>
    <xf numFmtId="0" fontId="10" fillId="0" borderId="20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" fontId="16" fillId="2" borderId="12" xfId="0" applyNumberFormat="1" applyFont="1" applyFill="1" applyBorder="1" applyAlignment="1">
      <alignment horizontal="center" vertical="center" shrinkToFit="1"/>
    </xf>
    <xf numFmtId="1" fontId="16" fillId="2" borderId="18" xfId="0" applyNumberFormat="1" applyFont="1" applyFill="1" applyBorder="1" applyAlignment="1">
      <alignment horizontal="center" vertical="center" shrinkToFit="1"/>
    </xf>
    <xf numFmtId="1" fontId="16" fillId="3" borderId="12" xfId="0" applyNumberFormat="1" applyFont="1" applyFill="1" applyBorder="1" applyAlignment="1">
      <alignment horizontal="center" vertical="center" shrinkToFit="1"/>
    </xf>
    <xf numFmtId="1" fontId="16" fillId="3" borderId="18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1" fontId="16" fillId="2" borderId="34" xfId="0" applyNumberFormat="1" applyFont="1" applyFill="1" applyBorder="1" applyAlignment="1">
      <alignment horizontal="center" vertical="center" shrinkToFit="1"/>
    </xf>
    <xf numFmtId="1" fontId="16" fillId="2" borderId="15" xfId="0" applyNumberFormat="1" applyFont="1" applyFill="1" applyBorder="1" applyAlignment="1">
      <alignment horizontal="center" vertical="center" shrinkToFit="1"/>
    </xf>
    <xf numFmtId="0" fontId="15" fillId="0" borderId="30" xfId="0" applyFont="1" applyBorder="1" applyAlignment="1">
      <alignment horizontal="left" vertical="center" shrinkToFit="1"/>
    </xf>
    <xf numFmtId="0" fontId="16" fillId="0" borderId="33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0" fontId="13" fillId="0" borderId="62" xfId="0" applyFont="1" applyBorder="1" applyAlignment="1">
      <alignment horizontal="center" vertical="center" shrinkToFit="1"/>
    </xf>
    <xf numFmtId="0" fontId="13" fillId="0" borderId="65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left" vertical="center" shrinkToFit="1"/>
    </xf>
    <xf numFmtId="177" fontId="16" fillId="0" borderId="39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Q98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52" t="s">
        <v>0</v>
      </c>
      <c r="C1" s="151"/>
      <c r="D1" s="151"/>
      <c r="E1" s="151"/>
      <c r="F1" s="151"/>
      <c r="G1" s="148"/>
      <c r="H1" s="148"/>
    </row>
    <row r="2" spans="2:17" ht="50.1" customHeight="1">
      <c r="B2" s="153"/>
      <c r="C2" s="154"/>
      <c r="D2" s="154"/>
      <c r="E2" s="41"/>
      <c r="F2" s="119" t="s">
        <v>2</v>
      </c>
      <c r="G2" s="18"/>
      <c r="H2" s="30"/>
    </row>
    <row r="3" spans="2:17" s="4" customFormat="1" ht="36" customHeight="1" thickBot="1">
      <c r="B3" s="8"/>
      <c r="C3" s="9"/>
      <c r="D3" s="45" t="s">
        <v>5</v>
      </c>
      <c r="E3" s="155" t="s">
        <v>0</v>
      </c>
      <c r="F3" s="156"/>
      <c r="G3" s="46" t="s">
        <v>9</v>
      </c>
      <c r="H3" s="24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49" t="s">
        <v>1</v>
      </c>
      <c r="C4" s="150"/>
      <c r="D4" s="54">
        <v>1</v>
      </c>
      <c r="E4" s="55">
        <f>D4*$E$2</f>
        <v>0</v>
      </c>
      <c r="F4" s="120" t="str">
        <f>$F$2</f>
        <v>g</v>
      </c>
      <c r="G4" s="70"/>
      <c r="H4" s="25"/>
    </row>
    <row r="5" spans="2:17" ht="36" customHeight="1">
      <c r="B5" s="56">
        <v>30</v>
      </c>
      <c r="C5" s="57" t="s">
        <v>23</v>
      </c>
      <c r="D5" s="58">
        <v>1</v>
      </c>
      <c r="E5" s="59">
        <f>B5*$E$2</f>
        <v>0</v>
      </c>
      <c r="F5" s="121" t="str">
        <f t="shared" ref="F5:F9" si="0">$F$2</f>
        <v>g</v>
      </c>
      <c r="G5" s="71">
        <v>2</v>
      </c>
      <c r="H5" s="36">
        <f>B5*G5*$E$2</f>
        <v>0</v>
      </c>
      <c r="I5"/>
      <c r="J5"/>
    </row>
    <row r="6" spans="2:17" ht="36" customHeight="1">
      <c r="B6" s="56">
        <v>10</v>
      </c>
      <c r="C6" s="57" t="s">
        <v>27</v>
      </c>
      <c r="D6" s="58">
        <v>1</v>
      </c>
      <c r="E6" s="59">
        <f t="shared" ref="E6:E9" si="1">B6*$E$2</f>
        <v>0</v>
      </c>
      <c r="F6" s="121" t="str">
        <f t="shared" si="0"/>
        <v>g</v>
      </c>
      <c r="G6" s="71">
        <v>3</v>
      </c>
      <c r="H6" s="36">
        <f t="shared" ref="H6:H9" si="2">B6*G6*$E$2</f>
        <v>0</v>
      </c>
      <c r="I6"/>
      <c r="J6"/>
    </row>
    <row r="7" spans="2:17" ht="36" customHeight="1">
      <c r="B7" s="56">
        <v>1</v>
      </c>
      <c r="C7" s="57" t="s">
        <v>33</v>
      </c>
      <c r="D7" s="58">
        <v>1</v>
      </c>
      <c r="E7" s="59">
        <v>50</v>
      </c>
      <c r="F7" s="121" t="str">
        <f t="shared" si="0"/>
        <v>g</v>
      </c>
      <c r="G7" s="71"/>
      <c r="H7" s="36">
        <f t="shared" ref="H7" si="3">B7*G7*$E$2</f>
        <v>0</v>
      </c>
      <c r="I7"/>
      <c r="J7"/>
    </row>
    <row r="8" spans="2:17" ht="36" customHeight="1">
      <c r="B8" s="56">
        <v>1</v>
      </c>
      <c r="C8" s="57" t="s">
        <v>27</v>
      </c>
      <c r="D8" s="58">
        <v>1</v>
      </c>
      <c r="E8" s="59">
        <f t="shared" si="1"/>
        <v>0</v>
      </c>
      <c r="F8" s="121" t="str">
        <f t="shared" si="0"/>
        <v>g</v>
      </c>
      <c r="G8" s="71"/>
      <c r="H8" s="36">
        <f t="shared" si="2"/>
        <v>0</v>
      </c>
      <c r="I8"/>
      <c r="J8"/>
    </row>
    <row r="9" spans="2:17" ht="36" customHeight="1" thickBot="1">
      <c r="B9" s="56">
        <v>1</v>
      </c>
      <c r="C9" s="57" t="s">
        <v>28</v>
      </c>
      <c r="D9" s="60">
        <v>1</v>
      </c>
      <c r="E9" s="61">
        <f t="shared" si="1"/>
        <v>0</v>
      </c>
      <c r="F9" s="122" t="str">
        <f t="shared" si="0"/>
        <v>g</v>
      </c>
      <c r="G9" s="72"/>
      <c r="H9" s="37">
        <f t="shared" si="2"/>
        <v>0</v>
      </c>
      <c r="I9"/>
      <c r="J9"/>
    </row>
    <row r="10" spans="2:17" ht="36" customHeight="1" thickTop="1">
      <c r="B10" s="142" t="s">
        <v>13</v>
      </c>
      <c r="C10" s="143"/>
      <c r="D10" s="54">
        <f>具_ソフト!D8</f>
        <v>0</v>
      </c>
      <c r="E10" s="55">
        <f>D10*$E$2</f>
        <v>0</v>
      </c>
      <c r="F10" s="123" t="str">
        <f t="shared" ref="F10:F85" si="4">$F$2</f>
        <v>g</v>
      </c>
      <c r="G10" s="73"/>
      <c r="H10" s="38"/>
    </row>
    <row r="11" spans="2:17" ht="36" customHeight="1">
      <c r="B11" s="144" t="s">
        <v>14</v>
      </c>
      <c r="C11" s="145"/>
      <c r="D11" s="54">
        <f>具_ミキサー!D8</f>
        <v>0</v>
      </c>
      <c r="E11" s="59">
        <f t="shared" ref="E11:E12" si="5">D11*$E$2</f>
        <v>0</v>
      </c>
      <c r="F11" s="121" t="str">
        <f t="shared" si="4"/>
        <v>g</v>
      </c>
      <c r="G11" s="74"/>
      <c r="H11" s="28"/>
    </row>
    <row r="12" spans="2:17" ht="36" customHeight="1" thickBot="1">
      <c r="B12" s="146" t="s">
        <v>15</v>
      </c>
      <c r="C12" s="147"/>
      <c r="D12" s="60">
        <f>具_ゼリー!D8</f>
        <v>0</v>
      </c>
      <c r="E12" s="61">
        <f t="shared" si="5"/>
        <v>0</v>
      </c>
      <c r="F12" s="122" t="str">
        <f t="shared" si="4"/>
        <v>g</v>
      </c>
      <c r="G12" s="75"/>
      <c r="H12" s="27"/>
    </row>
    <row r="13" spans="2:17" ht="36" customHeight="1" thickTop="1">
      <c r="B13" s="62"/>
      <c r="C13" s="63"/>
      <c r="D13" s="54"/>
      <c r="E13" s="55" t="str">
        <f>IFERROR(H13/G13, IF(D13="", "", 0))</f>
        <v/>
      </c>
      <c r="F13" s="120" t="str">
        <f t="shared" si="4"/>
        <v>g</v>
      </c>
      <c r="G13" s="74">
        <f>IF(AND(D13="", B13&lt;&gt;""), 1, ROUNDUP(D13/30,0))</f>
        <v>0</v>
      </c>
      <c r="H13" s="34">
        <f>IF(AND(D13="", B13&lt;&gt;""), $E$2, D13*$E$2)</f>
        <v>0</v>
      </c>
    </row>
    <row r="14" spans="2:17" ht="36" customHeight="1">
      <c r="B14" s="64"/>
      <c r="C14" s="65"/>
      <c r="D14" s="58"/>
      <c r="E14" s="55" t="str">
        <f t="shared" ref="E14:E85" si="6">IFERROR(H14/G14, IF(D14="", "", 0))</f>
        <v/>
      </c>
      <c r="F14" s="121" t="str">
        <f t="shared" si="4"/>
        <v>g</v>
      </c>
      <c r="G14" s="74">
        <f t="shared" ref="G14:G85" si="7">IF(AND(D14="", B14&lt;&gt;""), 1, ROUNDUP(D14/30,0))</f>
        <v>0</v>
      </c>
      <c r="H14" s="34">
        <f t="shared" ref="H14:H85" si="8">IF(AND(D14="", B14&lt;&gt;""), $E$2, D14*$E$2)</f>
        <v>0</v>
      </c>
    </row>
    <row r="15" spans="2:17" ht="36" customHeight="1">
      <c r="B15" s="64"/>
      <c r="C15" s="65"/>
      <c r="D15" s="58"/>
      <c r="E15" s="55" t="str">
        <f t="shared" si="6"/>
        <v/>
      </c>
      <c r="F15" s="121" t="str">
        <f t="shared" si="4"/>
        <v>g</v>
      </c>
      <c r="G15" s="74">
        <f t="shared" si="7"/>
        <v>0</v>
      </c>
      <c r="H15" s="34">
        <f t="shared" si="8"/>
        <v>0</v>
      </c>
    </row>
    <row r="16" spans="2:17" ht="36" customHeight="1">
      <c r="B16" s="64"/>
      <c r="C16" s="65"/>
      <c r="D16" s="58"/>
      <c r="E16" s="55" t="str">
        <f t="shared" si="6"/>
        <v/>
      </c>
      <c r="F16" s="121" t="str">
        <f t="shared" si="4"/>
        <v>g</v>
      </c>
      <c r="G16" s="74">
        <f t="shared" si="7"/>
        <v>0</v>
      </c>
      <c r="H16" s="34">
        <f t="shared" si="8"/>
        <v>0</v>
      </c>
    </row>
    <row r="17" spans="2:8" ht="36" customHeight="1">
      <c r="B17" s="64"/>
      <c r="C17" s="65"/>
      <c r="D17" s="58"/>
      <c r="E17" s="55" t="str">
        <f t="shared" si="6"/>
        <v/>
      </c>
      <c r="F17" s="121" t="str">
        <f t="shared" si="4"/>
        <v>g</v>
      </c>
      <c r="G17" s="74">
        <f t="shared" si="7"/>
        <v>0</v>
      </c>
      <c r="H17" s="34">
        <f t="shared" si="8"/>
        <v>0</v>
      </c>
    </row>
    <row r="18" spans="2:8" ht="36" customHeight="1">
      <c r="B18" s="64"/>
      <c r="C18" s="65"/>
      <c r="D18" s="58"/>
      <c r="E18" s="55" t="str">
        <f t="shared" si="6"/>
        <v/>
      </c>
      <c r="F18" s="121" t="str">
        <f t="shared" si="4"/>
        <v>g</v>
      </c>
      <c r="G18" s="74">
        <f t="shared" si="7"/>
        <v>0</v>
      </c>
      <c r="H18" s="34">
        <f t="shared" si="8"/>
        <v>0</v>
      </c>
    </row>
    <row r="19" spans="2:8" ht="36" customHeight="1">
      <c r="B19" s="64"/>
      <c r="C19" s="65"/>
      <c r="D19" s="58"/>
      <c r="E19" s="55" t="str">
        <f t="shared" si="6"/>
        <v/>
      </c>
      <c r="F19" s="121" t="str">
        <f t="shared" si="4"/>
        <v>g</v>
      </c>
      <c r="G19" s="74">
        <f t="shared" si="7"/>
        <v>0</v>
      </c>
      <c r="H19" s="34">
        <f t="shared" si="8"/>
        <v>0</v>
      </c>
    </row>
    <row r="20" spans="2:8" ht="36" customHeight="1">
      <c r="B20" s="64"/>
      <c r="C20" s="65"/>
      <c r="D20" s="58"/>
      <c r="E20" s="55" t="str">
        <f t="shared" si="6"/>
        <v/>
      </c>
      <c r="F20" s="121" t="str">
        <f t="shared" si="4"/>
        <v>g</v>
      </c>
      <c r="G20" s="74">
        <f t="shared" si="7"/>
        <v>0</v>
      </c>
      <c r="H20" s="34">
        <f t="shared" si="8"/>
        <v>0</v>
      </c>
    </row>
    <row r="21" spans="2:8" ht="36" customHeight="1">
      <c r="B21" s="64"/>
      <c r="C21" s="65"/>
      <c r="D21" s="58"/>
      <c r="E21" s="55" t="str">
        <f t="shared" si="6"/>
        <v/>
      </c>
      <c r="F21" s="121" t="str">
        <f t="shared" si="4"/>
        <v>g</v>
      </c>
      <c r="G21" s="74">
        <f t="shared" si="7"/>
        <v>0</v>
      </c>
      <c r="H21" s="34">
        <f t="shared" si="8"/>
        <v>0</v>
      </c>
    </row>
    <row r="22" spans="2:8" ht="36" customHeight="1">
      <c r="B22" s="64"/>
      <c r="C22" s="65"/>
      <c r="D22" s="58"/>
      <c r="E22" s="55" t="str">
        <f t="shared" si="6"/>
        <v/>
      </c>
      <c r="F22" s="121" t="str">
        <f t="shared" si="4"/>
        <v>g</v>
      </c>
      <c r="G22" s="74">
        <f t="shared" si="7"/>
        <v>0</v>
      </c>
      <c r="H22" s="34">
        <f t="shared" si="8"/>
        <v>0</v>
      </c>
    </row>
    <row r="23" spans="2:8" ht="36" customHeight="1">
      <c r="B23" s="64"/>
      <c r="C23" s="65"/>
      <c r="D23" s="58"/>
      <c r="E23" s="55" t="str">
        <f t="shared" si="6"/>
        <v/>
      </c>
      <c r="F23" s="121" t="str">
        <f t="shared" si="4"/>
        <v>g</v>
      </c>
      <c r="G23" s="74">
        <f t="shared" si="7"/>
        <v>0</v>
      </c>
      <c r="H23" s="34">
        <f t="shared" si="8"/>
        <v>0</v>
      </c>
    </row>
    <row r="24" spans="2:8" ht="36" customHeight="1">
      <c r="B24" s="64"/>
      <c r="C24" s="65"/>
      <c r="D24" s="58"/>
      <c r="E24" s="55" t="str">
        <f t="shared" si="6"/>
        <v/>
      </c>
      <c r="F24" s="121" t="str">
        <f t="shared" si="4"/>
        <v>g</v>
      </c>
      <c r="G24" s="74">
        <f t="shared" si="7"/>
        <v>0</v>
      </c>
      <c r="H24" s="34">
        <f t="shared" si="8"/>
        <v>0</v>
      </c>
    </row>
    <row r="25" spans="2:8" ht="36" hidden="1" customHeight="1">
      <c r="B25" s="64"/>
      <c r="C25" s="65"/>
      <c r="D25" s="58"/>
      <c r="E25" s="55" t="str">
        <f t="shared" si="6"/>
        <v/>
      </c>
      <c r="F25" s="121" t="str">
        <f t="shared" si="4"/>
        <v>g</v>
      </c>
      <c r="G25" s="74">
        <f t="shared" si="7"/>
        <v>0</v>
      </c>
      <c r="H25" s="34">
        <f t="shared" si="8"/>
        <v>0</v>
      </c>
    </row>
    <row r="26" spans="2:8" ht="36" hidden="1" customHeight="1">
      <c r="B26" s="64"/>
      <c r="C26" s="65"/>
      <c r="D26" s="58"/>
      <c r="E26" s="55" t="str">
        <f t="shared" si="6"/>
        <v/>
      </c>
      <c r="F26" s="121" t="str">
        <f t="shared" si="4"/>
        <v>g</v>
      </c>
      <c r="G26" s="74">
        <f t="shared" si="7"/>
        <v>0</v>
      </c>
      <c r="H26" s="34">
        <f t="shared" si="8"/>
        <v>0</v>
      </c>
    </row>
    <row r="27" spans="2:8" ht="36" hidden="1" customHeight="1">
      <c r="B27" s="64"/>
      <c r="C27" s="65"/>
      <c r="D27" s="58"/>
      <c r="E27" s="55" t="str">
        <f t="shared" si="6"/>
        <v/>
      </c>
      <c r="F27" s="121" t="str">
        <f t="shared" si="4"/>
        <v>g</v>
      </c>
      <c r="G27" s="74">
        <f t="shared" si="7"/>
        <v>0</v>
      </c>
      <c r="H27" s="34">
        <f t="shared" si="8"/>
        <v>0</v>
      </c>
    </row>
    <row r="28" spans="2:8" ht="36" hidden="1" customHeight="1">
      <c r="B28" s="64"/>
      <c r="C28" s="65"/>
      <c r="D28" s="58"/>
      <c r="E28" s="55" t="str">
        <f t="shared" si="6"/>
        <v/>
      </c>
      <c r="F28" s="121" t="str">
        <f t="shared" si="4"/>
        <v>g</v>
      </c>
      <c r="G28" s="74">
        <f t="shared" si="7"/>
        <v>0</v>
      </c>
      <c r="H28" s="34">
        <f t="shared" si="8"/>
        <v>0</v>
      </c>
    </row>
    <row r="29" spans="2:8" ht="36" hidden="1" customHeight="1">
      <c r="B29" s="64"/>
      <c r="C29" s="65"/>
      <c r="D29" s="58"/>
      <c r="E29" s="55" t="str">
        <f t="shared" si="6"/>
        <v/>
      </c>
      <c r="F29" s="121" t="str">
        <f t="shared" si="4"/>
        <v>g</v>
      </c>
      <c r="G29" s="74">
        <f t="shared" si="7"/>
        <v>0</v>
      </c>
      <c r="H29" s="34">
        <f t="shared" si="8"/>
        <v>0</v>
      </c>
    </row>
    <row r="30" spans="2:8" ht="36" hidden="1" customHeight="1">
      <c r="B30" s="64"/>
      <c r="C30" s="65"/>
      <c r="D30" s="58"/>
      <c r="E30" s="55" t="str">
        <f t="shared" si="6"/>
        <v/>
      </c>
      <c r="F30" s="121" t="str">
        <f t="shared" si="4"/>
        <v>g</v>
      </c>
      <c r="G30" s="74">
        <f t="shared" si="7"/>
        <v>0</v>
      </c>
      <c r="H30" s="34">
        <f t="shared" si="8"/>
        <v>0</v>
      </c>
    </row>
    <row r="31" spans="2:8" ht="36" hidden="1" customHeight="1">
      <c r="B31" s="64"/>
      <c r="C31" s="65"/>
      <c r="D31" s="58"/>
      <c r="E31" s="55" t="str">
        <f t="shared" si="6"/>
        <v/>
      </c>
      <c r="F31" s="121" t="str">
        <f t="shared" si="4"/>
        <v>g</v>
      </c>
      <c r="G31" s="74">
        <f t="shared" si="7"/>
        <v>0</v>
      </c>
      <c r="H31" s="34">
        <f t="shared" si="8"/>
        <v>0</v>
      </c>
    </row>
    <row r="32" spans="2:8" ht="36" hidden="1" customHeight="1">
      <c r="B32" s="64"/>
      <c r="C32" s="65"/>
      <c r="D32" s="58"/>
      <c r="E32" s="55" t="str">
        <f t="shared" si="6"/>
        <v/>
      </c>
      <c r="F32" s="121" t="str">
        <f t="shared" si="4"/>
        <v>g</v>
      </c>
      <c r="G32" s="74">
        <f t="shared" si="7"/>
        <v>0</v>
      </c>
      <c r="H32" s="34">
        <f t="shared" si="8"/>
        <v>0</v>
      </c>
    </row>
    <row r="33" spans="2:8" ht="36" hidden="1" customHeight="1">
      <c r="B33" s="64"/>
      <c r="C33" s="65"/>
      <c r="D33" s="58"/>
      <c r="E33" s="55" t="str">
        <f t="shared" si="6"/>
        <v/>
      </c>
      <c r="F33" s="121" t="str">
        <f t="shared" si="4"/>
        <v>g</v>
      </c>
      <c r="G33" s="74">
        <f t="shared" si="7"/>
        <v>0</v>
      </c>
      <c r="H33" s="34">
        <f t="shared" si="8"/>
        <v>0</v>
      </c>
    </row>
    <row r="34" spans="2:8" ht="36" hidden="1" customHeight="1">
      <c r="B34" s="64"/>
      <c r="C34" s="65"/>
      <c r="D34" s="58"/>
      <c r="E34" s="55" t="str">
        <f t="shared" si="6"/>
        <v/>
      </c>
      <c r="F34" s="121" t="str">
        <f t="shared" si="4"/>
        <v>g</v>
      </c>
      <c r="G34" s="74">
        <f t="shared" si="7"/>
        <v>0</v>
      </c>
      <c r="H34" s="34">
        <f t="shared" si="8"/>
        <v>0</v>
      </c>
    </row>
    <row r="35" spans="2:8" ht="36" hidden="1" customHeight="1">
      <c r="B35" s="64"/>
      <c r="C35" s="65"/>
      <c r="D35" s="58"/>
      <c r="E35" s="55" t="str">
        <f t="shared" si="6"/>
        <v/>
      </c>
      <c r="F35" s="121" t="str">
        <f t="shared" si="4"/>
        <v>g</v>
      </c>
      <c r="G35" s="74">
        <f t="shared" si="7"/>
        <v>0</v>
      </c>
      <c r="H35" s="34">
        <f t="shared" si="8"/>
        <v>0</v>
      </c>
    </row>
    <row r="36" spans="2:8" ht="36" hidden="1" customHeight="1">
      <c r="B36" s="64"/>
      <c r="C36" s="65"/>
      <c r="D36" s="58"/>
      <c r="E36" s="55" t="str">
        <f t="shared" si="6"/>
        <v/>
      </c>
      <c r="F36" s="121" t="str">
        <f t="shared" si="4"/>
        <v>g</v>
      </c>
      <c r="G36" s="74">
        <f t="shared" si="7"/>
        <v>0</v>
      </c>
      <c r="H36" s="34">
        <f t="shared" si="8"/>
        <v>0</v>
      </c>
    </row>
    <row r="37" spans="2:8" ht="36" hidden="1" customHeight="1">
      <c r="B37" s="64"/>
      <c r="C37" s="65"/>
      <c r="D37" s="58"/>
      <c r="E37" s="55" t="str">
        <f t="shared" si="6"/>
        <v/>
      </c>
      <c r="F37" s="121" t="str">
        <f t="shared" si="4"/>
        <v>g</v>
      </c>
      <c r="G37" s="74">
        <f t="shared" si="7"/>
        <v>0</v>
      </c>
      <c r="H37" s="34">
        <f t="shared" si="8"/>
        <v>0</v>
      </c>
    </row>
    <row r="38" spans="2:8" ht="36" hidden="1" customHeight="1">
      <c r="B38" s="64"/>
      <c r="C38" s="65"/>
      <c r="D38" s="58"/>
      <c r="E38" s="55" t="str">
        <f t="shared" si="6"/>
        <v/>
      </c>
      <c r="F38" s="121" t="str">
        <f t="shared" si="4"/>
        <v>g</v>
      </c>
      <c r="G38" s="74">
        <f t="shared" si="7"/>
        <v>0</v>
      </c>
      <c r="H38" s="34">
        <f t="shared" si="8"/>
        <v>0</v>
      </c>
    </row>
    <row r="39" spans="2:8" ht="36" hidden="1" customHeight="1">
      <c r="B39" s="64"/>
      <c r="C39" s="65"/>
      <c r="D39" s="58"/>
      <c r="E39" s="55" t="str">
        <f t="shared" si="6"/>
        <v/>
      </c>
      <c r="F39" s="121" t="str">
        <f t="shared" si="4"/>
        <v>g</v>
      </c>
      <c r="G39" s="74">
        <f t="shared" si="7"/>
        <v>0</v>
      </c>
      <c r="H39" s="34">
        <f t="shared" si="8"/>
        <v>0</v>
      </c>
    </row>
    <row r="40" spans="2:8" ht="36" hidden="1" customHeight="1">
      <c r="B40" s="64"/>
      <c r="C40" s="65"/>
      <c r="D40" s="58"/>
      <c r="E40" s="55" t="str">
        <f t="shared" si="6"/>
        <v/>
      </c>
      <c r="F40" s="121" t="str">
        <f t="shared" si="4"/>
        <v>g</v>
      </c>
      <c r="G40" s="74">
        <f t="shared" si="7"/>
        <v>0</v>
      </c>
      <c r="H40" s="34">
        <f t="shared" si="8"/>
        <v>0</v>
      </c>
    </row>
    <row r="41" spans="2:8" ht="36" hidden="1" customHeight="1">
      <c r="B41" s="64"/>
      <c r="C41" s="65"/>
      <c r="D41" s="58"/>
      <c r="E41" s="55" t="str">
        <f t="shared" si="6"/>
        <v/>
      </c>
      <c r="F41" s="121" t="str">
        <f t="shared" si="4"/>
        <v>g</v>
      </c>
      <c r="G41" s="74">
        <f t="shared" si="7"/>
        <v>0</v>
      </c>
      <c r="H41" s="34">
        <f t="shared" si="8"/>
        <v>0</v>
      </c>
    </row>
    <row r="42" spans="2:8" ht="36" hidden="1" customHeight="1">
      <c r="B42" s="64"/>
      <c r="C42" s="65"/>
      <c r="D42" s="58"/>
      <c r="E42" s="55" t="str">
        <f t="shared" si="6"/>
        <v/>
      </c>
      <c r="F42" s="121" t="str">
        <f t="shared" si="4"/>
        <v>g</v>
      </c>
      <c r="G42" s="74">
        <f t="shared" si="7"/>
        <v>0</v>
      </c>
      <c r="H42" s="34">
        <f t="shared" si="8"/>
        <v>0</v>
      </c>
    </row>
    <row r="43" spans="2:8" ht="36" hidden="1" customHeight="1">
      <c r="B43" s="64"/>
      <c r="C43" s="65"/>
      <c r="D43" s="58"/>
      <c r="E43" s="55" t="str">
        <f t="shared" si="6"/>
        <v/>
      </c>
      <c r="F43" s="121" t="str">
        <f t="shared" si="4"/>
        <v>g</v>
      </c>
      <c r="G43" s="74">
        <f t="shared" si="7"/>
        <v>0</v>
      </c>
      <c r="H43" s="34">
        <f t="shared" si="8"/>
        <v>0</v>
      </c>
    </row>
    <row r="44" spans="2:8" ht="36" hidden="1" customHeight="1">
      <c r="B44" s="64"/>
      <c r="C44" s="65"/>
      <c r="D44" s="58"/>
      <c r="E44" s="55" t="str">
        <f t="shared" si="6"/>
        <v/>
      </c>
      <c r="F44" s="121" t="str">
        <f t="shared" si="4"/>
        <v>g</v>
      </c>
      <c r="G44" s="74">
        <f t="shared" si="7"/>
        <v>0</v>
      </c>
      <c r="H44" s="34">
        <f t="shared" si="8"/>
        <v>0</v>
      </c>
    </row>
    <row r="45" spans="2:8" ht="36" hidden="1" customHeight="1">
      <c r="B45" s="64"/>
      <c r="C45" s="65"/>
      <c r="D45" s="58"/>
      <c r="E45" s="55" t="str">
        <f t="shared" si="6"/>
        <v/>
      </c>
      <c r="F45" s="121" t="str">
        <f t="shared" si="4"/>
        <v>g</v>
      </c>
      <c r="G45" s="74">
        <f t="shared" si="7"/>
        <v>0</v>
      </c>
      <c r="H45" s="34">
        <f t="shared" si="8"/>
        <v>0</v>
      </c>
    </row>
    <row r="46" spans="2:8" ht="36" hidden="1" customHeight="1">
      <c r="B46" s="64"/>
      <c r="C46" s="65"/>
      <c r="D46" s="58"/>
      <c r="E46" s="55" t="str">
        <f t="shared" si="6"/>
        <v/>
      </c>
      <c r="F46" s="121" t="str">
        <f t="shared" si="4"/>
        <v>g</v>
      </c>
      <c r="G46" s="74">
        <f t="shared" si="7"/>
        <v>0</v>
      </c>
      <c r="H46" s="34">
        <f t="shared" si="8"/>
        <v>0</v>
      </c>
    </row>
    <row r="47" spans="2:8" ht="36" hidden="1" customHeight="1">
      <c r="B47" s="64"/>
      <c r="C47" s="65"/>
      <c r="D47" s="58"/>
      <c r="E47" s="55" t="str">
        <f t="shared" si="6"/>
        <v/>
      </c>
      <c r="F47" s="121" t="str">
        <f t="shared" si="4"/>
        <v>g</v>
      </c>
      <c r="G47" s="74">
        <f t="shared" si="7"/>
        <v>0</v>
      </c>
      <c r="H47" s="34">
        <f t="shared" si="8"/>
        <v>0</v>
      </c>
    </row>
    <row r="48" spans="2:8" ht="36" hidden="1" customHeight="1">
      <c r="B48" s="64"/>
      <c r="C48" s="65"/>
      <c r="D48" s="58"/>
      <c r="E48" s="55" t="str">
        <f t="shared" si="6"/>
        <v/>
      </c>
      <c r="F48" s="121" t="str">
        <f t="shared" si="4"/>
        <v>g</v>
      </c>
      <c r="G48" s="74">
        <f t="shared" si="7"/>
        <v>0</v>
      </c>
      <c r="H48" s="34">
        <f t="shared" si="8"/>
        <v>0</v>
      </c>
    </row>
    <row r="49" spans="2:8" ht="36" hidden="1" customHeight="1">
      <c r="B49" s="64"/>
      <c r="C49" s="65"/>
      <c r="D49" s="58"/>
      <c r="E49" s="55" t="str">
        <f t="shared" ref="E49:E72" si="9">IFERROR(H49/G49, IF(D49="", "", 0))</f>
        <v/>
      </c>
      <c r="F49" s="121" t="str">
        <f t="shared" si="4"/>
        <v>g</v>
      </c>
      <c r="G49" s="74">
        <f t="shared" ref="G49:G72" si="10">IF(AND(D49="", B49&lt;&gt;""), 1, ROUNDUP(D49/30,0))</f>
        <v>0</v>
      </c>
      <c r="H49" s="34">
        <f t="shared" ref="H49:H72" si="11">IF(AND(D49="", B49&lt;&gt;""), $E$2, D49*$E$2)</f>
        <v>0</v>
      </c>
    </row>
    <row r="50" spans="2:8" ht="36" hidden="1" customHeight="1">
      <c r="B50" s="64"/>
      <c r="C50" s="65"/>
      <c r="D50" s="58"/>
      <c r="E50" s="55" t="str">
        <f t="shared" si="9"/>
        <v/>
      </c>
      <c r="F50" s="121" t="str">
        <f t="shared" si="4"/>
        <v>g</v>
      </c>
      <c r="G50" s="74">
        <f t="shared" si="10"/>
        <v>0</v>
      </c>
      <c r="H50" s="34">
        <f t="shared" si="11"/>
        <v>0</v>
      </c>
    </row>
    <row r="51" spans="2:8" ht="36" hidden="1" customHeight="1">
      <c r="B51" s="64"/>
      <c r="C51" s="65"/>
      <c r="D51" s="58"/>
      <c r="E51" s="55" t="str">
        <f t="shared" si="9"/>
        <v/>
      </c>
      <c r="F51" s="121" t="str">
        <f t="shared" si="4"/>
        <v>g</v>
      </c>
      <c r="G51" s="74">
        <f t="shared" si="10"/>
        <v>0</v>
      </c>
      <c r="H51" s="34">
        <f t="shared" si="11"/>
        <v>0</v>
      </c>
    </row>
    <row r="52" spans="2:8" ht="36" hidden="1" customHeight="1">
      <c r="B52" s="64"/>
      <c r="C52" s="65"/>
      <c r="D52" s="58"/>
      <c r="E52" s="55" t="str">
        <f t="shared" si="9"/>
        <v/>
      </c>
      <c r="F52" s="121" t="str">
        <f t="shared" si="4"/>
        <v>g</v>
      </c>
      <c r="G52" s="74">
        <f t="shared" si="10"/>
        <v>0</v>
      </c>
      <c r="H52" s="34">
        <f t="shared" si="11"/>
        <v>0</v>
      </c>
    </row>
    <row r="53" spans="2:8" ht="36" hidden="1" customHeight="1">
      <c r="B53" s="64"/>
      <c r="C53" s="65"/>
      <c r="D53" s="58"/>
      <c r="E53" s="55" t="str">
        <f t="shared" si="9"/>
        <v/>
      </c>
      <c r="F53" s="121" t="str">
        <f t="shared" si="4"/>
        <v>g</v>
      </c>
      <c r="G53" s="74">
        <f t="shared" si="10"/>
        <v>0</v>
      </c>
      <c r="H53" s="34">
        <f t="shared" si="11"/>
        <v>0</v>
      </c>
    </row>
    <row r="54" spans="2:8" ht="36" hidden="1" customHeight="1">
      <c r="B54" s="64"/>
      <c r="C54" s="65"/>
      <c r="D54" s="58"/>
      <c r="E54" s="55" t="str">
        <f t="shared" si="9"/>
        <v/>
      </c>
      <c r="F54" s="121" t="str">
        <f t="shared" si="4"/>
        <v>g</v>
      </c>
      <c r="G54" s="74">
        <f t="shared" si="10"/>
        <v>0</v>
      </c>
      <c r="H54" s="34">
        <f t="shared" si="11"/>
        <v>0</v>
      </c>
    </row>
    <row r="55" spans="2:8" ht="36" hidden="1" customHeight="1">
      <c r="B55" s="64"/>
      <c r="C55" s="65"/>
      <c r="D55" s="58"/>
      <c r="E55" s="55" t="str">
        <f t="shared" si="9"/>
        <v/>
      </c>
      <c r="F55" s="121" t="str">
        <f t="shared" si="4"/>
        <v>g</v>
      </c>
      <c r="G55" s="74">
        <f t="shared" si="10"/>
        <v>0</v>
      </c>
      <c r="H55" s="34">
        <f t="shared" si="11"/>
        <v>0</v>
      </c>
    </row>
    <row r="56" spans="2:8" ht="36" hidden="1" customHeight="1">
      <c r="B56" s="64"/>
      <c r="C56" s="65"/>
      <c r="D56" s="58"/>
      <c r="E56" s="55" t="str">
        <f t="shared" si="9"/>
        <v/>
      </c>
      <c r="F56" s="121" t="str">
        <f t="shared" si="4"/>
        <v>g</v>
      </c>
      <c r="G56" s="74">
        <f t="shared" si="10"/>
        <v>0</v>
      </c>
      <c r="H56" s="34">
        <f t="shared" si="11"/>
        <v>0</v>
      </c>
    </row>
    <row r="57" spans="2:8" ht="36" hidden="1" customHeight="1">
      <c r="B57" s="64"/>
      <c r="C57" s="65"/>
      <c r="D57" s="58"/>
      <c r="E57" s="55" t="str">
        <f t="shared" si="9"/>
        <v/>
      </c>
      <c r="F57" s="121" t="str">
        <f t="shared" si="4"/>
        <v>g</v>
      </c>
      <c r="G57" s="74">
        <f t="shared" si="10"/>
        <v>0</v>
      </c>
      <c r="H57" s="34">
        <f t="shared" si="11"/>
        <v>0</v>
      </c>
    </row>
    <row r="58" spans="2:8" ht="36" hidden="1" customHeight="1">
      <c r="B58" s="64"/>
      <c r="C58" s="65"/>
      <c r="D58" s="58"/>
      <c r="E58" s="55" t="str">
        <f t="shared" si="9"/>
        <v/>
      </c>
      <c r="F58" s="121" t="str">
        <f t="shared" si="4"/>
        <v>g</v>
      </c>
      <c r="G58" s="74">
        <f t="shared" si="10"/>
        <v>0</v>
      </c>
      <c r="H58" s="34">
        <f t="shared" si="11"/>
        <v>0</v>
      </c>
    </row>
    <row r="59" spans="2:8" ht="36" hidden="1" customHeight="1">
      <c r="B59" s="64"/>
      <c r="C59" s="65"/>
      <c r="D59" s="58"/>
      <c r="E59" s="55" t="str">
        <f t="shared" si="9"/>
        <v/>
      </c>
      <c r="F59" s="121" t="str">
        <f t="shared" si="4"/>
        <v>g</v>
      </c>
      <c r="G59" s="74">
        <f t="shared" si="10"/>
        <v>0</v>
      </c>
      <c r="H59" s="34">
        <f t="shared" si="11"/>
        <v>0</v>
      </c>
    </row>
    <row r="60" spans="2:8" ht="36" hidden="1" customHeight="1">
      <c r="B60" s="64"/>
      <c r="C60" s="65"/>
      <c r="D60" s="58"/>
      <c r="E60" s="55" t="str">
        <f t="shared" si="9"/>
        <v/>
      </c>
      <c r="F60" s="121" t="str">
        <f t="shared" si="4"/>
        <v>g</v>
      </c>
      <c r="G60" s="74">
        <f t="shared" si="10"/>
        <v>0</v>
      </c>
      <c r="H60" s="34">
        <f t="shared" si="11"/>
        <v>0</v>
      </c>
    </row>
    <row r="61" spans="2:8" ht="36" hidden="1" customHeight="1">
      <c r="B61" s="64"/>
      <c r="C61" s="65"/>
      <c r="D61" s="58"/>
      <c r="E61" s="55" t="str">
        <f t="shared" si="9"/>
        <v/>
      </c>
      <c r="F61" s="121" t="str">
        <f t="shared" si="4"/>
        <v>g</v>
      </c>
      <c r="G61" s="74">
        <f t="shared" si="10"/>
        <v>0</v>
      </c>
      <c r="H61" s="34">
        <f t="shared" si="11"/>
        <v>0</v>
      </c>
    </row>
    <row r="62" spans="2:8" ht="36" hidden="1" customHeight="1">
      <c r="B62" s="64"/>
      <c r="C62" s="65"/>
      <c r="D62" s="58"/>
      <c r="E62" s="55" t="str">
        <f t="shared" si="9"/>
        <v/>
      </c>
      <c r="F62" s="121" t="str">
        <f t="shared" si="4"/>
        <v>g</v>
      </c>
      <c r="G62" s="74">
        <f t="shared" si="10"/>
        <v>0</v>
      </c>
      <c r="H62" s="34">
        <f t="shared" si="11"/>
        <v>0</v>
      </c>
    </row>
    <row r="63" spans="2:8" ht="36" hidden="1" customHeight="1">
      <c r="B63" s="64"/>
      <c r="C63" s="65"/>
      <c r="D63" s="58"/>
      <c r="E63" s="55" t="str">
        <f t="shared" si="9"/>
        <v/>
      </c>
      <c r="F63" s="121" t="str">
        <f t="shared" si="4"/>
        <v>g</v>
      </c>
      <c r="G63" s="74">
        <f t="shared" si="10"/>
        <v>0</v>
      </c>
      <c r="H63" s="34">
        <f t="shared" si="11"/>
        <v>0</v>
      </c>
    </row>
    <row r="64" spans="2:8" ht="36" hidden="1" customHeight="1">
      <c r="B64" s="64"/>
      <c r="C64" s="65"/>
      <c r="D64" s="58"/>
      <c r="E64" s="55" t="str">
        <f t="shared" si="9"/>
        <v/>
      </c>
      <c r="F64" s="121" t="str">
        <f t="shared" si="4"/>
        <v>g</v>
      </c>
      <c r="G64" s="74">
        <f t="shared" si="10"/>
        <v>0</v>
      </c>
      <c r="H64" s="34">
        <f t="shared" si="11"/>
        <v>0</v>
      </c>
    </row>
    <row r="65" spans="2:8" ht="36" hidden="1" customHeight="1">
      <c r="B65" s="64"/>
      <c r="C65" s="65"/>
      <c r="D65" s="58"/>
      <c r="E65" s="55" t="str">
        <f t="shared" si="9"/>
        <v/>
      </c>
      <c r="F65" s="121" t="str">
        <f t="shared" si="4"/>
        <v>g</v>
      </c>
      <c r="G65" s="74">
        <f t="shared" si="10"/>
        <v>0</v>
      </c>
      <c r="H65" s="34">
        <f t="shared" si="11"/>
        <v>0</v>
      </c>
    </row>
    <row r="66" spans="2:8" ht="36" hidden="1" customHeight="1">
      <c r="B66" s="64"/>
      <c r="C66" s="65"/>
      <c r="D66" s="58"/>
      <c r="E66" s="55" t="str">
        <f t="shared" si="9"/>
        <v/>
      </c>
      <c r="F66" s="121" t="str">
        <f t="shared" si="4"/>
        <v>g</v>
      </c>
      <c r="G66" s="74">
        <f t="shared" si="10"/>
        <v>0</v>
      </c>
      <c r="H66" s="34">
        <f t="shared" si="11"/>
        <v>0</v>
      </c>
    </row>
    <row r="67" spans="2:8" ht="36" hidden="1" customHeight="1">
      <c r="B67" s="64"/>
      <c r="C67" s="65"/>
      <c r="D67" s="58"/>
      <c r="E67" s="55" t="str">
        <f t="shared" si="9"/>
        <v/>
      </c>
      <c r="F67" s="121" t="str">
        <f t="shared" si="4"/>
        <v>g</v>
      </c>
      <c r="G67" s="74">
        <f t="shared" si="10"/>
        <v>0</v>
      </c>
      <c r="H67" s="34">
        <f t="shared" si="11"/>
        <v>0</v>
      </c>
    </row>
    <row r="68" spans="2:8" ht="36" hidden="1" customHeight="1">
      <c r="B68" s="64"/>
      <c r="C68" s="65"/>
      <c r="D68" s="58"/>
      <c r="E68" s="55" t="str">
        <f t="shared" si="9"/>
        <v/>
      </c>
      <c r="F68" s="121" t="str">
        <f t="shared" si="4"/>
        <v>g</v>
      </c>
      <c r="G68" s="74">
        <f t="shared" si="10"/>
        <v>0</v>
      </c>
      <c r="H68" s="34">
        <f t="shared" si="11"/>
        <v>0</v>
      </c>
    </row>
    <row r="69" spans="2:8" ht="36" hidden="1" customHeight="1">
      <c r="B69" s="64"/>
      <c r="C69" s="65"/>
      <c r="D69" s="58"/>
      <c r="E69" s="55" t="str">
        <f t="shared" si="9"/>
        <v/>
      </c>
      <c r="F69" s="121" t="str">
        <f t="shared" si="4"/>
        <v>g</v>
      </c>
      <c r="G69" s="74">
        <f t="shared" si="10"/>
        <v>0</v>
      </c>
      <c r="H69" s="34">
        <f t="shared" si="11"/>
        <v>0</v>
      </c>
    </row>
    <row r="70" spans="2:8" ht="36" hidden="1" customHeight="1">
      <c r="B70" s="64"/>
      <c r="C70" s="65"/>
      <c r="D70" s="58"/>
      <c r="E70" s="55" t="str">
        <f t="shared" si="9"/>
        <v/>
      </c>
      <c r="F70" s="121" t="str">
        <f t="shared" si="4"/>
        <v>g</v>
      </c>
      <c r="G70" s="74">
        <f t="shared" si="10"/>
        <v>0</v>
      </c>
      <c r="H70" s="34">
        <f t="shared" si="11"/>
        <v>0</v>
      </c>
    </row>
    <row r="71" spans="2:8" ht="36" hidden="1" customHeight="1">
      <c r="B71" s="64"/>
      <c r="C71" s="65"/>
      <c r="D71" s="58"/>
      <c r="E71" s="55" t="str">
        <f t="shared" si="9"/>
        <v/>
      </c>
      <c r="F71" s="121" t="str">
        <f t="shared" si="4"/>
        <v>g</v>
      </c>
      <c r="G71" s="74">
        <f t="shared" si="10"/>
        <v>0</v>
      </c>
      <c r="H71" s="34">
        <f t="shared" si="11"/>
        <v>0</v>
      </c>
    </row>
    <row r="72" spans="2:8" ht="36" hidden="1" customHeight="1">
      <c r="B72" s="64"/>
      <c r="C72" s="65"/>
      <c r="D72" s="58"/>
      <c r="E72" s="55" t="str">
        <f t="shared" si="9"/>
        <v/>
      </c>
      <c r="F72" s="121" t="str">
        <f t="shared" si="4"/>
        <v>g</v>
      </c>
      <c r="G72" s="74">
        <f t="shared" si="10"/>
        <v>0</v>
      </c>
      <c r="H72" s="34">
        <f t="shared" si="11"/>
        <v>0</v>
      </c>
    </row>
    <row r="73" spans="2:8" ht="36" hidden="1" customHeight="1">
      <c r="B73" s="64"/>
      <c r="C73" s="65"/>
      <c r="D73" s="58"/>
      <c r="E73" s="55" t="str">
        <f t="shared" si="6"/>
        <v/>
      </c>
      <c r="F73" s="121" t="str">
        <f t="shared" si="4"/>
        <v>g</v>
      </c>
      <c r="G73" s="74">
        <f t="shared" si="7"/>
        <v>0</v>
      </c>
      <c r="H73" s="34">
        <f t="shared" si="8"/>
        <v>0</v>
      </c>
    </row>
    <row r="74" spans="2:8" ht="36" hidden="1" customHeight="1">
      <c r="B74" s="64"/>
      <c r="C74" s="65"/>
      <c r="D74" s="58"/>
      <c r="E74" s="55" t="str">
        <f t="shared" si="6"/>
        <v/>
      </c>
      <c r="F74" s="121" t="str">
        <f t="shared" si="4"/>
        <v>g</v>
      </c>
      <c r="G74" s="74">
        <f t="shared" si="7"/>
        <v>0</v>
      </c>
      <c r="H74" s="34">
        <f t="shared" si="8"/>
        <v>0</v>
      </c>
    </row>
    <row r="75" spans="2:8" ht="36" hidden="1" customHeight="1">
      <c r="B75" s="64"/>
      <c r="C75" s="65"/>
      <c r="D75" s="58"/>
      <c r="E75" s="55" t="str">
        <f t="shared" si="6"/>
        <v/>
      </c>
      <c r="F75" s="121" t="str">
        <f t="shared" si="4"/>
        <v>g</v>
      </c>
      <c r="G75" s="74">
        <f t="shared" si="7"/>
        <v>0</v>
      </c>
      <c r="H75" s="34">
        <f t="shared" si="8"/>
        <v>0</v>
      </c>
    </row>
    <row r="76" spans="2:8" ht="36" hidden="1" customHeight="1">
      <c r="B76" s="64"/>
      <c r="C76" s="65"/>
      <c r="D76" s="58"/>
      <c r="E76" s="55" t="str">
        <f t="shared" si="6"/>
        <v/>
      </c>
      <c r="F76" s="121" t="str">
        <f t="shared" si="4"/>
        <v>g</v>
      </c>
      <c r="G76" s="74">
        <f t="shared" si="7"/>
        <v>0</v>
      </c>
      <c r="H76" s="34">
        <f t="shared" si="8"/>
        <v>0</v>
      </c>
    </row>
    <row r="77" spans="2:8" ht="36" hidden="1" customHeight="1">
      <c r="B77" s="64"/>
      <c r="C77" s="65"/>
      <c r="D77" s="58"/>
      <c r="E77" s="55" t="str">
        <f t="shared" si="6"/>
        <v/>
      </c>
      <c r="F77" s="121" t="str">
        <f t="shared" si="4"/>
        <v>g</v>
      </c>
      <c r="G77" s="74">
        <f t="shared" si="7"/>
        <v>0</v>
      </c>
      <c r="H77" s="34">
        <f t="shared" si="8"/>
        <v>0</v>
      </c>
    </row>
    <row r="78" spans="2:8" ht="36" hidden="1" customHeight="1">
      <c r="B78" s="64"/>
      <c r="C78" s="65"/>
      <c r="D78" s="58"/>
      <c r="E78" s="55" t="str">
        <f t="shared" si="6"/>
        <v/>
      </c>
      <c r="F78" s="121" t="str">
        <f t="shared" si="4"/>
        <v>g</v>
      </c>
      <c r="G78" s="74">
        <f t="shared" si="7"/>
        <v>0</v>
      </c>
      <c r="H78" s="34">
        <f t="shared" si="8"/>
        <v>0</v>
      </c>
    </row>
    <row r="79" spans="2:8" ht="36" hidden="1" customHeight="1">
      <c r="B79" s="64"/>
      <c r="C79" s="65"/>
      <c r="D79" s="58"/>
      <c r="E79" s="55" t="str">
        <f t="shared" si="6"/>
        <v/>
      </c>
      <c r="F79" s="121" t="str">
        <f t="shared" si="4"/>
        <v>g</v>
      </c>
      <c r="G79" s="74">
        <f t="shared" si="7"/>
        <v>0</v>
      </c>
      <c r="H79" s="34">
        <f t="shared" si="8"/>
        <v>0</v>
      </c>
    </row>
    <row r="80" spans="2:8" ht="36" hidden="1" customHeight="1">
      <c r="B80" s="64"/>
      <c r="C80" s="65"/>
      <c r="D80" s="58"/>
      <c r="E80" s="55" t="str">
        <f t="shared" si="6"/>
        <v/>
      </c>
      <c r="F80" s="121" t="str">
        <f t="shared" si="4"/>
        <v>g</v>
      </c>
      <c r="G80" s="74">
        <f t="shared" si="7"/>
        <v>0</v>
      </c>
      <c r="H80" s="34">
        <f t="shared" si="8"/>
        <v>0</v>
      </c>
    </row>
    <row r="81" spans="2:8" ht="36" hidden="1" customHeight="1">
      <c r="B81" s="64"/>
      <c r="C81" s="65"/>
      <c r="D81" s="58"/>
      <c r="E81" s="55" t="str">
        <f t="shared" si="6"/>
        <v/>
      </c>
      <c r="F81" s="121" t="str">
        <f t="shared" si="4"/>
        <v>g</v>
      </c>
      <c r="G81" s="74">
        <f t="shared" si="7"/>
        <v>0</v>
      </c>
      <c r="H81" s="34">
        <f t="shared" si="8"/>
        <v>0</v>
      </c>
    </row>
    <row r="82" spans="2:8" ht="36" hidden="1" customHeight="1">
      <c r="B82" s="64"/>
      <c r="C82" s="65"/>
      <c r="D82" s="58"/>
      <c r="E82" s="55" t="str">
        <f t="shared" si="6"/>
        <v/>
      </c>
      <c r="F82" s="121" t="str">
        <f t="shared" si="4"/>
        <v>g</v>
      </c>
      <c r="G82" s="74">
        <f t="shared" si="7"/>
        <v>0</v>
      </c>
      <c r="H82" s="34">
        <f t="shared" si="8"/>
        <v>0</v>
      </c>
    </row>
    <row r="83" spans="2:8" ht="36" hidden="1" customHeight="1">
      <c r="B83" s="64"/>
      <c r="C83" s="65"/>
      <c r="D83" s="58"/>
      <c r="E83" s="55" t="str">
        <f t="shared" si="6"/>
        <v/>
      </c>
      <c r="F83" s="121" t="str">
        <f t="shared" si="4"/>
        <v>g</v>
      </c>
      <c r="G83" s="74">
        <f t="shared" si="7"/>
        <v>0</v>
      </c>
      <c r="H83" s="34">
        <f t="shared" si="8"/>
        <v>0</v>
      </c>
    </row>
    <row r="84" spans="2:8" ht="36" hidden="1" customHeight="1">
      <c r="B84" s="64"/>
      <c r="C84" s="65"/>
      <c r="D84" s="58"/>
      <c r="E84" s="55" t="str">
        <f t="shared" si="6"/>
        <v/>
      </c>
      <c r="F84" s="121" t="str">
        <f t="shared" si="4"/>
        <v>g</v>
      </c>
      <c r="G84" s="74">
        <f t="shared" si="7"/>
        <v>0</v>
      </c>
      <c r="H84" s="34">
        <f t="shared" si="8"/>
        <v>0</v>
      </c>
    </row>
    <row r="85" spans="2:8" ht="36" customHeight="1" thickBot="1">
      <c r="B85" s="66"/>
      <c r="C85" s="67"/>
      <c r="D85" s="68"/>
      <c r="E85" s="69" t="str">
        <f t="shared" si="6"/>
        <v/>
      </c>
      <c r="F85" s="124" t="str">
        <f t="shared" si="4"/>
        <v>g</v>
      </c>
      <c r="G85" s="76">
        <f t="shared" si="7"/>
        <v>0</v>
      </c>
      <c r="H85" s="35">
        <f t="shared" si="8"/>
        <v>0</v>
      </c>
    </row>
    <row r="86" spans="2:8" ht="32.1" customHeight="1">
      <c r="B86" s="2"/>
      <c r="C86" s="2"/>
      <c r="D86" s="2"/>
    </row>
    <row r="87" spans="2:8" ht="32.1" customHeight="1">
      <c r="B87" s="2"/>
      <c r="C87" s="2"/>
      <c r="D87" s="2"/>
    </row>
    <row r="88" spans="2:8" ht="32.1" customHeight="1">
      <c r="B88" s="2"/>
      <c r="C88" s="2"/>
      <c r="D88" s="2"/>
    </row>
    <row r="89" spans="2:8" ht="32.1" customHeight="1">
      <c r="B89" s="2"/>
      <c r="C89" s="2"/>
      <c r="D89" s="2"/>
    </row>
    <row r="90" spans="2:8" ht="32.1" customHeight="1">
      <c r="B90" s="2"/>
      <c r="C90" s="2"/>
      <c r="D90" s="2"/>
    </row>
    <row r="91" spans="2:8" ht="32.1" customHeight="1">
      <c r="B91" s="2"/>
      <c r="C91" s="2"/>
      <c r="D91" s="2"/>
    </row>
    <row r="92" spans="2:8" ht="32.1" customHeight="1">
      <c r="B92" s="2"/>
      <c r="C92" s="2"/>
      <c r="D92" s="2"/>
    </row>
    <row r="93" spans="2:8" ht="32.1" customHeight="1">
      <c r="B93" s="2"/>
      <c r="C93" s="2"/>
      <c r="D93" s="2"/>
    </row>
    <row r="94" spans="2:8" ht="32.1" customHeight="1">
      <c r="B94" s="2"/>
      <c r="C94" s="2"/>
      <c r="D94" s="2"/>
    </row>
    <row r="95" spans="2:8" ht="32.1" customHeight="1">
      <c r="B95" s="2"/>
      <c r="C95" s="2"/>
      <c r="D95" s="2"/>
    </row>
    <row r="96" spans="2:8" ht="32.1" customHeight="1">
      <c r="B96" s="2"/>
      <c r="C96" s="2"/>
      <c r="D96" s="2"/>
    </row>
    <row r="97" spans="2:4" ht="32.1" customHeight="1">
      <c r="B97" s="2"/>
      <c r="C97" s="2"/>
      <c r="D97" s="2"/>
    </row>
    <row r="98" spans="2:4" ht="32.1" customHeight="1">
      <c r="B98" s="2"/>
      <c r="C98" s="2"/>
      <c r="D98" s="2"/>
    </row>
  </sheetData>
  <mergeCells count="9">
    <mergeCell ref="B10:C10"/>
    <mergeCell ref="B11:C11"/>
    <mergeCell ref="B12:C12"/>
    <mergeCell ref="G1:H1"/>
    <mergeCell ref="B4:C4"/>
    <mergeCell ref="E1:F1"/>
    <mergeCell ref="B1:D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Q7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3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52" t="s">
        <v>3</v>
      </c>
      <c r="C1" s="151"/>
      <c r="D1" s="151"/>
      <c r="E1" s="151"/>
      <c r="F1" s="151"/>
      <c r="G1" s="148"/>
      <c r="H1" s="148"/>
    </row>
    <row r="2" spans="2:17" ht="50.1" customHeight="1">
      <c r="B2" s="153"/>
      <c r="C2" s="154"/>
      <c r="D2" s="154"/>
      <c r="E2" s="42"/>
      <c r="F2" s="119" t="s">
        <v>2</v>
      </c>
      <c r="G2" s="18"/>
      <c r="H2" s="30"/>
    </row>
    <row r="3" spans="2:17" s="4" customFormat="1" ht="36" customHeight="1" thickBot="1">
      <c r="B3" s="10"/>
      <c r="C3" s="11"/>
      <c r="D3" s="47" t="s">
        <v>5</v>
      </c>
      <c r="E3" s="157" t="s">
        <v>3</v>
      </c>
      <c r="F3" s="158"/>
      <c r="G3" s="46" t="s">
        <v>9</v>
      </c>
      <c r="H3" s="24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49" t="s">
        <v>1</v>
      </c>
      <c r="C4" s="150"/>
      <c r="D4" s="54">
        <v>1</v>
      </c>
      <c r="E4" s="55">
        <f>D4*$E$2</f>
        <v>0</v>
      </c>
      <c r="F4" s="120" t="str">
        <f>$F$2</f>
        <v>g</v>
      </c>
      <c r="G4" s="70"/>
      <c r="H4" s="25"/>
    </row>
    <row r="5" spans="2:17" ht="36" customHeight="1">
      <c r="B5" s="56">
        <v>30</v>
      </c>
      <c r="C5" s="57" t="s">
        <v>23</v>
      </c>
      <c r="D5" s="58">
        <v>1</v>
      </c>
      <c r="E5" s="59">
        <f>B5*$E$2</f>
        <v>0</v>
      </c>
      <c r="F5" s="121" t="str">
        <f t="shared" ref="F5:F9" si="0">$F$2</f>
        <v>g</v>
      </c>
      <c r="G5" s="71">
        <v>0</v>
      </c>
      <c r="H5" s="31">
        <f>B5*G5*$E$2</f>
        <v>0</v>
      </c>
      <c r="I5"/>
      <c r="J5"/>
    </row>
    <row r="6" spans="2:17" ht="36" customHeight="1">
      <c r="B6" s="56">
        <v>10</v>
      </c>
      <c r="C6" s="57" t="s">
        <v>27</v>
      </c>
      <c r="D6" s="58">
        <v>1</v>
      </c>
      <c r="E6" s="59">
        <f t="shared" ref="E6:E9" si="1">B6*$E$2</f>
        <v>0</v>
      </c>
      <c r="F6" s="121" t="str">
        <f t="shared" si="0"/>
        <v>g</v>
      </c>
      <c r="G6" s="71">
        <v>2</v>
      </c>
      <c r="H6" s="31">
        <f t="shared" ref="H6:H9" si="2">B6*G6*$E$2</f>
        <v>0</v>
      </c>
      <c r="I6"/>
      <c r="J6"/>
    </row>
    <row r="7" spans="2:17" ht="36" customHeight="1">
      <c r="B7" s="56">
        <v>1</v>
      </c>
      <c r="C7" s="57" t="s">
        <v>33</v>
      </c>
      <c r="D7" s="58">
        <v>1</v>
      </c>
      <c r="E7" s="59">
        <f t="shared" ref="E7" si="3">B7*$E$2</f>
        <v>0</v>
      </c>
      <c r="F7" s="121" t="str">
        <f t="shared" si="0"/>
        <v>g</v>
      </c>
      <c r="G7" s="71"/>
      <c r="H7" s="31">
        <f t="shared" ref="H7" si="4">B7*G7*$E$2</f>
        <v>0</v>
      </c>
      <c r="I7"/>
      <c r="J7"/>
    </row>
    <row r="8" spans="2:17" ht="36" customHeight="1">
      <c r="B8" s="56">
        <v>1</v>
      </c>
      <c r="C8" s="57" t="s">
        <v>27</v>
      </c>
      <c r="D8" s="58">
        <v>1</v>
      </c>
      <c r="E8" s="59">
        <f t="shared" si="1"/>
        <v>0</v>
      </c>
      <c r="F8" s="121" t="str">
        <f t="shared" si="0"/>
        <v>g</v>
      </c>
      <c r="G8" s="71"/>
      <c r="H8" s="31">
        <f t="shared" si="2"/>
        <v>0</v>
      </c>
      <c r="I8"/>
      <c r="J8"/>
    </row>
    <row r="9" spans="2:17" ht="36" customHeight="1" thickBot="1">
      <c r="B9" s="77">
        <v>1</v>
      </c>
      <c r="C9" s="78" t="s">
        <v>28</v>
      </c>
      <c r="D9" s="60">
        <v>1</v>
      </c>
      <c r="E9" s="61">
        <f t="shared" si="1"/>
        <v>0</v>
      </c>
      <c r="F9" s="122" t="str">
        <f t="shared" si="0"/>
        <v>g</v>
      </c>
      <c r="G9" s="72"/>
      <c r="H9" s="32">
        <f t="shared" si="2"/>
        <v>0</v>
      </c>
      <c r="I9"/>
      <c r="J9"/>
    </row>
    <row r="10" spans="2:17" ht="36" customHeight="1" thickTop="1">
      <c r="B10" s="62"/>
      <c r="C10" s="63"/>
      <c r="D10" s="54"/>
      <c r="E10" s="55" t="str">
        <f>IFERROR(H10/G10, "")</f>
        <v/>
      </c>
      <c r="F10" s="120" t="str">
        <f t="shared" ref="F10:F61" si="5">$F$2</f>
        <v>g</v>
      </c>
      <c r="G10" s="73">
        <f>ROUNDUP(D10/30,0)</f>
        <v>0</v>
      </c>
      <c r="H10" s="33">
        <f>D10*$E$2</f>
        <v>0</v>
      </c>
    </row>
    <row r="11" spans="2:17" ht="36" customHeight="1">
      <c r="B11" s="64"/>
      <c r="C11" s="65"/>
      <c r="D11" s="58"/>
      <c r="E11" s="55" t="str">
        <f>IFERROR(H11/G11, "")</f>
        <v/>
      </c>
      <c r="F11" s="121" t="str">
        <f t="shared" si="5"/>
        <v>g</v>
      </c>
      <c r="G11" s="74">
        <f t="shared" ref="G11:G12" si="6">ROUNDUP(D11/30,0)</f>
        <v>0</v>
      </c>
      <c r="H11" s="34">
        <f t="shared" ref="H11:H12" si="7">D11*$E$2</f>
        <v>0</v>
      </c>
    </row>
    <row r="12" spans="2:17" ht="36" customHeight="1">
      <c r="B12" s="64"/>
      <c r="C12" s="65"/>
      <c r="D12" s="58"/>
      <c r="E12" s="55" t="str">
        <f t="shared" ref="E12" si="8">IFERROR(H12/G12, "")</f>
        <v/>
      </c>
      <c r="F12" s="121" t="str">
        <f t="shared" si="5"/>
        <v>g</v>
      </c>
      <c r="G12" s="74">
        <f t="shared" si="6"/>
        <v>0</v>
      </c>
      <c r="H12" s="34">
        <f t="shared" si="7"/>
        <v>0</v>
      </c>
    </row>
    <row r="13" spans="2:17" ht="36" customHeight="1">
      <c r="B13" s="64"/>
      <c r="C13" s="65"/>
      <c r="D13" s="58"/>
      <c r="E13" s="55" t="str">
        <f t="shared" ref="E13:E44" si="9">IFERROR(H13/G13, IF(D13="", "", 0))</f>
        <v/>
      </c>
      <c r="F13" s="121" t="str">
        <f t="shared" si="5"/>
        <v>g</v>
      </c>
      <c r="G13" s="74">
        <f t="shared" ref="G13:G44" si="10">IF(AND(D13="", B13&lt;&gt;""), 1, ROUNDUP(D13/30,0))</f>
        <v>0</v>
      </c>
      <c r="H13" s="34">
        <f t="shared" ref="H13:H44" si="11">IF(AND(D13="", B13&lt;&gt;""), $E$2, D13*$E$2)</f>
        <v>0</v>
      </c>
    </row>
    <row r="14" spans="2:17" ht="36" customHeight="1">
      <c r="B14" s="64"/>
      <c r="C14" s="65"/>
      <c r="D14" s="58"/>
      <c r="E14" s="55" t="str">
        <f t="shared" si="9"/>
        <v/>
      </c>
      <c r="F14" s="121" t="str">
        <f t="shared" si="5"/>
        <v>g</v>
      </c>
      <c r="G14" s="74">
        <f t="shared" si="10"/>
        <v>0</v>
      </c>
      <c r="H14" s="34">
        <f t="shared" si="11"/>
        <v>0</v>
      </c>
    </row>
    <row r="15" spans="2:17" ht="36" customHeight="1">
      <c r="B15" s="64"/>
      <c r="C15" s="65"/>
      <c r="D15" s="58"/>
      <c r="E15" s="55" t="str">
        <f t="shared" si="9"/>
        <v/>
      </c>
      <c r="F15" s="121" t="str">
        <f t="shared" si="5"/>
        <v>g</v>
      </c>
      <c r="G15" s="74">
        <f t="shared" si="10"/>
        <v>0</v>
      </c>
      <c r="H15" s="34">
        <f t="shared" si="11"/>
        <v>0</v>
      </c>
    </row>
    <row r="16" spans="2:17" ht="36" customHeight="1">
      <c r="B16" s="64"/>
      <c r="C16" s="65"/>
      <c r="D16" s="58"/>
      <c r="E16" s="55" t="str">
        <f t="shared" si="9"/>
        <v/>
      </c>
      <c r="F16" s="121" t="str">
        <f t="shared" si="5"/>
        <v>g</v>
      </c>
      <c r="G16" s="74">
        <f t="shared" si="10"/>
        <v>0</v>
      </c>
      <c r="H16" s="34">
        <f t="shared" si="11"/>
        <v>0</v>
      </c>
    </row>
    <row r="17" spans="2:8" ht="36" customHeight="1">
      <c r="B17" s="64"/>
      <c r="C17" s="65"/>
      <c r="D17" s="58"/>
      <c r="E17" s="55" t="str">
        <f t="shared" si="9"/>
        <v/>
      </c>
      <c r="F17" s="121" t="str">
        <f t="shared" si="5"/>
        <v>g</v>
      </c>
      <c r="G17" s="74">
        <f t="shared" si="10"/>
        <v>0</v>
      </c>
      <c r="H17" s="34">
        <f t="shared" si="11"/>
        <v>0</v>
      </c>
    </row>
    <row r="18" spans="2:8" ht="36" customHeight="1">
      <c r="B18" s="64"/>
      <c r="C18" s="65"/>
      <c r="D18" s="58"/>
      <c r="E18" s="55" t="str">
        <f t="shared" si="9"/>
        <v/>
      </c>
      <c r="F18" s="121" t="str">
        <f t="shared" si="5"/>
        <v>g</v>
      </c>
      <c r="G18" s="74">
        <f t="shared" si="10"/>
        <v>0</v>
      </c>
      <c r="H18" s="34">
        <f t="shared" si="11"/>
        <v>0</v>
      </c>
    </row>
    <row r="19" spans="2:8" ht="36" customHeight="1">
      <c r="B19" s="64"/>
      <c r="C19" s="65"/>
      <c r="D19" s="58"/>
      <c r="E19" s="55" t="str">
        <f t="shared" si="9"/>
        <v/>
      </c>
      <c r="F19" s="121" t="str">
        <f t="shared" si="5"/>
        <v>g</v>
      </c>
      <c r="G19" s="74">
        <f t="shared" si="10"/>
        <v>0</v>
      </c>
      <c r="H19" s="34">
        <f t="shared" si="11"/>
        <v>0</v>
      </c>
    </row>
    <row r="20" spans="2:8" ht="36" customHeight="1">
      <c r="B20" s="64"/>
      <c r="C20" s="65"/>
      <c r="D20" s="58"/>
      <c r="E20" s="55" t="str">
        <f t="shared" si="9"/>
        <v/>
      </c>
      <c r="F20" s="121" t="str">
        <f t="shared" si="5"/>
        <v>g</v>
      </c>
      <c r="G20" s="74">
        <f t="shared" si="10"/>
        <v>0</v>
      </c>
      <c r="H20" s="34">
        <f t="shared" si="11"/>
        <v>0</v>
      </c>
    </row>
    <row r="21" spans="2:8" ht="36" customHeight="1">
      <c r="B21" s="64"/>
      <c r="C21" s="65"/>
      <c r="D21" s="58"/>
      <c r="E21" s="55" t="str">
        <f t="shared" si="9"/>
        <v/>
      </c>
      <c r="F21" s="121" t="str">
        <f t="shared" si="5"/>
        <v>g</v>
      </c>
      <c r="G21" s="74">
        <f t="shared" si="10"/>
        <v>0</v>
      </c>
      <c r="H21" s="34">
        <f t="shared" si="11"/>
        <v>0</v>
      </c>
    </row>
    <row r="22" spans="2:8" ht="36" customHeight="1">
      <c r="B22" s="64"/>
      <c r="C22" s="65"/>
      <c r="D22" s="58"/>
      <c r="E22" s="55" t="str">
        <f t="shared" si="9"/>
        <v/>
      </c>
      <c r="F22" s="121" t="str">
        <f t="shared" si="5"/>
        <v>g</v>
      </c>
      <c r="G22" s="74">
        <f t="shared" si="10"/>
        <v>0</v>
      </c>
      <c r="H22" s="34">
        <f t="shared" si="11"/>
        <v>0</v>
      </c>
    </row>
    <row r="23" spans="2:8" ht="36" customHeight="1">
      <c r="B23" s="64"/>
      <c r="C23" s="65"/>
      <c r="D23" s="58"/>
      <c r="E23" s="55" t="str">
        <f t="shared" si="9"/>
        <v/>
      </c>
      <c r="F23" s="121" t="str">
        <f t="shared" si="5"/>
        <v>g</v>
      </c>
      <c r="G23" s="74">
        <f t="shared" si="10"/>
        <v>0</v>
      </c>
      <c r="H23" s="34">
        <f t="shared" si="11"/>
        <v>0</v>
      </c>
    </row>
    <row r="24" spans="2:8" ht="36" hidden="1" customHeight="1">
      <c r="B24" s="64"/>
      <c r="C24" s="65"/>
      <c r="D24" s="58"/>
      <c r="E24" s="55" t="str">
        <f t="shared" si="9"/>
        <v/>
      </c>
      <c r="F24" s="121" t="str">
        <f t="shared" si="5"/>
        <v>g</v>
      </c>
      <c r="G24" s="74">
        <f t="shared" si="10"/>
        <v>0</v>
      </c>
      <c r="H24" s="34">
        <f t="shared" si="11"/>
        <v>0</v>
      </c>
    </row>
    <row r="25" spans="2:8" ht="36" hidden="1" customHeight="1">
      <c r="B25" s="64"/>
      <c r="C25" s="65"/>
      <c r="D25" s="58"/>
      <c r="E25" s="55" t="str">
        <f t="shared" si="9"/>
        <v/>
      </c>
      <c r="F25" s="121" t="str">
        <f t="shared" si="5"/>
        <v>g</v>
      </c>
      <c r="G25" s="74">
        <f t="shared" si="10"/>
        <v>0</v>
      </c>
      <c r="H25" s="34">
        <f t="shared" si="11"/>
        <v>0</v>
      </c>
    </row>
    <row r="26" spans="2:8" ht="36" hidden="1" customHeight="1">
      <c r="B26" s="64"/>
      <c r="C26" s="65"/>
      <c r="D26" s="58"/>
      <c r="E26" s="55" t="str">
        <f t="shared" si="9"/>
        <v/>
      </c>
      <c r="F26" s="121" t="str">
        <f t="shared" si="5"/>
        <v>g</v>
      </c>
      <c r="G26" s="74">
        <f t="shared" si="10"/>
        <v>0</v>
      </c>
      <c r="H26" s="34">
        <f t="shared" si="11"/>
        <v>0</v>
      </c>
    </row>
    <row r="27" spans="2:8" ht="36" hidden="1" customHeight="1">
      <c r="B27" s="64"/>
      <c r="C27" s="65"/>
      <c r="D27" s="58"/>
      <c r="E27" s="55" t="str">
        <f t="shared" si="9"/>
        <v/>
      </c>
      <c r="F27" s="121" t="str">
        <f t="shared" si="5"/>
        <v>g</v>
      </c>
      <c r="G27" s="74">
        <f t="shared" si="10"/>
        <v>0</v>
      </c>
      <c r="H27" s="34">
        <f t="shared" si="11"/>
        <v>0</v>
      </c>
    </row>
    <row r="28" spans="2:8" ht="36" hidden="1" customHeight="1">
      <c r="B28" s="64"/>
      <c r="C28" s="65"/>
      <c r="D28" s="58"/>
      <c r="E28" s="55" t="str">
        <f t="shared" si="9"/>
        <v/>
      </c>
      <c r="F28" s="121" t="str">
        <f t="shared" si="5"/>
        <v>g</v>
      </c>
      <c r="G28" s="74">
        <f t="shared" si="10"/>
        <v>0</v>
      </c>
      <c r="H28" s="34">
        <f t="shared" si="11"/>
        <v>0</v>
      </c>
    </row>
    <row r="29" spans="2:8" ht="36" hidden="1" customHeight="1">
      <c r="B29" s="64"/>
      <c r="C29" s="65"/>
      <c r="D29" s="58"/>
      <c r="E29" s="55" t="str">
        <f t="shared" si="9"/>
        <v/>
      </c>
      <c r="F29" s="121" t="str">
        <f t="shared" si="5"/>
        <v>g</v>
      </c>
      <c r="G29" s="74">
        <f t="shared" si="10"/>
        <v>0</v>
      </c>
      <c r="H29" s="34">
        <f t="shared" si="11"/>
        <v>0</v>
      </c>
    </row>
    <row r="30" spans="2:8" ht="36" hidden="1" customHeight="1">
      <c r="B30" s="64"/>
      <c r="C30" s="65"/>
      <c r="D30" s="58"/>
      <c r="E30" s="55" t="str">
        <f t="shared" si="9"/>
        <v/>
      </c>
      <c r="F30" s="121" t="str">
        <f t="shared" si="5"/>
        <v>g</v>
      </c>
      <c r="G30" s="74">
        <f t="shared" si="10"/>
        <v>0</v>
      </c>
      <c r="H30" s="34">
        <f t="shared" si="11"/>
        <v>0</v>
      </c>
    </row>
    <row r="31" spans="2:8" ht="36" hidden="1" customHeight="1">
      <c r="B31" s="64"/>
      <c r="C31" s="65"/>
      <c r="D31" s="58"/>
      <c r="E31" s="55" t="str">
        <f t="shared" si="9"/>
        <v/>
      </c>
      <c r="F31" s="121" t="str">
        <f t="shared" si="5"/>
        <v>g</v>
      </c>
      <c r="G31" s="74">
        <f t="shared" si="10"/>
        <v>0</v>
      </c>
      <c r="H31" s="34">
        <f t="shared" si="11"/>
        <v>0</v>
      </c>
    </row>
    <row r="32" spans="2:8" ht="36" hidden="1" customHeight="1">
      <c r="B32" s="64"/>
      <c r="C32" s="65"/>
      <c r="D32" s="58"/>
      <c r="E32" s="55" t="str">
        <f t="shared" si="9"/>
        <v/>
      </c>
      <c r="F32" s="121" t="str">
        <f t="shared" si="5"/>
        <v>g</v>
      </c>
      <c r="G32" s="74">
        <f t="shared" si="10"/>
        <v>0</v>
      </c>
      <c r="H32" s="34">
        <f t="shared" si="11"/>
        <v>0</v>
      </c>
    </row>
    <row r="33" spans="2:8" ht="36" hidden="1" customHeight="1">
      <c r="B33" s="64"/>
      <c r="C33" s="65"/>
      <c r="D33" s="58"/>
      <c r="E33" s="55" t="str">
        <f t="shared" si="9"/>
        <v/>
      </c>
      <c r="F33" s="121" t="str">
        <f t="shared" si="5"/>
        <v>g</v>
      </c>
      <c r="G33" s="74">
        <f t="shared" si="10"/>
        <v>0</v>
      </c>
      <c r="H33" s="34">
        <f t="shared" si="11"/>
        <v>0</v>
      </c>
    </row>
    <row r="34" spans="2:8" ht="36" hidden="1" customHeight="1">
      <c r="B34" s="64"/>
      <c r="C34" s="65"/>
      <c r="D34" s="58"/>
      <c r="E34" s="55" t="str">
        <f t="shared" si="9"/>
        <v/>
      </c>
      <c r="F34" s="121" t="str">
        <f t="shared" si="5"/>
        <v>g</v>
      </c>
      <c r="G34" s="74">
        <f t="shared" si="10"/>
        <v>0</v>
      </c>
      <c r="H34" s="34">
        <f t="shared" si="11"/>
        <v>0</v>
      </c>
    </row>
    <row r="35" spans="2:8" ht="36" hidden="1" customHeight="1">
      <c r="B35" s="64"/>
      <c r="C35" s="65"/>
      <c r="D35" s="58"/>
      <c r="E35" s="55" t="str">
        <f t="shared" si="9"/>
        <v/>
      </c>
      <c r="F35" s="121" t="str">
        <f t="shared" si="5"/>
        <v>g</v>
      </c>
      <c r="G35" s="74">
        <f t="shared" si="10"/>
        <v>0</v>
      </c>
      <c r="H35" s="34">
        <f t="shared" si="11"/>
        <v>0</v>
      </c>
    </row>
    <row r="36" spans="2:8" ht="36" hidden="1" customHeight="1">
      <c r="B36" s="64"/>
      <c r="C36" s="65"/>
      <c r="D36" s="58"/>
      <c r="E36" s="55" t="str">
        <f t="shared" si="9"/>
        <v/>
      </c>
      <c r="F36" s="121" t="str">
        <f t="shared" si="5"/>
        <v>g</v>
      </c>
      <c r="G36" s="74">
        <f t="shared" si="10"/>
        <v>0</v>
      </c>
      <c r="H36" s="34">
        <f t="shared" si="11"/>
        <v>0</v>
      </c>
    </row>
    <row r="37" spans="2:8" ht="36" hidden="1" customHeight="1">
      <c r="B37" s="64"/>
      <c r="C37" s="65"/>
      <c r="D37" s="58"/>
      <c r="E37" s="55" t="str">
        <f t="shared" si="9"/>
        <v/>
      </c>
      <c r="F37" s="121" t="str">
        <f t="shared" si="5"/>
        <v>g</v>
      </c>
      <c r="G37" s="74">
        <f t="shared" si="10"/>
        <v>0</v>
      </c>
      <c r="H37" s="34">
        <f t="shared" si="11"/>
        <v>0</v>
      </c>
    </row>
    <row r="38" spans="2:8" ht="36" hidden="1" customHeight="1">
      <c r="B38" s="64"/>
      <c r="C38" s="65"/>
      <c r="D38" s="58"/>
      <c r="E38" s="55" t="str">
        <f t="shared" si="9"/>
        <v/>
      </c>
      <c r="F38" s="121" t="str">
        <f t="shared" si="5"/>
        <v>g</v>
      </c>
      <c r="G38" s="74">
        <f t="shared" si="10"/>
        <v>0</v>
      </c>
      <c r="H38" s="34">
        <f t="shared" si="11"/>
        <v>0</v>
      </c>
    </row>
    <row r="39" spans="2:8" ht="36" hidden="1" customHeight="1">
      <c r="B39" s="64"/>
      <c r="C39" s="65"/>
      <c r="D39" s="58"/>
      <c r="E39" s="55" t="str">
        <f t="shared" si="9"/>
        <v/>
      </c>
      <c r="F39" s="121" t="str">
        <f t="shared" si="5"/>
        <v>g</v>
      </c>
      <c r="G39" s="74">
        <f t="shared" si="10"/>
        <v>0</v>
      </c>
      <c r="H39" s="34">
        <f t="shared" si="11"/>
        <v>0</v>
      </c>
    </row>
    <row r="40" spans="2:8" ht="36" hidden="1" customHeight="1">
      <c r="B40" s="64"/>
      <c r="C40" s="65"/>
      <c r="D40" s="58"/>
      <c r="E40" s="55" t="str">
        <f t="shared" si="9"/>
        <v/>
      </c>
      <c r="F40" s="121" t="str">
        <f t="shared" si="5"/>
        <v>g</v>
      </c>
      <c r="G40" s="74">
        <f t="shared" si="10"/>
        <v>0</v>
      </c>
      <c r="H40" s="34">
        <f t="shared" si="11"/>
        <v>0</v>
      </c>
    </row>
    <row r="41" spans="2:8" ht="36" hidden="1" customHeight="1">
      <c r="B41" s="64"/>
      <c r="C41" s="65"/>
      <c r="D41" s="58"/>
      <c r="E41" s="55" t="str">
        <f t="shared" si="9"/>
        <v/>
      </c>
      <c r="F41" s="121" t="str">
        <f t="shared" si="5"/>
        <v>g</v>
      </c>
      <c r="G41" s="74">
        <f t="shared" si="10"/>
        <v>0</v>
      </c>
      <c r="H41" s="34">
        <f t="shared" si="11"/>
        <v>0</v>
      </c>
    </row>
    <row r="42" spans="2:8" ht="36" hidden="1" customHeight="1">
      <c r="B42" s="64"/>
      <c r="C42" s="65"/>
      <c r="D42" s="58"/>
      <c r="E42" s="55" t="str">
        <f t="shared" si="9"/>
        <v/>
      </c>
      <c r="F42" s="121" t="str">
        <f t="shared" si="5"/>
        <v>g</v>
      </c>
      <c r="G42" s="74">
        <f t="shared" si="10"/>
        <v>0</v>
      </c>
      <c r="H42" s="34">
        <f t="shared" si="11"/>
        <v>0</v>
      </c>
    </row>
    <row r="43" spans="2:8" ht="36" hidden="1" customHeight="1">
      <c r="B43" s="64"/>
      <c r="C43" s="65"/>
      <c r="D43" s="58"/>
      <c r="E43" s="55" t="str">
        <f t="shared" si="9"/>
        <v/>
      </c>
      <c r="F43" s="121" t="str">
        <f t="shared" si="5"/>
        <v>g</v>
      </c>
      <c r="G43" s="74">
        <f t="shared" si="10"/>
        <v>0</v>
      </c>
      <c r="H43" s="34">
        <f t="shared" si="11"/>
        <v>0</v>
      </c>
    </row>
    <row r="44" spans="2:8" ht="36" hidden="1" customHeight="1">
      <c r="B44" s="64"/>
      <c r="C44" s="65"/>
      <c r="D44" s="58"/>
      <c r="E44" s="55" t="str">
        <f t="shared" si="9"/>
        <v/>
      </c>
      <c r="F44" s="121" t="str">
        <f t="shared" si="5"/>
        <v>g</v>
      </c>
      <c r="G44" s="74">
        <f t="shared" si="10"/>
        <v>0</v>
      </c>
      <c r="H44" s="34">
        <f t="shared" si="11"/>
        <v>0</v>
      </c>
    </row>
    <row r="45" spans="2:8" ht="36" hidden="1" customHeight="1">
      <c r="B45" s="64"/>
      <c r="C45" s="65"/>
      <c r="D45" s="58"/>
      <c r="E45" s="55" t="str">
        <f t="shared" ref="E45:E61" si="12">IFERROR(H45/G45, IF(D45="", "", 0))</f>
        <v/>
      </c>
      <c r="F45" s="121" t="str">
        <f t="shared" si="5"/>
        <v>g</v>
      </c>
      <c r="G45" s="74">
        <f t="shared" ref="G45:G61" si="13">IF(AND(D45="", B45&lt;&gt;""), 1, ROUNDUP(D45/30,0))</f>
        <v>0</v>
      </c>
      <c r="H45" s="34">
        <f t="shared" ref="H45:H61" si="14">IF(AND(D45="", B45&lt;&gt;""), $E$2, D45*$E$2)</f>
        <v>0</v>
      </c>
    </row>
    <row r="46" spans="2:8" ht="36" hidden="1" customHeight="1">
      <c r="B46" s="64"/>
      <c r="C46" s="65"/>
      <c r="D46" s="58"/>
      <c r="E46" s="55" t="str">
        <f t="shared" si="12"/>
        <v/>
      </c>
      <c r="F46" s="121" t="str">
        <f t="shared" si="5"/>
        <v>g</v>
      </c>
      <c r="G46" s="74">
        <f t="shared" si="13"/>
        <v>0</v>
      </c>
      <c r="H46" s="34">
        <f t="shared" si="14"/>
        <v>0</v>
      </c>
    </row>
    <row r="47" spans="2:8" ht="36" hidden="1" customHeight="1">
      <c r="B47" s="64"/>
      <c r="C47" s="65"/>
      <c r="D47" s="58"/>
      <c r="E47" s="55" t="str">
        <f t="shared" si="12"/>
        <v/>
      </c>
      <c r="F47" s="121" t="str">
        <f t="shared" si="5"/>
        <v>g</v>
      </c>
      <c r="G47" s="74">
        <f t="shared" si="13"/>
        <v>0</v>
      </c>
      <c r="H47" s="34">
        <f t="shared" si="14"/>
        <v>0</v>
      </c>
    </row>
    <row r="48" spans="2:8" ht="36" hidden="1" customHeight="1">
      <c r="B48" s="64"/>
      <c r="C48" s="65"/>
      <c r="D48" s="58"/>
      <c r="E48" s="55" t="str">
        <f t="shared" si="12"/>
        <v/>
      </c>
      <c r="F48" s="121" t="str">
        <f t="shared" si="5"/>
        <v>g</v>
      </c>
      <c r="G48" s="74">
        <f t="shared" si="13"/>
        <v>0</v>
      </c>
      <c r="H48" s="34">
        <f t="shared" si="14"/>
        <v>0</v>
      </c>
    </row>
    <row r="49" spans="2:8" ht="36" hidden="1" customHeight="1">
      <c r="B49" s="64"/>
      <c r="C49" s="65"/>
      <c r="D49" s="58"/>
      <c r="E49" s="55" t="str">
        <f t="shared" si="12"/>
        <v/>
      </c>
      <c r="F49" s="121" t="str">
        <f t="shared" si="5"/>
        <v>g</v>
      </c>
      <c r="G49" s="74">
        <f t="shared" si="13"/>
        <v>0</v>
      </c>
      <c r="H49" s="34">
        <f t="shared" si="14"/>
        <v>0</v>
      </c>
    </row>
    <row r="50" spans="2:8" ht="36" hidden="1" customHeight="1">
      <c r="B50" s="64"/>
      <c r="C50" s="65"/>
      <c r="D50" s="58"/>
      <c r="E50" s="55" t="str">
        <f t="shared" si="12"/>
        <v/>
      </c>
      <c r="F50" s="121" t="str">
        <f t="shared" si="5"/>
        <v>g</v>
      </c>
      <c r="G50" s="74">
        <f t="shared" si="13"/>
        <v>0</v>
      </c>
      <c r="H50" s="34">
        <f t="shared" si="14"/>
        <v>0</v>
      </c>
    </row>
    <row r="51" spans="2:8" ht="36" hidden="1" customHeight="1">
      <c r="B51" s="64"/>
      <c r="C51" s="65"/>
      <c r="D51" s="58"/>
      <c r="E51" s="55" t="str">
        <f t="shared" si="12"/>
        <v/>
      </c>
      <c r="F51" s="121" t="str">
        <f t="shared" si="5"/>
        <v>g</v>
      </c>
      <c r="G51" s="74">
        <f t="shared" si="13"/>
        <v>0</v>
      </c>
      <c r="H51" s="34">
        <f t="shared" si="14"/>
        <v>0</v>
      </c>
    </row>
    <row r="52" spans="2:8" ht="36" hidden="1" customHeight="1">
      <c r="B52" s="64"/>
      <c r="C52" s="65"/>
      <c r="D52" s="58"/>
      <c r="E52" s="55" t="str">
        <f t="shared" si="12"/>
        <v/>
      </c>
      <c r="F52" s="121" t="str">
        <f t="shared" si="5"/>
        <v>g</v>
      </c>
      <c r="G52" s="74">
        <f t="shared" si="13"/>
        <v>0</v>
      </c>
      <c r="H52" s="34">
        <f t="shared" si="14"/>
        <v>0</v>
      </c>
    </row>
    <row r="53" spans="2:8" ht="36" hidden="1" customHeight="1">
      <c r="B53" s="64"/>
      <c r="C53" s="65"/>
      <c r="D53" s="58"/>
      <c r="E53" s="55" t="str">
        <f t="shared" si="12"/>
        <v/>
      </c>
      <c r="F53" s="121" t="str">
        <f t="shared" si="5"/>
        <v>g</v>
      </c>
      <c r="G53" s="74">
        <f t="shared" si="13"/>
        <v>0</v>
      </c>
      <c r="H53" s="34">
        <f t="shared" si="14"/>
        <v>0</v>
      </c>
    </row>
    <row r="54" spans="2:8" ht="36" hidden="1" customHeight="1">
      <c r="B54" s="64"/>
      <c r="C54" s="65"/>
      <c r="D54" s="58"/>
      <c r="E54" s="55" t="str">
        <f t="shared" si="12"/>
        <v/>
      </c>
      <c r="F54" s="121" t="str">
        <f t="shared" si="5"/>
        <v>g</v>
      </c>
      <c r="G54" s="74">
        <f t="shared" si="13"/>
        <v>0</v>
      </c>
      <c r="H54" s="34">
        <f t="shared" si="14"/>
        <v>0</v>
      </c>
    </row>
    <row r="55" spans="2:8" ht="36" hidden="1" customHeight="1">
      <c r="B55" s="64"/>
      <c r="C55" s="65"/>
      <c r="D55" s="58"/>
      <c r="E55" s="55" t="str">
        <f t="shared" si="12"/>
        <v/>
      </c>
      <c r="F55" s="121" t="str">
        <f t="shared" si="5"/>
        <v>g</v>
      </c>
      <c r="G55" s="74">
        <f t="shared" si="13"/>
        <v>0</v>
      </c>
      <c r="H55" s="34">
        <f t="shared" si="14"/>
        <v>0</v>
      </c>
    </row>
    <row r="56" spans="2:8" ht="36" hidden="1" customHeight="1">
      <c r="B56" s="64"/>
      <c r="C56" s="65"/>
      <c r="D56" s="58"/>
      <c r="E56" s="55" t="str">
        <f t="shared" si="12"/>
        <v/>
      </c>
      <c r="F56" s="121" t="str">
        <f t="shared" si="5"/>
        <v>g</v>
      </c>
      <c r="G56" s="74">
        <f t="shared" si="13"/>
        <v>0</v>
      </c>
      <c r="H56" s="34">
        <f t="shared" si="14"/>
        <v>0</v>
      </c>
    </row>
    <row r="57" spans="2:8" ht="36" hidden="1" customHeight="1">
      <c r="B57" s="64"/>
      <c r="C57" s="65"/>
      <c r="D57" s="58"/>
      <c r="E57" s="55" t="str">
        <f t="shared" si="12"/>
        <v/>
      </c>
      <c r="F57" s="121" t="str">
        <f t="shared" si="5"/>
        <v>g</v>
      </c>
      <c r="G57" s="74">
        <f t="shared" si="13"/>
        <v>0</v>
      </c>
      <c r="H57" s="34">
        <f t="shared" si="14"/>
        <v>0</v>
      </c>
    </row>
    <row r="58" spans="2:8" ht="36" hidden="1" customHeight="1">
      <c r="B58" s="64"/>
      <c r="C58" s="65"/>
      <c r="D58" s="58"/>
      <c r="E58" s="55" t="str">
        <f t="shared" si="12"/>
        <v/>
      </c>
      <c r="F58" s="121" t="str">
        <f t="shared" si="5"/>
        <v>g</v>
      </c>
      <c r="G58" s="74">
        <f t="shared" si="13"/>
        <v>0</v>
      </c>
      <c r="H58" s="34">
        <f t="shared" si="14"/>
        <v>0</v>
      </c>
    </row>
    <row r="59" spans="2:8" ht="36" hidden="1" customHeight="1">
      <c r="B59" s="64"/>
      <c r="C59" s="65"/>
      <c r="D59" s="58"/>
      <c r="E59" s="55" t="str">
        <f t="shared" si="12"/>
        <v/>
      </c>
      <c r="F59" s="121" t="str">
        <f t="shared" si="5"/>
        <v>g</v>
      </c>
      <c r="G59" s="74">
        <f t="shared" si="13"/>
        <v>0</v>
      </c>
      <c r="H59" s="34">
        <f t="shared" si="14"/>
        <v>0</v>
      </c>
    </row>
    <row r="60" spans="2:8" ht="36" hidden="1" customHeight="1">
      <c r="B60" s="64"/>
      <c r="C60" s="65"/>
      <c r="D60" s="58"/>
      <c r="E60" s="55" t="str">
        <f t="shared" si="12"/>
        <v/>
      </c>
      <c r="F60" s="121" t="str">
        <f t="shared" si="5"/>
        <v>g</v>
      </c>
      <c r="G60" s="74">
        <f t="shared" si="13"/>
        <v>0</v>
      </c>
      <c r="H60" s="34">
        <f t="shared" si="14"/>
        <v>0</v>
      </c>
    </row>
    <row r="61" spans="2:8" ht="36" customHeight="1" thickBot="1">
      <c r="B61" s="66"/>
      <c r="C61" s="67"/>
      <c r="D61" s="68"/>
      <c r="E61" s="79" t="str">
        <f t="shared" si="12"/>
        <v/>
      </c>
      <c r="F61" s="124" t="str">
        <f t="shared" si="5"/>
        <v>g</v>
      </c>
      <c r="G61" s="76">
        <f t="shared" si="13"/>
        <v>0</v>
      </c>
      <c r="H61" s="35">
        <f t="shared" si="14"/>
        <v>0</v>
      </c>
    </row>
    <row r="62" spans="2:8" ht="32.1" customHeight="1">
      <c r="B62" s="2"/>
      <c r="C62" s="2"/>
      <c r="D62" s="2"/>
    </row>
    <row r="63" spans="2:8" ht="32.1" customHeight="1">
      <c r="B63" s="2"/>
      <c r="C63" s="2"/>
      <c r="D63" s="2"/>
    </row>
    <row r="64" spans="2:8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s="5" customFormat="1" ht="32.1" customHeight="1">
      <c r="B69" s="2"/>
      <c r="C69" s="2"/>
      <c r="D69" s="2"/>
      <c r="F69" s="6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s="5" customFormat="1" ht="32.1" customHeight="1">
      <c r="B73" s="2"/>
      <c r="C73" s="2"/>
      <c r="D73" s="2"/>
      <c r="F73" s="6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s="5" customFormat="1" ht="32.1" customHeight="1">
      <c r="B74" s="2"/>
      <c r="C74" s="2"/>
      <c r="D74" s="2"/>
      <c r="F74" s="6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6">
    <mergeCell ref="G1:H1"/>
    <mergeCell ref="B4:C4"/>
    <mergeCell ref="E1:F1"/>
    <mergeCell ref="B1:D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52" t="s">
        <v>10</v>
      </c>
      <c r="C1" s="151"/>
      <c r="D1" s="151"/>
      <c r="E1" s="151"/>
      <c r="F1" s="151"/>
      <c r="G1" s="151"/>
      <c r="H1" s="151"/>
    </row>
    <row r="2" spans="2:17" ht="50.1" customHeight="1">
      <c r="B2" s="153"/>
      <c r="C2" s="154"/>
      <c r="D2" s="154"/>
      <c r="E2" s="43"/>
      <c r="F2" s="125" t="s">
        <v>2</v>
      </c>
      <c r="G2" s="18"/>
      <c r="H2" s="23"/>
    </row>
    <row r="3" spans="2:17" s="4" customFormat="1" ht="36" customHeight="1" thickBot="1">
      <c r="B3" s="8"/>
      <c r="C3" s="9"/>
      <c r="D3" s="45" t="s">
        <v>4</v>
      </c>
      <c r="E3" s="155" t="s">
        <v>0</v>
      </c>
      <c r="F3" s="161"/>
      <c r="G3" s="46" t="s">
        <v>9</v>
      </c>
      <c r="H3" s="24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80">
        <v>1</v>
      </c>
      <c r="C4" s="81" t="s">
        <v>7</v>
      </c>
      <c r="D4" s="54">
        <v>1</v>
      </c>
      <c r="E4" s="82" t="str">
        <f>IF($E2=0, "", $E2)</f>
        <v/>
      </c>
      <c r="F4" s="126" t="str">
        <f>$F$2</f>
        <v>g</v>
      </c>
      <c r="G4" s="19"/>
      <c r="H4" s="25"/>
    </row>
    <row r="5" spans="2:17" ht="36" customHeight="1">
      <c r="B5" s="56">
        <f>D5</f>
        <v>0</v>
      </c>
      <c r="C5" s="57" t="s">
        <v>8</v>
      </c>
      <c r="D5" s="83"/>
      <c r="E5" s="84" t="str">
        <f>IF($E2=0, "", B5*$E2)</f>
        <v/>
      </c>
      <c r="F5" s="127" t="str">
        <f t="shared" ref="F5:F59" si="0">$F$2</f>
        <v>g</v>
      </c>
      <c r="G5" s="20"/>
      <c r="H5" s="26"/>
    </row>
    <row r="6" spans="2:17" ht="36" customHeight="1" thickBot="1">
      <c r="B6" s="97">
        <f>D6</f>
        <v>1</v>
      </c>
      <c r="C6" s="98" t="s">
        <v>34</v>
      </c>
      <c r="D6" s="58">
        <v>1</v>
      </c>
      <c r="E6" s="140">
        <v>50</v>
      </c>
      <c r="F6" s="128" t="str">
        <f t="shared" si="0"/>
        <v>g</v>
      </c>
      <c r="G6" s="141"/>
      <c r="H6" s="27">
        <f>G6*$E$2</f>
        <v>0</v>
      </c>
    </row>
    <row r="7" spans="2:17" ht="36" customHeight="1" thickTop="1" thickBot="1">
      <c r="B7" s="111">
        <f>D7</f>
        <v>1</v>
      </c>
      <c r="C7" s="112" t="s">
        <v>19</v>
      </c>
      <c r="D7" s="136">
        <v>1</v>
      </c>
      <c r="E7" s="137" t="str">
        <f>IF($E2=0, "", B7*$E2)</f>
        <v/>
      </c>
      <c r="F7" s="138" t="str">
        <f t="shared" si="0"/>
        <v>g</v>
      </c>
      <c r="G7" s="139"/>
      <c r="H7" s="27">
        <f>G7*$E$2</f>
        <v>0</v>
      </c>
    </row>
    <row r="8" spans="2:17" ht="36" customHeight="1" thickTop="1">
      <c r="B8" s="159" t="s">
        <v>13</v>
      </c>
      <c r="C8" s="160"/>
      <c r="D8" s="54">
        <f>D5+G6+G7+SUM(D10:D59)</f>
        <v>0</v>
      </c>
      <c r="E8" s="82" t="str">
        <f>IF($E$2=0, "", D8*$E$2)</f>
        <v/>
      </c>
      <c r="F8" s="126" t="str">
        <f t="shared" si="0"/>
        <v>g</v>
      </c>
      <c r="G8" s="21"/>
      <c r="H8" s="28"/>
    </row>
    <row r="9" spans="2:17" ht="36" customHeight="1">
      <c r="B9" s="64"/>
      <c r="C9" s="65"/>
      <c r="D9" s="58"/>
      <c r="E9" s="82"/>
      <c r="F9" s="14"/>
      <c r="G9" s="21"/>
      <c r="H9" s="28"/>
    </row>
    <row r="10" spans="2:17" ht="36" customHeight="1">
      <c r="B10" s="64"/>
      <c r="C10" s="65"/>
      <c r="D10" s="58"/>
      <c r="E10" s="82"/>
      <c r="F10" s="128" t="str">
        <f t="shared" si="0"/>
        <v>g</v>
      </c>
      <c r="G10" s="21">
        <f t="shared" ref="G10:G59" si="1">ROUNDUP(D10/30,0)</f>
        <v>0</v>
      </c>
      <c r="H10" s="28">
        <f t="shared" ref="H10:H59" si="2">D10*$E$2</f>
        <v>0</v>
      </c>
    </row>
    <row r="11" spans="2:17" ht="36" customHeight="1">
      <c r="B11" s="64"/>
      <c r="C11" s="65"/>
      <c r="D11" s="58"/>
      <c r="E11" s="82"/>
      <c r="F11" s="128" t="str">
        <f t="shared" si="0"/>
        <v>g</v>
      </c>
      <c r="G11" s="21">
        <f t="shared" si="1"/>
        <v>0</v>
      </c>
      <c r="H11" s="28">
        <f t="shared" si="2"/>
        <v>0</v>
      </c>
    </row>
    <row r="12" spans="2:17" ht="36" customHeight="1">
      <c r="B12" s="64"/>
      <c r="C12" s="65"/>
      <c r="D12" s="58"/>
      <c r="E12" s="82"/>
      <c r="F12" s="128" t="str">
        <f t="shared" si="0"/>
        <v>g</v>
      </c>
      <c r="G12" s="21">
        <f t="shared" si="1"/>
        <v>0</v>
      </c>
      <c r="H12" s="28">
        <f t="shared" si="2"/>
        <v>0</v>
      </c>
    </row>
    <row r="13" spans="2:17" ht="36" customHeight="1">
      <c r="B13" s="64"/>
      <c r="C13" s="65"/>
      <c r="D13" s="58"/>
      <c r="E13" s="82"/>
      <c r="F13" s="128" t="str">
        <f t="shared" si="0"/>
        <v>g</v>
      </c>
      <c r="G13" s="21">
        <f t="shared" si="1"/>
        <v>0</v>
      </c>
      <c r="H13" s="28">
        <f t="shared" si="2"/>
        <v>0</v>
      </c>
    </row>
    <row r="14" spans="2:17" ht="36" customHeight="1">
      <c r="B14" s="64"/>
      <c r="C14" s="65"/>
      <c r="D14" s="58"/>
      <c r="E14" s="82"/>
      <c r="F14" s="128" t="str">
        <f t="shared" si="0"/>
        <v>g</v>
      </c>
      <c r="G14" s="21">
        <f t="shared" si="1"/>
        <v>0</v>
      </c>
      <c r="H14" s="28">
        <f t="shared" si="2"/>
        <v>0</v>
      </c>
    </row>
    <row r="15" spans="2:17" ht="36" customHeight="1">
      <c r="B15" s="64"/>
      <c r="C15" s="65"/>
      <c r="D15" s="58"/>
      <c r="E15" s="82"/>
      <c r="F15" s="128" t="str">
        <f t="shared" si="0"/>
        <v>g</v>
      </c>
      <c r="G15" s="21">
        <f t="shared" si="1"/>
        <v>0</v>
      </c>
      <c r="H15" s="28">
        <f t="shared" si="2"/>
        <v>0</v>
      </c>
    </row>
    <row r="16" spans="2:17" ht="36" customHeight="1">
      <c r="B16" s="64"/>
      <c r="C16" s="65"/>
      <c r="D16" s="58"/>
      <c r="E16" s="82"/>
      <c r="F16" s="128" t="str">
        <f t="shared" si="0"/>
        <v>g</v>
      </c>
      <c r="G16" s="21">
        <f t="shared" si="1"/>
        <v>0</v>
      </c>
      <c r="H16" s="28">
        <f t="shared" si="2"/>
        <v>0</v>
      </c>
    </row>
    <row r="17" spans="2:8" ht="36" customHeight="1">
      <c r="B17" s="64"/>
      <c r="C17" s="65"/>
      <c r="D17" s="58"/>
      <c r="E17" s="82"/>
      <c r="F17" s="128" t="str">
        <f t="shared" si="0"/>
        <v>g</v>
      </c>
      <c r="G17" s="21">
        <f t="shared" si="1"/>
        <v>0</v>
      </c>
      <c r="H17" s="28">
        <f t="shared" si="2"/>
        <v>0</v>
      </c>
    </row>
    <row r="18" spans="2:8" ht="36" customHeight="1">
      <c r="B18" s="64"/>
      <c r="C18" s="65"/>
      <c r="D18" s="58"/>
      <c r="E18" s="82"/>
      <c r="F18" s="128" t="str">
        <f t="shared" si="0"/>
        <v>g</v>
      </c>
      <c r="G18" s="21">
        <f t="shared" si="1"/>
        <v>0</v>
      </c>
      <c r="H18" s="28">
        <f t="shared" si="2"/>
        <v>0</v>
      </c>
    </row>
    <row r="19" spans="2:8" ht="36" customHeight="1">
      <c r="B19" s="64"/>
      <c r="C19" s="65"/>
      <c r="D19" s="58"/>
      <c r="E19" s="82"/>
      <c r="F19" s="128" t="str">
        <f t="shared" si="0"/>
        <v>g</v>
      </c>
      <c r="G19" s="21">
        <f t="shared" si="1"/>
        <v>0</v>
      </c>
      <c r="H19" s="28">
        <f t="shared" si="2"/>
        <v>0</v>
      </c>
    </row>
    <row r="20" spans="2:8" ht="36" customHeight="1">
      <c r="B20" s="64"/>
      <c r="C20" s="65"/>
      <c r="D20" s="58"/>
      <c r="E20" s="82"/>
      <c r="F20" s="128" t="str">
        <f t="shared" si="0"/>
        <v>g</v>
      </c>
      <c r="G20" s="21">
        <f t="shared" si="1"/>
        <v>0</v>
      </c>
      <c r="H20" s="28">
        <f t="shared" si="2"/>
        <v>0</v>
      </c>
    </row>
    <row r="21" spans="2:8" ht="36" customHeight="1">
      <c r="B21" s="64"/>
      <c r="C21" s="65"/>
      <c r="D21" s="58"/>
      <c r="E21" s="82"/>
      <c r="F21" s="128" t="str">
        <f t="shared" si="0"/>
        <v>g</v>
      </c>
      <c r="G21" s="21">
        <f t="shared" si="1"/>
        <v>0</v>
      </c>
      <c r="H21" s="28">
        <f t="shared" si="2"/>
        <v>0</v>
      </c>
    </row>
    <row r="22" spans="2:8" ht="36" customHeight="1">
      <c r="B22" s="64"/>
      <c r="C22" s="65"/>
      <c r="D22" s="58"/>
      <c r="E22" s="82"/>
      <c r="F22" s="128" t="str">
        <f t="shared" si="0"/>
        <v>g</v>
      </c>
      <c r="G22" s="21">
        <f t="shared" si="1"/>
        <v>0</v>
      </c>
      <c r="H22" s="28">
        <f t="shared" si="2"/>
        <v>0</v>
      </c>
    </row>
    <row r="23" spans="2:8" ht="36" customHeight="1">
      <c r="B23" s="64"/>
      <c r="C23" s="65"/>
      <c r="D23" s="58"/>
      <c r="E23" s="82"/>
      <c r="F23" s="128" t="str">
        <f t="shared" si="0"/>
        <v>g</v>
      </c>
      <c r="G23" s="21">
        <f t="shared" si="1"/>
        <v>0</v>
      </c>
      <c r="H23" s="28">
        <f t="shared" si="2"/>
        <v>0</v>
      </c>
    </row>
    <row r="24" spans="2:8" ht="36" hidden="1" customHeight="1">
      <c r="B24" s="64"/>
      <c r="C24" s="65"/>
      <c r="D24" s="58"/>
      <c r="E24" s="82"/>
      <c r="F24" s="128" t="str">
        <f t="shared" si="0"/>
        <v>g</v>
      </c>
      <c r="G24" s="21">
        <f t="shared" ref="G24:G32" si="3">ROUNDUP(D24/30,0)</f>
        <v>0</v>
      </c>
      <c r="H24" s="28">
        <f t="shared" ref="H24:H32" si="4">D24*$E$2</f>
        <v>0</v>
      </c>
    </row>
    <row r="25" spans="2:8" ht="36" hidden="1" customHeight="1">
      <c r="B25" s="64"/>
      <c r="C25" s="65"/>
      <c r="D25" s="58"/>
      <c r="E25" s="82"/>
      <c r="F25" s="128" t="str">
        <f t="shared" si="0"/>
        <v>g</v>
      </c>
      <c r="G25" s="21">
        <f t="shared" si="3"/>
        <v>0</v>
      </c>
      <c r="H25" s="28">
        <f t="shared" si="4"/>
        <v>0</v>
      </c>
    </row>
    <row r="26" spans="2:8" ht="36" hidden="1" customHeight="1">
      <c r="B26" s="64"/>
      <c r="C26" s="65"/>
      <c r="D26" s="58"/>
      <c r="E26" s="82"/>
      <c r="F26" s="128" t="str">
        <f t="shared" si="0"/>
        <v>g</v>
      </c>
      <c r="G26" s="21">
        <f t="shared" si="3"/>
        <v>0</v>
      </c>
      <c r="H26" s="28">
        <f t="shared" si="4"/>
        <v>0</v>
      </c>
    </row>
    <row r="27" spans="2:8" ht="36" hidden="1" customHeight="1">
      <c r="B27" s="64"/>
      <c r="C27" s="65"/>
      <c r="D27" s="58"/>
      <c r="E27" s="82"/>
      <c r="F27" s="128" t="str">
        <f t="shared" si="0"/>
        <v>g</v>
      </c>
      <c r="G27" s="21">
        <f t="shared" si="3"/>
        <v>0</v>
      </c>
      <c r="H27" s="28">
        <f t="shared" si="4"/>
        <v>0</v>
      </c>
    </row>
    <row r="28" spans="2:8" ht="36" hidden="1" customHeight="1">
      <c r="B28" s="64"/>
      <c r="C28" s="65"/>
      <c r="D28" s="58"/>
      <c r="E28" s="82"/>
      <c r="F28" s="128" t="str">
        <f t="shared" si="0"/>
        <v>g</v>
      </c>
      <c r="G28" s="21">
        <f t="shared" si="3"/>
        <v>0</v>
      </c>
      <c r="H28" s="28">
        <f t="shared" si="4"/>
        <v>0</v>
      </c>
    </row>
    <row r="29" spans="2:8" ht="36" hidden="1" customHeight="1">
      <c r="B29" s="64"/>
      <c r="C29" s="65"/>
      <c r="D29" s="58"/>
      <c r="E29" s="82"/>
      <c r="F29" s="128" t="str">
        <f t="shared" si="0"/>
        <v>g</v>
      </c>
      <c r="G29" s="21">
        <f t="shared" si="3"/>
        <v>0</v>
      </c>
      <c r="H29" s="28">
        <f t="shared" si="4"/>
        <v>0</v>
      </c>
    </row>
    <row r="30" spans="2:8" ht="36" hidden="1" customHeight="1">
      <c r="B30" s="64"/>
      <c r="C30" s="65"/>
      <c r="D30" s="58"/>
      <c r="E30" s="82"/>
      <c r="F30" s="128" t="str">
        <f t="shared" si="0"/>
        <v>g</v>
      </c>
      <c r="G30" s="21">
        <f t="shared" si="3"/>
        <v>0</v>
      </c>
      <c r="H30" s="28">
        <f t="shared" si="4"/>
        <v>0</v>
      </c>
    </row>
    <row r="31" spans="2:8" ht="36" hidden="1" customHeight="1">
      <c r="B31" s="64"/>
      <c r="C31" s="65"/>
      <c r="D31" s="58"/>
      <c r="E31" s="82"/>
      <c r="F31" s="128" t="str">
        <f t="shared" si="0"/>
        <v>g</v>
      </c>
      <c r="G31" s="21">
        <f t="shared" si="3"/>
        <v>0</v>
      </c>
      <c r="H31" s="28">
        <f t="shared" si="4"/>
        <v>0</v>
      </c>
    </row>
    <row r="32" spans="2:8" ht="36" hidden="1" customHeight="1">
      <c r="B32" s="64"/>
      <c r="C32" s="65"/>
      <c r="D32" s="58"/>
      <c r="E32" s="82"/>
      <c r="F32" s="128" t="str">
        <f t="shared" si="0"/>
        <v>g</v>
      </c>
      <c r="G32" s="21">
        <f t="shared" si="3"/>
        <v>0</v>
      </c>
      <c r="H32" s="28">
        <f t="shared" si="4"/>
        <v>0</v>
      </c>
    </row>
    <row r="33" spans="2:8" ht="36" hidden="1" customHeight="1">
      <c r="B33" s="64"/>
      <c r="C33" s="65"/>
      <c r="D33" s="58"/>
      <c r="E33" s="82"/>
      <c r="F33" s="128" t="str">
        <f t="shared" si="0"/>
        <v>g</v>
      </c>
      <c r="G33" s="21">
        <f t="shared" si="1"/>
        <v>0</v>
      </c>
      <c r="H33" s="28">
        <f t="shared" si="2"/>
        <v>0</v>
      </c>
    </row>
    <row r="34" spans="2:8" ht="36" hidden="1" customHeight="1">
      <c r="B34" s="64"/>
      <c r="C34" s="65"/>
      <c r="D34" s="58"/>
      <c r="E34" s="82"/>
      <c r="F34" s="128" t="str">
        <f t="shared" si="0"/>
        <v>g</v>
      </c>
      <c r="G34" s="21">
        <f t="shared" si="1"/>
        <v>0</v>
      </c>
      <c r="H34" s="28">
        <f t="shared" si="2"/>
        <v>0</v>
      </c>
    </row>
    <row r="35" spans="2:8" ht="36" hidden="1" customHeight="1">
      <c r="B35" s="64"/>
      <c r="C35" s="65"/>
      <c r="D35" s="58"/>
      <c r="E35" s="82"/>
      <c r="F35" s="128" t="str">
        <f t="shared" si="0"/>
        <v>g</v>
      </c>
      <c r="G35" s="21">
        <f t="shared" si="1"/>
        <v>0</v>
      </c>
      <c r="H35" s="28">
        <f t="shared" si="2"/>
        <v>0</v>
      </c>
    </row>
    <row r="36" spans="2:8" ht="36" hidden="1" customHeight="1">
      <c r="B36" s="64"/>
      <c r="C36" s="65"/>
      <c r="D36" s="58"/>
      <c r="E36" s="82"/>
      <c r="F36" s="128" t="str">
        <f t="shared" si="0"/>
        <v>g</v>
      </c>
      <c r="G36" s="21">
        <f t="shared" si="1"/>
        <v>0</v>
      </c>
      <c r="H36" s="28">
        <f t="shared" si="2"/>
        <v>0</v>
      </c>
    </row>
    <row r="37" spans="2:8" ht="36" hidden="1" customHeight="1">
      <c r="B37" s="64"/>
      <c r="C37" s="65"/>
      <c r="D37" s="58"/>
      <c r="E37" s="82"/>
      <c r="F37" s="128" t="str">
        <f t="shared" si="0"/>
        <v>g</v>
      </c>
      <c r="G37" s="21">
        <f t="shared" si="1"/>
        <v>0</v>
      </c>
      <c r="H37" s="28">
        <f t="shared" si="2"/>
        <v>0</v>
      </c>
    </row>
    <row r="38" spans="2:8" ht="36" hidden="1" customHeight="1">
      <c r="B38" s="64"/>
      <c r="C38" s="65"/>
      <c r="D38" s="58"/>
      <c r="E38" s="82"/>
      <c r="F38" s="128" t="str">
        <f t="shared" si="0"/>
        <v>g</v>
      </c>
      <c r="G38" s="21">
        <f t="shared" si="1"/>
        <v>0</v>
      </c>
      <c r="H38" s="28">
        <f t="shared" si="2"/>
        <v>0</v>
      </c>
    </row>
    <row r="39" spans="2:8" ht="36" hidden="1" customHeight="1">
      <c r="B39" s="64"/>
      <c r="C39" s="65"/>
      <c r="D39" s="58"/>
      <c r="E39" s="82"/>
      <c r="F39" s="128" t="str">
        <f t="shared" si="0"/>
        <v>g</v>
      </c>
      <c r="G39" s="21">
        <f t="shared" si="1"/>
        <v>0</v>
      </c>
      <c r="H39" s="28">
        <f t="shared" si="2"/>
        <v>0</v>
      </c>
    </row>
    <row r="40" spans="2:8" ht="36" hidden="1" customHeight="1">
      <c r="B40" s="64"/>
      <c r="C40" s="65"/>
      <c r="D40" s="58"/>
      <c r="E40" s="82"/>
      <c r="F40" s="128" t="str">
        <f t="shared" si="0"/>
        <v>g</v>
      </c>
      <c r="G40" s="21">
        <f t="shared" si="1"/>
        <v>0</v>
      </c>
      <c r="H40" s="28">
        <f t="shared" si="2"/>
        <v>0</v>
      </c>
    </row>
    <row r="41" spans="2:8" ht="36" hidden="1" customHeight="1">
      <c r="B41" s="64"/>
      <c r="C41" s="65"/>
      <c r="D41" s="58"/>
      <c r="E41" s="82"/>
      <c r="F41" s="128" t="str">
        <f t="shared" si="0"/>
        <v>g</v>
      </c>
      <c r="G41" s="21">
        <f t="shared" si="1"/>
        <v>0</v>
      </c>
      <c r="H41" s="28">
        <f t="shared" si="2"/>
        <v>0</v>
      </c>
    </row>
    <row r="42" spans="2:8" ht="36" hidden="1" customHeight="1">
      <c r="B42" s="64"/>
      <c r="C42" s="65"/>
      <c r="D42" s="58"/>
      <c r="E42" s="82"/>
      <c r="F42" s="128" t="str">
        <f t="shared" si="0"/>
        <v>g</v>
      </c>
      <c r="G42" s="21">
        <f t="shared" ref="G42:G50" si="5">ROUNDUP(D42/30,0)</f>
        <v>0</v>
      </c>
      <c r="H42" s="28">
        <f t="shared" ref="H42:H50" si="6">D42*$E$2</f>
        <v>0</v>
      </c>
    </row>
    <row r="43" spans="2:8" ht="36" hidden="1" customHeight="1">
      <c r="B43" s="64"/>
      <c r="C43" s="65"/>
      <c r="D43" s="58"/>
      <c r="E43" s="82"/>
      <c r="F43" s="128" t="str">
        <f t="shared" si="0"/>
        <v>g</v>
      </c>
      <c r="G43" s="21">
        <f t="shared" si="5"/>
        <v>0</v>
      </c>
      <c r="H43" s="28">
        <f t="shared" si="6"/>
        <v>0</v>
      </c>
    </row>
    <row r="44" spans="2:8" ht="36" hidden="1" customHeight="1">
      <c r="B44" s="64"/>
      <c r="C44" s="65"/>
      <c r="D44" s="58"/>
      <c r="E44" s="82"/>
      <c r="F44" s="128" t="str">
        <f t="shared" si="0"/>
        <v>g</v>
      </c>
      <c r="G44" s="21">
        <f t="shared" si="5"/>
        <v>0</v>
      </c>
      <c r="H44" s="28">
        <f t="shared" si="6"/>
        <v>0</v>
      </c>
    </row>
    <row r="45" spans="2:8" ht="36" hidden="1" customHeight="1">
      <c r="B45" s="64"/>
      <c r="C45" s="65"/>
      <c r="D45" s="58"/>
      <c r="E45" s="82"/>
      <c r="F45" s="128" t="str">
        <f t="shared" si="0"/>
        <v>g</v>
      </c>
      <c r="G45" s="21">
        <f t="shared" si="5"/>
        <v>0</v>
      </c>
      <c r="H45" s="28">
        <f t="shared" si="6"/>
        <v>0</v>
      </c>
    </row>
    <row r="46" spans="2:8" ht="36" hidden="1" customHeight="1">
      <c r="B46" s="64"/>
      <c r="C46" s="65"/>
      <c r="D46" s="58"/>
      <c r="E46" s="82"/>
      <c r="F46" s="128" t="str">
        <f t="shared" si="0"/>
        <v>g</v>
      </c>
      <c r="G46" s="21">
        <f t="shared" si="5"/>
        <v>0</v>
      </c>
      <c r="H46" s="28">
        <f t="shared" si="6"/>
        <v>0</v>
      </c>
    </row>
    <row r="47" spans="2:8" ht="36" hidden="1" customHeight="1">
      <c r="B47" s="64"/>
      <c r="C47" s="65"/>
      <c r="D47" s="58"/>
      <c r="E47" s="82"/>
      <c r="F47" s="128" t="str">
        <f t="shared" si="0"/>
        <v>g</v>
      </c>
      <c r="G47" s="21">
        <f t="shared" si="5"/>
        <v>0</v>
      </c>
      <c r="H47" s="28">
        <f t="shared" si="6"/>
        <v>0</v>
      </c>
    </row>
    <row r="48" spans="2:8" ht="36" hidden="1" customHeight="1">
      <c r="B48" s="64"/>
      <c r="C48" s="65"/>
      <c r="D48" s="58"/>
      <c r="E48" s="82"/>
      <c r="F48" s="128" t="str">
        <f t="shared" si="0"/>
        <v>g</v>
      </c>
      <c r="G48" s="21">
        <f t="shared" si="5"/>
        <v>0</v>
      </c>
      <c r="H48" s="28">
        <f t="shared" si="6"/>
        <v>0</v>
      </c>
    </row>
    <row r="49" spans="2:17" ht="36" hidden="1" customHeight="1">
      <c r="B49" s="64"/>
      <c r="C49" s="65"/>
      <c r="D49" s="58"/>
      <c r="E49" s="82"/>
      <c r="F49" s="128" t="str">
        <f t="shared" si="0"/>
        <v>g</v>
      </c>
      <c r="G49" s="21">
        <f t="shared" si="5"/>
        <v>0</v>
      </c>
      <c r="H49" s="28">
        <f t="shared" si="6"/>
        <v>0</v>
      </c>
    </row>
    <row r="50" spans="2:17" ht="36" hidden="1" customHeight="1">
      <c r="B50" s="64"/>
      <c r="C50" s="65"/>
      <c r="D50" s="58"/>
      <c r="E50" s="82"/>
      <c r="F50" s="128" t="str">
        <f t="shared" si="0"/>
        <v>g</v>
      </c>
      <c r="G50" s="21">
        <f t="shared" si="5"/>
        <v>0</v>
      </c>
      <c r="H50" s="28">
        <f t="shared" si="6"/>
        <v>0</v>
      </c>
    </row>
    <row r="51" spans="2:17" ht="36" hidden="1" customHeight="1">
      <c r="B51" s="64"/>
      <c r="C51" s="65"/>
      <c r="D51" s="58"/>
      <c r="E51" s="82"/>
      <c r="F51" s="128" t="str">
        <f t="shared" si="0"/>
        <v>g</v>
      </c>
      <c r="G51" s="21">
        <f t="shared" si="1"/>
        <v>0</v>
      </c>
      <c r="H51" s="28">
        <f t="shared" si="2"/>
        <v>0</v>
      </c>
    </row>
    <row r="52" spans="2:17" ht="36" hidden="1" customHeight="1">
      <c r="B52" s="64"/>
      <c r="C52" s="65"/>
      <c r="D52" s="58"/>
      <c r="E52" s="82"/>
      <c r="F52" s="128" t="str">
        <f t="shared" si="0"/>
        <v>g</v>
      </c>
      <c r="G52" s="21">
        <f t="shared" si="1"/>
        <v>0</v>
      </c>
      <c r="H52" s="28">
        <f t="shared" si="2"/>
        <v>0</v>
      </c>
    </row>
    <row r="53" spans="2:17" ht="36" hidden="1" customHeight="1">
      <c r="B53" s="64"/>
      <c r="C53" s="65"/>
      <c r="D53" s="58"/>
      <c r="E53" s="82"/>
      <c r="F53" s="128" t="str">
        <f t="shared" si="0"/>
        <v>g</v>
      </c>
      <c r="G53" s="21">
        <f t="shared" si="1"/>
        <v>0</v>
      </c>
      <c r="H53" s="28">
        <f t="shared" si="2"/>
        <v>0</v>
      </c>
    </row>
    <row r="54" spans="2:17" ht="36" hidden="1" customHeight="1">
      <c r="B54" s="64"/>
      <c r="C54" s="65"/>
      <c r="D54" s="58"/>
      <c r="E54" s="82"/>
      <c r="F54" s="128" t="str">
        <f t="shared" si="0"/>
        <v>g</v>
      </c>
      <c r="G54" s="21">
        <f t="shared" si="1"/>
        <v>0</v>
      </c>
      <c r="H54" s="28">
        <f t="shared" si="2"/>
        <v>0</v>
      </c>
    </row>
    <row r="55" spans="2:17" ht="36" hidden="1" customHeight="1">
      <c r="B55" s="64"/>
      <c r="C55" s="65"/>
      <c r="D55" s="58"/>
      <c r="E55" s="82"/>
      <c r="F55" s="128" t="str">
        <f t="shared" si="0"/>
        <v>g</v>
      </c>
      <c r="G55" s="21">
        <f t="shared" si="1"/>
        <v>0</v>
      </c>
      <c r="H55" s="28">
        <f t="shared" si="2"/>
        <v>0</v>
      </c>
    </row>
    <row r="56" spans="2:17" ht="36" hidden="1" customHeight="1">
      <c r="B56" s="64"/>
      <c r="C56" s="65"/>
      <c r="D56" s="58"/>
      <c r="E56" s="82"/>
      <c r="F56" s="128" t="str">
        <f t="shared" si="0"/>
        <v>g</v>
      </c>
      <c r="G56" s="21">
        <f t="shared" si="1"/>
        <v>0</v>
      </c>
      <c r="H56" s="28">
        <f t="shared" si="2"/>
        <v>0</v>
      </c>
    </row>
    <row r="57" spans="2:17" ht="36" hidden="1" customHeight="1">
      <c r="B57" s="64"/>
      <c r="C57" s="65"/>
      <c r="D57" s="58"/>
      <c r="E57" s="82"/>
      <c r="F57" s="128" t="str">
        <f t="shared" si="0"/>
        <v>g</v>
      </c>
      <c r="G57" s="21">
        <f t="shared" si="1"/>
        <v>0</v>
      </c>
      <c r="H57" s="28">
        <f t="shared" si="2"/>
        <v>0</v>
      </c>
    </row>
    <row r="58" spans="2:17" ht="36" hidden="1" customHeight="1">
      <c r="B58" s="64"/>
      <c r="C58" s="65"/>
      <c r="D58" s="58"/>
      <c r="E58" s="82"/>
      <c r="F58" s="128" t="str">
        <f t="shared" si="0"/>
        <v>g</v>
      </c>
      <c r="G58" s="21">
        <f t="shared" si="1"/>
        <v>0</v>
      </c>
      <c r="H58" s="28">
        <f t="shared" si="2"/>
        <v>0</v>
      </c>
    </row>
    <row r="59" spans="2:17" ht="36" customHeight="1" thickBot="1">
      <c r="B59" s="66"/>
      <c r="C59" s="67"/>
      <c r="D59" s="68"/>
      <c r="E59" s="86"/>
      <c r="F59" s="129" t="str">
        <f t="shared" si="0"/>
        <v>g</v>
      </c>
      <c r="G59" s="22">
        <f t="shared" si="1"/>
        <v>0</v>
      </c>
      <c r="H59" s="29">
        <f t="shared" si="2"/>
        <v>0</v>
      </c>
    </row>
    <row r="60" spans="2:17" s="4" customFormat="1" ht="32.1" customHeight="1">
      <c r="B60" s="2"/>
      <c r="C60" s="2"/>
      <c r="D60" s="87">
        <f>D8</f>
        <v>0</v>
      </c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6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G1:H1"/>
    <mergeCell ref="B8:C8"/>
    <mergeCell ref="B1:D1"/>
    <mergeCell ref="E1:F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1"/>
  <sheetViews>
    <sheetView showGridLines="0" view="pageBreakPreview" zoomScale="60" zoomScaleNormal="85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52" t="s">
        <v>11</v>
      </c>
      <c r="C1" s="151"/>
      <c r="D1" s="151"/>
      <c r="E1" s="151"/>
      <c r="F1" s="151"/>
      <c r="G1" s="148"/>
      <c r="H1" s="148"/>
    </row>
    <row r="2" spans="2:17" ht="50.1" customHeight="1">
      <c r="B2" s="153"/>
      <c r="C2" s="154"/>
      <c r="D2" s="154"/>
      <c r="E2" s="43"/>
      <c r="F2" s="130" t="s">
        <v>2</v>
      </c>
      <c r="G2" s="18"/>
      <c r="H2" s="23"/>
    </row>
    <row r="3" spans="2:17" s="4" customFormat="1" ht="36" customHeight="1" thickBot="1">
      <c r="B3" s="8"/>
      <c r="C3" s="9"/>
      <c r="D3" s="45" t="s">
        <v>4</v>
      </c>
      <c r="E3" s="155" t="s">
        <v>0</v>
      </c>
      <c r="F3" s="162"/>
      <c r="G3" s="46" t="s">
        <v>9</v>
      </c>
      <c r="H3" s="24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80">
        <v>1</v>
      </c>
      <c r="C4" s="81" t="s">
        <v>7</v>
      </c>
      <c r="D4" s="54">
        <v>1</v>
      </c>
      <c r="E4" s="82" t="str">
        <f>IF($E2=0, "", $E2)</f>
        <v/>
      </c>
      <c r="F4" s="131" t="str">
        <f>$F$2</f>
        <v>g</v>
      </c>
      <c r="G4" s="70"/>
      <c r="H4" s="25"/>
    </row>
    <row r="5" spans="2:17" ht="36" customHeight="1">
      <c r="B5" s="56">
        <f>D5</f>
        <v>0</v>
      </c>
      <c r="C5" s="57" t="s">
        <v>8</v>
      </c>
      <c r="D5" s="83"/>
      <c r="E5" s="84" t="str">
        <f>IF($E2=0, "", B5*$E2)</f>
        <v/>
      </c>
      <c r="F5" s="132" t="str">
        <f t="shared" ref="F5:F8" si="0">$F$2</f>
        <v>g</v>
      </c>
      <c r="G5" s="88"/>
      <c r="H5" s="26"/>
    </row>
    <row r="6" spans="2:17" ht="36" customHeight="1" thickBot="1">
      <c r="B6" s="97">
        <f>D6</f>
        <v>1</v>
      </c>
      <c r="C6" s="98" t="s">
        <v>34</v>
      </c>
      <c r="D6" s="58">
        <v>1</v>
      </c>
      <c r="E6" s="140">
        <v>50</v>
      </c>
      <c r="F6" s="128" t="str">
        <f t="shared" si="0"/>
        <v>g</v>
      </c>
      <c r="G6" s="141"/>
      <c r="H6" s="27">
        <f>G6*$E$2</f>
        <v>0</v>
      </c>
    </row>
    <row r="7" spans="2:17" ht="36" customHeight="1" thickTop="1" thickBot="1">
      <c r="B7" s="77">
        <f>D7</f>
        <v>1</v>
      </c>
      <c r="C7" s="78" t="s">
        <v>16</v>
      </c>
      <c r="D7" s="60">
        <v>1</v>
      </c>
      <c r="E7" s="85" t="str">
        <f>IF($E2=0, "", B7*$E2)</f>
        <v/>
      </c>
      <c r="F7" s="133" t="str">
        <f t="shared" si="0"/>
        <v>g</v>
      </c>
      <c r="G7" s="89"/>
      <c r="H7" s="27">
        <f>G7*$E$2</f>
        <v>0</v>
      </c>
    </row>
    <row r="8" spans="2:17" ht="36" customHeight="1" thickTop="1">
      <c r="B8" s="159" t="s">
        <v>18</v>
      </c>
      <c r="C8" s="160"/>
      <c r="D8" s="54">
        <f>D5+G6+G7+SUM(D10:D58)</f>
        <v>0</v>
      </c>
      <c r="E8" s="82" t="str">
        <f>IF($E$2=0, "", D8*$E$2)</f>
        <v/>
      </c>
      <c r="F8" s="131" t="str">
        <f t="shared" si="0"/>
        <v>g</v>
      </c>
      <c r="G8" s="90"/>
      <c r="H8" s="28"/>
    </row>
    <row r="9" spans="2:17" ht="36" customHeight="1">
      <c r="B9" s="64"/>
      <c r="C9" s="65"/>
      <c r="D9" s="58"/>
      <c r="E9" s="82"/>
      <c r="F9" s="7"/>
      <c r="G9" s="74"/>
      <c r="H9" s="28"/>
    </row>
    <row r="10" spans="2:17" ht="36" customHeight="1">
      <c r="B10" s="64"/>
      <c r="C10" s="65"/>
      <c r="D10" s="58"/>
      <c r="E10" s="82"/>
      <c r="F10" s="134" t="str">
        <f t="shared" ref="F10:F58" si="1">$F$2</f>
        <v>g</v>
      </c>
      <c r="G10" s="74">
        <f t="shared" ref="G10:G58" si="2">ROUNDUP(D10/30,0)</f>
        <v>0</v>
      </c>
      <c r="H10" s="28">
        <f t="shared" ref="H10:H58" si="3">D10*$E$2</f>
        <v>0</v>
      </c>
    </row>
    <row r="11" spans="2:17" ht="36" customHeight="1">
      <c r="B11" s="64"/>
      <c r="C11" s="65"/>
      <c r="D11" s="58"/>
      <c r="E11" s="82"/>
      <c r="F11" s="134" t="str">
        <f t="shared" si="1"/>
        <v>g</v>
      </c>
      <c r="G11" s="74">
        <f t="shared" si="2"/>
        <v>0</v>
      </c>
      <c r="H11" s="28">
        <f t="shared" si="3"/>
        <v>0</v>
      </c>
    </row>
    <row r="12" spans="2:17" ht="36" customHeight="1">
      <c r="B12" s="64"/>
      <c r="C12" s="65"/>
      <c r="D12" s="58"/>
      <c r="E12" s="82"/>
      <c r="F12" s="134" t="str">
        <f t="shared" si="1"/>
        <v>g</v>
      </c>
      <c r="G12" s="74">
        <f t="shared" si="2"/>
        <v>0</v>
      </c>
      <c r="H12" s="28">
        <f t="shared" si="3"/>
        <v>0</v>
      </c>
    </row>
    <row r="13" spans="2:17" ht="36" customHeight="1">
      <c r="B13" s="64"/>
      <c r="C13" s="65"/>
      <c r="D13" s="58"/>
      <c r="E13" s="82"/>
      <c r="F13" s="134" t="str">
        <f t="shared" si="1"/>
        <v>g</v>
      </c>
      <c r="G13" s="74">
        <f t="shared" si="2"/>
        <v>0</v>
      </c>
      <c r="H13" s="28">
        <f t="shared" si="3"/>
        <v>0</v>
      </c>
    </row>
    <row r="14" spans="2:17" ht="36" customHeight="1">
      <c r="B14" s="64"/>
      <c r="C14" s="65"/>
      <c r="D14" s="58"/>
      <c r="E14" s="82"/>
      <c r="F14" s="134" t="str">
        <f t="shared" si="1"/>
        <v>g</v>
      </c>
      <c r="G14" s="74">
        <f t="shared" si="2"/>
        <v>0</v>
      </c>
      <c r="H14" s="28">
        <f t="shared" si="3"/>
        <v>0</v>
      </c>
    </row>
    <row r="15" spans="2:17" ht="36" customHeight="1">
      <c r="B15" s="64"/>
      <c r="C15" s="65"/>
      <c r="D15" s="58"/>
      <c r="E15" s="82"/>
      <c r="F15" s="134" t="str">
        <f t="shared" si="1"/>
        <v>g</v>
      </c>
      <c r="G15" s="74">
        <f t="shared" si="2"/>
        <v>0</v>
      </c>
      <c r="H15" s="28">
        <f t="shared" si="3"/>
        <v>0</v>
      </c>
    </row>
    <row r="16" spans="2:17" ht="36" customHeight="1">
      <c r="B16" s="64"/>
      <c r="C16" s="65"/>
      <c r="D16" s="58"/>
      <c r="E16" s="82"/>
      <c r="F16" s="134" t="str">
        <f t="shared" si="1"/>
        <v>g</v>
      </c>
      <c r="G16" s="74">
        <f t="shared" si="2"/>
        <v>0</v>
      </c>
      <c r="H16" s="28">
        <f t="shared" si="3"/>
        <v>0</v>
      </c>
    </row>
    <row r="17" spans="2:8" ht="36" customHeight="1">
      <c r="B17" s="64"/>
      <c r="C17" s="65"/>
      <c r="D17" s="58"/>
      <c r="E17" s="82"/>
      <c r="F17" s="134" t="str">
        <f t="shared" si="1"/>
        <v>g</v>
      </c>
      <c r="G17" s="74">
        <f t="shared" si="2"/>
        <v>0</v>
      </c>
      <c r="H17" s="28">
        <f t="shared" si="3"/>
        <v>0</v>
      </c>
    </row>
    <row r="18" spans="2:8" ht="36" customHeight="1">
      <c r="B18" s="64"/>
      <c r="C18" s="65"/>
      <c r="D18" s="58"/>
      <c r="E18" s="82"/>
      <c r="F18" s="134" t="str">
        <f t="shared" si="1"/>
        <v>g</v>
      </c>
      <c r="G18" s="74">
        <f t="shared" si="2"/>
        <v>0</v>
      </c>
      <c r="H18" s="28">
        <f t="shared" si="3"/>
        <v>0</v>
      </c>
    </row>
    <row r="19" spans="2:8" ht="36" customHeight="1">
      <c r="B19" s="64"/>
      <c r="C19" s="65"/>
      <c r="D19" s="58"/>
      <c r="E19" s="82"/>
      <c r="F19" s="134" t="str">
        <f t="shared" si="1"/>
        <v>g</v>
      </c>
      <c r="G19" s="74">
        <f t="shared" si="2"/>
        <v>0</v>
      </c>
      <c r="H19" s="28">
        <f t="shared" si="3"/>
        <v>0</v>
      </c>
    </row>
    <row r="20" spans="2:8" ht="36" customHeight="1">
      <c r="B20" s="64"/>
      <c r="C20" s="65"/>
      <c r="D20" s="58"/>
      <c r="E20" s="82"/>
      <c r="F20" s="134" t="str">
        <f t="shared" si="1"/>
        <v>g</v>
      </c>
      <c r="G20" s="74">
        <f t="shared" si="2"/>
        <v>0</v>
      </c>
      <c r="H20" s="28">
        <f t="shared" si="3"/>
        <v>0</v>
      </c>
    </row>
    <row r="21" spans="2:8" ht="36" customHeight="1">
      <c r="B21" s="64"/>
      <c r="C21" s="65"/>
      <c r="D21" s="58"/>
      <c r="E21" s="82"/>
      <c r="F21" s="134" t="str">
        <f t="shared" si="1"/>
        <v>g</v>
      </c>
      <c r="G21" s="74">
        <f t="shared" si="2"/>
        <v>0</v>
      </c>
      <c r="H21" s="28">
        <f t="shared" si="3"/>
        <v>0</v>
      </c>
    </row>
    <row r="22" spans="2:8" ht="36" hidden="1" customHeight="1">
      <c r="B22" s="64"/>
      <c r="C22" s="65"/>
      <c r="D22" s="58"/>
      <c r="E22" s="82"/>
      <c r="F22" s="134" t="str">
        <f t="shared" si="1"/>
        <v>g</v>
      </c>
      <c r="G22" s="74">
        <f t="shared" si="2"/>
        <v>0</v>
      </c>
      <c r="H22" s="28">
        <f t="shared" si="3"/>
        <v>0</v>
      </c>
    </row>
    <row r="23" spans="2:8" ht="36" hidden="1" customHeight="1">
      <c r="B23" s="64"/>
      <c r="C23" s="65"/>
      <c r="D23" s="58"/>
      <c r="E23" s="82"/>
      <c r="F23" s="134" t="str">
        <f t="shared" si="1"/>
        <v>g</v>
      </c>
      <c r="G23" s="74">
        <f t="shared" si="2"/>
        <v>0</v>
      </c>
      <c r="H23" s="28">
        <f t="shared" si="3"/>
        <v>0</v>
      </c>
    </row>
    <row r="24" spans="2:8" ht="36" hidden="1" customHeight="1">
      <c r="B24" s="64"/>
      <c r="C24" s="65"/>
      <c r="D24" s="58"/>
      <c r="E24" s="82"/>
      <c r="F24" s="134" t="str">
        <f t="shared" si="1"/>
        <v>g</v>
      </c>
      <c r="G24" s="74">
        <f t="shared" si="2"/>
        <v>0</v>
      </c>
      <c r="H24" s="28">
        <f t="shared" si="3"/>
        <v>0</v>
      </c>
    </row>
    <row r="25" spans="2:8" ht="36" hidden="1" customHeight="1">
      <c r="B25" s="64"/>
      <c r="C25" s="65"/>
      <c r="D25" s="58"/>
      <c r="E25" s="82"/>
      <c r="F25" s="134" t="str">
        <f t="shared" si="1"/>
        <v>g</v>
      </c>
      <c r="G25" s="74">
        <f t="shared" si="2"/>
        <v>0</v>
      </c>
      <c r="H25" s="28">
        <f t="shared" si="3"/>
        <v>0</v>
      </c>
    </row>
    <row r="26" spans="2:8" ht="36" hidden="1" customHeight="1">
      <c r="B26" s="64"/>
      <c r="C26" s="65"/>
      <c r="D26" s="58"/>
      <c r="E26" s="82"/>
      <c r="F26" s="134" t="str">
        <f t="shared" si="1"/>
        <v>g</v>
      </c>
      <c r="G26" s="74">
        <f t="shared" si="2"/>
        <v>0</v>
      </c>
      <c r="H26" s="28">
        <f t="shared" si="3"/>
        <v>0</v>
      </c>
    </row>
    <row r="27" spans="2:8" ht="36" hidden="1" customHeight="1">
      <c r="B27" s="64"/>
      <c r="C27" s="65"/>
      <c r="D27" s="58"/>
      <c r="E27" s="82"/>
      <c r="F27" s="134" t="str">
        <f t="shared" si="1"/>
        <v>g</v>
      </c>
      <c r="G27" s="74">
        <f t="shared" si="2"/>
        <v>0</v>
      </c>
      <c r="H27" s="28">
        <f t="shared" si="3"/>
        <v>0</v>
      </c>
    </row>
    <row r="28" spans="2:8" ht="36" hidden="1" customHeight="1">
      <c r="B28" s="64"/>
      <c r="C28" s="65"/>
      <c r="D28" s="58"/>
      <c r="E28" s="82"/>
      <c r="F28" s="134" t="str">
        <f t="shared" si="1"/>
        <v>g</v>
      </c>
      <c r="G28" s="74">
        <f t="shared" si="2"/>
        <v>0</v>
      </c>
      <c r="H28" s="28">
        <f t="shared" si="3"/>
        <v>0</v>
      </c>
    </row>
    <row r="29" spans="2:8" ht="36" hidden="1" customHeight="1">
      <c r="B29" s="64"/>
      <c r="C29" s="65"/>
      <c r="D29" s="58"/>
      <c r="E29" s="82"/>
      <c r="F29" s="134" t="str">
        <f t="shared" si="1"/>
        <v>g</v>
      </c>
      <c r="G29" s="74">
        <f t="shared" ref="G29:G46" si="4">ROUNDUP(D29/30,0)</f>
        <v>0</v>
      </c>
      <c r="H29" s="28">
        <f t="shared" ref="H29:H46" si="5">D29*$E$2</f>
        <v>0</v>
      </c>
    </row>
    <row r="30" spans="2:8" ht="36" hidden="1" customHeight="1">
      <c r="B30" s="64"/>
      <c r="C30" s="65"/>
      <c r="D30" s="58"/>
      <c r="E30" s="82"/>
      <c r="F30" s="134" t="str">
        <f t="shared" si="1"/>
        <v>g</v>
      </c>
      <c r="G30" s="74">
        <f t="shared" si="4"/>
        <v>0</v>
      </c>
      <c r="H30" s="28">
        <f t="shared" si="5"/>
        <v>0</v>
      </c>
    </row>
    <row r="31" spans="2:8" ht="36" hidden="1" customHeight="1">
      <c r="B31" s="64"/>
      <c r="C31" s="65"/>
      <c r="D31" s="58"/>
      <c r="E31" s="82"/>
      <c r="F31" s="134" t="str">
        <f t="shared" si="1"/>
        <v>g</v>
      </c>
      <c r="G31" s="74">
        <f t="shared" si="4"/>
        <v>0</v>
      </c>
      <c r="H31" s="28">
        <f t="shared" si="5"/>
        <v>0</v>
      </c>
    </row>
    <row r="32" spans="2:8" ht="36" hidden="1" customHeight="1">
      <c r="B32" s="64"/>
      <c r="C32" s="65"/>
      <c r="D32" s="58"/>
      <c r="E32" s="82"/>
      <c r="F32" s="134" t="str">
        <f t="shared" si="1"/>
        <v>g</v>
      </c>
      <c r="G32" s="74">
        <f t="shared" si="4"/>
        <v>0</v>
      </c>
      <c r="H32" s="28">
        <f t="shared" si="5"/>
        <v>0</v>
      </c>
    </row>
    <row r="33" spans="2:8" ht="36" hidden="1" customHeight="1">
      <c r="B33" s="64"/>
      <c r="C33" s="65"/>
      <c r="D33" s="58"/>
      <c r="E33" s="82"/>
      <c r="F33" s="134" t="str">
        <f t="shared" si="1"/>
        <v>g</v>
      </c>
      <c r="G33" s="74">
        <f t="shared" si="4"/>
        <v>0</v>
      </c>
      <c r="H33" s="28">
        <f t="shared" si="5"/>
        <v>0</v>
      </c>
    </row>
    <row r="34" spans="2:8" ht="36" hidden="1" customHeight="1">
      <c r="B34" s="64"/>
      <c r="C34" s="65"/>
      <c r="D34" s="58"/>
      <c r="E34" s="82"/>
      <c r="F34" s="134" t="str">
        <f t="shared" si="1"/>
        <v>g</v>
      </c>
      <c r="G34" s="74">
        <f t="shared" si="4"/>
        <v>0</v>
      </c>
      <c r="H34" s="28">
        <f t="shared" si="5"/>
        <v>0</v>
      </c>
    </row>
    <row r="35" spans="2:8" ht="36" hidden="1" customHeight="1">
      <c r="B35" s="64"/>
      <c r="C35" s="65"/>
      <c r="D35" s="58"/>
      <c r="E35" s="82"/>
      <c r="F35" s="134" t="str">
        <f t="shared" si="1"/>
        <v>g</v>
      </c>
      <c r="G35" s="74">
        <f t="shared" si="4"/>
        <v>0</v>
      </c>
      <c r="H35" s="28">
        <f t="shared" si="5"/>
        <v>0</v>
      </c>
    </row>
    <row r="36" spans="2:8" ht="36" hidden="1" customHeight="1">
      <c r="B36" s="64"/>
      <c r="C36" s="65"/>
      <c r="D36" s="58"/>
      <c r="E36" s="82"/>
      <c r="F36" s="134" t="str">
        <f t="shared" si="1"/>
        <v>g</v>
      </c>
      <c r="G36" s="74">
        <f t="shared" si="4"/>
        <v>0</v>
      </c>
      <c r="H36" s="28">
        <f t="shared" si="5"/>
        <v>0</v>
      </c>
    </row>
    <row r="37" spans="2:8" ht="36" hidden="1" customHeight="1">
      <c r="B37" s="64"/>
      <c r="C37" s="65"/>
      <c r="D37" s="58"/>
      <c r="E37" s="82"/>
      <c r="F37" s="134" t="str">
        <f t="shared" si="1"/>
        <v>g</v>
      </c>
      <c r="G37" s="74">
        <f t="shared" ref="G37:G41" si="6">ROUNDUP(D37/30,0)</f>
        <v>0</v>
      </c>
      <c r="H37" s="28">
        <f t="shared" ref="H37:H41" si="7">D37*$E$2</f>
        <v>0</v>
      </c>
    </row>
    <row r="38" spans="2:8" ht="36" hidden="1" customHeight="1">
      <c r="B38" s="64"/>
      <c r="C38" s="65"/>
      <c r="D38" s="58"/>
      <c r="E38" s="82"/>
      <c r="F38" s="134" t="str">
        <f t="shared" si="1"/>
        <v>g</v>
      </c>
      <c r="G38" s="74">
        <f t="shared" si="6"/>
        <v>0</v>
      </c>
      <c r="H38" s="28">
        <f t="shared" si="7"/>
        <v>0</v>
      </c>
    </row>
    <row r="39" spans="2:8" ht="36" hidden="1" customHeight="1">
      <c r="B39" s="64"/>
      <c r="C39" s="65"/>
      <c r="D39" s="58"/>
      <c r="E39" s="82"/>
      <c r="F39" s="134" t="str">
        <f t="shared" si="1"/>
        <v>g</v>
      </c>
      <c r="G39" s="74">
        <f t="shared" si="6"/>
        <v>0</v>
      </c>
      <c r="H39" s="28">
        <f t="shared" si="7"/>
        <v>0</v>
      </c>
    </row>
    <row r="40" spans="2:8" ht="36" hidden="1" customHeight="1">
      <c r="B40" s="64"/>
      <c r="C40" s="65"/>
      <c r="D40" s="58"/>
      <c r="E40" s="82"/>
      <c r="F40" s="134" t="str">
        <f t="shared" si="1"/>
        <v>g</v>
      </c>
      <c r="G40" s="74">
        <f t="shared" si="6"/>
        <v>0</v>
      </c>
      <c r="H40" s="28">
        <f t="shared" si="7"/>
        <v>0</v>
      </c>
    </row>
    <row r="41" spans="2:8" ht="36" hidden="1" customHeight="1">
      <c r="B41" s="64"/>
      <c r="C41" s="65"/>
      <c r="D41" s="58"/>
      <c r="E41" s="82"/>
      <c r="F41" s="134" t="str">
        <f t="shared" si="1"/>
        <v>g</v>
      </c>
      <c r="G41" s="74">
        <f t="shared" si="6"/>
        <v>0</v>
      </c>
      <c r="H41" s="28">
        <f t="shared" si="7"/>
        <v>0</v>
      </c>
    </row>
    <row r="42" spans="2:8" ht="36" hidden="1" customHeight="1">
      <c r="B42" s="64"/>
      <c r="C42" s="65"/>
      <c r="D42" s="58"/>
      <c r="E42" s="82"/>
      <c r="F42" s="134" t="str">
        <f t="shared" si="1"/>
        <v>g</v>
      </c>
      <c r="G42" s="74">
        <f t="shared" si="4"/>
        <v>0</v>
      </c>
      <c r="H42" s="28">
        <f t="shared" si="5"/>
        <v>0</v>
      </c>
    </row>
    <row r="43" spans="2:8" ht="36" hidden="1" customHeight="1">
      <c r="B43" s="64"/>
      <c r="C43" s="65"/>
      <c r="D43" s="58"/>
      <c r="E43" s="82"/>
      <c r="F43" s="134" t="str">
        <f t="shared" si="1"/>
        <v>g</v>
      </c>
      <c r="G43" s="74">
        <f t="shared" si="4"/>
        <v>0</v>
      </c>
      <c r="H43" s="28">
        <f t="shared" si="5"/>
        <v>0</v>
      </c>
    </row>
    <row r="44" spans="2:8" ht="36" hidden="1" customHeight="1">
      <c r="B44" s="64"/>
      <c r="C44" s="65"/>
      <c r="D44" s="58"/>
      <c r="E44" s="82"/>
      <c r="F44" s="134" t="str">
        <f t="shared" si="1"/>
        <v>g</v>
      </c>
      <c r="G44" s="74">
        <f t="shared" si="4"/>
        <v>0</v>
      </c>
      <c r="H44" s="28">
        <f t="shared" si="5"/>
        <v>0</v>
      </c>
    </row>
    <row r="45" spans="2:8" ht="36" hidden="1" customHeight="1">
      <c r="B45" s="64"/>
      <c r="C45" s="65"/>
      <c r="D45" s="58"/>
      <c r="E45" s="82"/>
      <c r="F45" s="134" t="str">
        <f t="shared" si="1"/>
        <v>g</v>
      </c>
      <c r="G45" s="74">
        <f t="shared" si="4"/>
        <v>0</v>
      </c>
      <c r="H45" s="28">
        <f t="shared" si="5"/>
        <v>0</v>
      </c>
    </row>
    <row r="46" spans="2:8" ht="36" hidden="1" customHeight="1">
      <c r="B46" s="64"/>
      <c r="C46" s="65"/>
      <c r="D46" s="58"/>
      <c r="E46" s="82"/>
      <c r="F46" s="134" t="str">
        <f t="shared" si="1"/>
        <v>g</v>
      </c>
      <c r="G46" s="74">
        <f t="shared" si="4"/>
        <v>0</v>
      </c>
      <c r="H46" s="28">
        <f t="shared" si="5"/>
        <v>0</v>
      </c>
    </row>
    <row r="47" spans="2:8" ht="36" hidden="1" customHeight="1">
      <c r="B47" s="64"/>
      <c r="C47" s="65"/>
      <c r="D47" s="58"/>
      <c r="E47" s="82"/>
      <c r="F47" s="134" t="str">
        <f t="shared" si="1"/>
        <v>g</v>
      </c>
      <c r="G47" s="74">
        <f t="shared" si="2"/>
        <v>0</v>
      </c>
      <c r="H47" s="28">
        <f t="shared" si="3"/>
        <v>0</v>
      </c>
    </row>
    <row r="48" spans="2:8" ht="36" hidden="1" customHeight="1">
      <c r="B48" s="64"/>
      <c r="C48" s="65"/>
      <c r="D48" s="58"/>
      <c r="E48" s="82"/>
      <c r="F48" s="134" t="str">
        <f t="shared" si="1"/>
        <v>g</v>
      </c>
      <c r="G48" s="74">
        <f t="shared" si="2"/>
        <v>0</v>
      </c>
      <c r="H48" s="28">
        <f t="shared" si="3"/>
        <v>0</v>
      </c>
    </row>
    <row r="49" spans="2:17" ht="36" hidden="1" customHeight="1">
      <c r="B49" s="64"/>
      <c r="C49" s="65"/>
      <c r="D49" s="58"/>
      <c r="E49" s="82"/>
      <c r="F49" s="134" t="str">
        <f t="shared" si="1"/>
        <v>g</v>
      </c>
      <c r="G49" s="74">
        <f t="shared" si="2"/>
        <v>0</v>
      </c>
      <c r="H49" s="28">
        <f t="shared" si="3"/>
        <v>0</v>
      </c>
    </row>
    <row r="50" spans="2:17" ht="36" hidden="1" customHeight="1">
      <c r="B50" s="64"/>
      <c r="C50" s="65"/>
      <c r="D50" s="58"/>
      <c r="E50" s="82"/>
      <c r="F50" s="134" t="str">
        <f t="shared" si="1"/>
        <v>g</v>
      </c>
      <c r="G50" s="74">
        <f t="shared" ref="G50" si="8">ROUNDUP(D50/30,0)</f>
        <v>0</v>
      </c>
      <c r="H50" s="28">
        <f t="shared" ref="H50" si="9">D50*$E$2</f>
        <v>0</v>
      </c>
    </row>
    <row r="51" spans="2:17" ht="36" hidden="1" customHeight="1">
      <c r="B51" s="64"/>
      <c r="C51" s="65"/>
      <c r="D51" s="58"/>
      <c r="E51" s="82"/>
      <c r="F51" s="134" t="str">
        <f t="shared" si="1"/>
        <v>g</v>
      </c>
      <c r="G51" s="74">
        <f t="shared" si="2"/>
        <v>0</v>
      </c>
      <c r="H51" s="28">
        <f t="shared" si="3"/>
        <v>0</v>
      </c>
    </row>
    <row r="52" spans="2:17" ht="36" hidden="1" customHeight="1">
      <c r="B52" s="64"/>
      <c r="C52" s="65"/>
      <c r="D52" s="58"/>
      <c r="E52" s="82"/>
      <c r="F52" s="134" t="str">
        <f t="shared" si="1"/>
        <v>g</v>
      </c>
      <c r="G52" s="74">
        <f t="shared" si="2"/>
        <v>0</v>
      </c>
      <c r="H52" s="28">
        <f t="shared" si="3"/>
        <v>0</v>
      </c>
    </row>
    <row r="53" spans="2:17" ht="36" hidden="1" customHeight="1">
      <c r="B53" s="64"/>
      <c r="C53" s="65"/>
      <c r="D53" s="58"/>
      <c r="E53" s="82"/>
      <c r="F53" s="134" t="str">
        <f t="shared" si="1"/>
        <v>g</v>
      </c>
      <c r="G53" s="74">
        <f t="shared" si="2"/>
        <v>0</v>
      </c>
      <c r="H53" s="28">
        <f t="shared" si="3"/>
        <v>0</v>
      </c>
    </row>
    <row r="54" spans="2:17" ht="36" hidden="1" customHeight="1">
      <c r="B54" s="64"/>
      <c r="C54" s="65"/>
      <c r="D54" s="58"/>
      <c r="E54" s="82"/>
      <c r="F54" s="134" t="str">
        <f t="shared" si="1"/>
        <v>g</v>
      </c>
      <c r="G54" s="74">
        <f t="shared" si="2"/>
        <v>0</v>
      </c>
      <c r="H54" s="28">
        <f t="shared" si="3"/>
        <v>0</v>
      </c>
    </row>
    <row r="55" spans="2:17" ht="36" hidden="1" customHeight="1">
      <c r="B55" s="64"/>
      <c r="C55" s="65"/>
      <c r="D55" s="58"/>
      <c r="E55" s="82"/>
      <c r="F55" s="134" t="str">
        <f t="shared" si="1"/>
        <v>g</v>
      </c>
      <c r="G55" s="74">
        <f t="shared" si="2"/>
        <v>0</v>
      </c>
      <c r="H55" s="28">
        <f t="shared" si="3"/>
        <v>0</v>
      </c>
    </row>
    <row r="56" spans="2:17" ht="36" hidden="1" customHeight="1">
      <c r="B56" s="64"/>
      <c r="C56" s="65"/>
      <c r="D56" s="58"/>
      <c r="E56" s="82"/>
      <c r="F56" s="134" t="str">
        <f t="shared" si="1"/>
        <v>g</v>
      </c>
      <c r="G56" s="74">
        <f t="shared" si="2"/>
        <v>0</v>
      </c>
      <c r="H56" s="28">
        <f t="shared" si="3"/>
        <v>0</v>
      </c>
    </row>
    <row r="57" spans="2:17" ht="36" hidden="1" customHeight="1">
      <c r="B57" s="64"/>
      <c r="C57" s="65"/>
      <c r="D57" s="58"/>
      <c r="E57" s="82"/>
      <c r="F57" s="134" t="str">
        <f t="shared" si="1"/>
        <v>g</v>
      </c>
      <c r="G57" s="74">
        <f t="shared" si="2"/>
        <v>0</v>
      </c>
      <c r="H57" s="28">
        <f t="shared" si="3"/>
        <v>0</v>
      </c>
    </row>
    <row r="58" spans="2:17" ht="36" customHeight="1" thickBot="1">
      <c r="B58" s="66"/>
      <c r="C58" s="67"/>
      <c r="D58" s="68"/>
      <c r="E58" s="86"/>
      <c r="F58" s="135" t="str">
        <f t="shared" si="1"/>
        <v>g</v>
      </c>
      <c r="G58" s="76">
        <f t="shared" si="2"/>
        <v>0</v>
      </c>
      <c r="H58" s="29">
        <f t="shared" si="3"/>
        <v>0</v>
      </c>
    </row>
    <row r="59" spans="2:17" s="4" customFormat="1" ht="36" customHeight="1">
      <c r="B59" s="2"/>
      <c r="C59" s="2"/>
      <c r="D59" s="2">
        <f>D8</f>
        <v>0</v>
      </c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" right="0" top="0" bottom="0" header="0" footer="0"/>
  <pageSetup paperSize="9" scale="92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52" t="s">
        <v>12</v>
      </c>
      <c r="C1" s="151"/>
      <c r="D1" s="151"/>
      <c r="E1" s="151"/>
      <c r="F1" s="151"/>
      <c r="G1" s="148"/>
      <c r="H1" s="148"/>
    </row>
    <row r="2" spans="2:17" ht="50.1" customHeight="1">
      <c r="B2" s="153"/>
      <c r="C2" s="154"/>
      <c r="D2" s="154"/>
      <c r="E2" s="43"/>
      <c r="F2" s="130" t="s">
        <v>2</v>
      </c>
      <c r="G2" s="18"/>
      <c r="H2" s="23"/>
    </row>
    <row r="3" spans="2:17" s="4" customFormat="1" ht="36" customHeight="1" thickBot="1">
      <c r="B3" s="8"/>
      <c r="C3" s="9"/>
      <c r="D3" s="45" t="s">
        <v>4</v>
      </c>
      <c r="E3" s="155" t="s">
        <v>0</v>
      </c>
      <c r="F3" s="162"/>
      <c r="G3" s="46" t="s">
        <v>9</v>
      </c>
      <c r="H3" s="24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80">
        <v>1</v>
      </c>
      <c r="C4" s="81" t="s">
        <v>7</v>
      </c>
      <c r="D4" s="54">
        <v>1</v>
      </c>
      <c r="E4" s="82" t="str">
        <f>IF($E2=0, "", $E2)</f>
        <v/>
      </c>
      <c r="F4" s="131" t="str">
        <f>$F$2</f>
        <v>g</v>
      </c>
      <c r="G4" s="70"/>
      <c r="H4" s="25"/>
    </row>
    <row r="5" spans="2:17" ht="36" customHeight="1">
      <c r="B5" s="56">
        <f>D5</f>
        <v>0</v>
      </c>
      <c r="C5" s="57" t="s">
        <v>8</v>
      </c>
      <c r="D5" s="83"/>
      <c r="E5" s="84" t="str">
        <f>IF($E2=0, "", B5*$E2)</f>
        <v/>
      </c>
      <c r="F5" s="132" t="str">
        <f t="shared" ref="F5:F8" si="0">$F$2</f>
        <v>g</v>
      </c>
      <c r="G5" s="88"/>
      <c r="H5" s="26"/>
    </row>
    <row r="6" spans="2:17" ht="36" customHeight="1" thickBot="1">
      <c r="B6" s="97">
        <f>D6</f>
        <v>1</v>
      </c>
      <c r="C6" s="98" t="s">
        <v>34</v>
      </c>
      <c r="D6" s="58">
        <v>1</v>
      </c>
      <c r="E6" s="140">
        <v>50</v>
      </c>
      <c r="F6" s="128" t="str">
        <f t="shared" si="0"/>
        <v>g</v>
      </c>
      <c r="G6" s="141"/>
      <c r="H6" s="27">
        <f>G6*$E$2</f>
        <v>0</v>
      </c>
    </row>
    <row r="7" spans="2:17" ht="36" customHeight="1" thickTop="1" thickBot="1">
      <c r="B7" s="77">
        <f>D7</f>
        <v>1</v>
      </c>
      <c r="C7" s="78" t="s">
        <v>16</v>
      </c>
      <c r="D7" s="60">
        <v>1</v>
      </c>
      <c r="E7" s="85" t="str">
        <f>IF($E2=0, "", B7*$E2)</f>
        <v/>
      </c>
      <c r="F7" s="133" t="str">
        <f t="shared" si="0"/>
        <v>g</v>
      </c>
      <c r="G7" s="89"/>
      <c r="H7" s="27">
        <f>G7*$E$2</f>
        <v>0</v>
      </c>
    </row>
    <row r="8" spans="2:17" ht="36" customHeight="1" thickTop="1">
      <c r="B8" s="159" t="s">
        <v>17</v>
      </c>
      <c r="C8" s="160"/>
      <c r="D8" s="54">
        <f>D5+G6+G7+SUM(D10:D58)</f>
        <v>0</v>
      </c>
      <c r="E8" s="82" t="str">
        <f>IF($E$2=0, "", D8*$E$2)</f>
        <v/>
      </c>
      <c r="F8" s="131" t="str">
        <f t="shared" si="0"/>
        <v>g</v>
      </c>
      <c r="G8" s="90"/>
      <c r="H8" s="28"/>
    </row>
    <row r="9" spans="2:17" ht="36" customHeight="1">
      <c r="B9" s="64"/>
      <c r="C9" s="65"/>
      <c r="D9" s="58"/>
      <c r="E9" s="82"/>
      <c r="F9" s="7"/>
      <c r="G9" s="74"/>
      <c r="H9" s="28"/>
    </row>
    <row r="10" spans="2:17" ht="36" customHeight="1">
      <c r="B10" s="64"/>
      <c r="C10" s="65"/>
      <c r="D10" s="58"/>
      <c r="E10" s="82"/>
      <c r="F10" s="134" t="str">
        <f t="shared" ref="F10:F58" si="1">$F$2</f>
        <v>g</v>
      </c>
      <c r="G10" s="74">
        <f t="shared" ref="G10:G58" si="2">ROUNDUP(D10/30,0)</f>
        <v>0</v>
      </c>
      <c r="H10" s="28">
        <f t="shared" ref="H10:H58" si="3">D10*$E$2</f>
        <v>0</v>
      </c>
    </row>
    <row r="11" spans="2:17" ht="36" customHeight="1">
      <c r="B11" s="64"/>
      <c r="C11" s="65"/>
      <c r="D11" s="58"/>
      <c r="E11" s="82"/>
      <c r="F11" s="134" t="str">
        <f t="shared" si="1"/>
        <v>g</v>
      </c>
      <c r="G11" s="74">
        <f t="shared" si="2"/>
        <v>0</v>
      </c>
      <c r="H11" s="28">
        <f t="shared" si="3"/>
        <v>0</v>
      </c>
    </row>
    <row r="12" spans="2:17" ht="36" customHeight="1">
      <c r="B12" s="64"/>
      <c r="C12" s="65"/>
      <c r="D12" s="58"/>
      <c r="E12" s="82"/>
      <c r="F12" s="134" t="str">
        <f t="shared" si="1"/>
        <v>g</v>
      </c>
      <c r="G12" s="74">
        <f t="shared" si="2"/>
        <v>0</v>
      </c>
      <c r="H12" s="28">
        <f t="shared" si="3"/>
        <v>0</v>
      </c>
    </row>
    <row r="13" spans="2:17" ht="36" customHeight="1">
      <c r="B13" s="64"/>
      <c r="C13" s="65"/>
      <c r="D13" s="58"/>
      <c r="E13" s="82"/>
      <c r="F13" s="134" t="str">
        <f t="shared" si="1"/>
        <v>g</v>
      </c>
      <c r="G13" s="74">
        <f t="shared" si="2"/>
        <v>0</v>
      </c>
      <c r="H13" s="28">
        <f t="shared" si="3"/>
        <v>0</v>
      </c>
    </row>
    <row r="14" spans="2:17" ht="36" customHeight="1">
      <c r="B14" s="64"/>
      <c r="C14" s="65"/>
      <c r="D14" s="58"/>
      <c r="E14" s="82"/>
      <c r="F14" s="134" t="str">
        <f t="shared" si="1"/>
        <v>g</v>
      </c>
      <c r="G14" s="74">
        <f t="shared" si="2"/>
        <v>0</v>
      </c>
      <c r="H14" s="28">
        <f t="shared" si="3"/>
        <v>0</v>
      </c>
    </row>
    <row r="15" spans="2:17" ht="36" customHeight="1">
      <c r="B15" s="64"/>
      <c r="C15" s="65"/>
      <c r="D15" s="58"/>
      <c r="E15" s="82"/>
      <c r="F15" s="134" t="str">
        <f t="shared" si="1"/>
        <v>g</v>
      </c>
      <c r="G15" s="74">
        <f t="shared" si="2"/>
        <v>0</v>
      </c>
      <c r="H15" s="28">
        <f t="shared" si="3"/>
        <v>0</v>
      </c>
    </row>
    <row r="16" spans="2:17" ht="36" customHeight="1">
      <c r="B16" s="64"/>
      <c r="C16" s="65"/>
      <c r="D16" s="58"/>
      <c r="E16" s="82"/>
      <c r="F16" s="134" t="str">
        <f t="shared" si="1"/>
        <v>g</v>
      </c>
      <c r="G16" s="74">
        <f t="shared" si="2"/>
        <v>0</v>
      </c>
      <c r="H16" s="28">
        <f t="shared" si="3"/>
        <v>0</v>
      </c>
    </row>
    <row r="17" spans="2:8" ht="36" customHeight="1">
      <c r="B17" s="64"/>
      <c r="C17" s="65"/>
      <c r="D17" s="58"/>
      <c r="E17" s="82"/>
      <c r="F17" s="134" t="str">
        <f t="shared" si="1"/>
        <v>g</v>
      </c>
      <c r="G17" s="74">
        <f t="shared" si="2"/>
        <v>0</v>
      </c>
      <c r="H17" s="28">
        <f t="shared" si="3"/>
        <v>0</v>
      </c>
    </row>
    <row r="18" spans="2:8" ht="36" customHeight="1">
      <c r="B18" s="64"/>
      <c r="C18" s="65"/>
      <c r="D18" s="58"/>
      <c r="E18" s="82"/>
      <c r="F18" s="134" t="str">
        <f t="shared" si="1"/>
        <v>g</v>
      </c>
      <c r="G18" s="74">
        <f t="shared" si="2"/>
        <v>0</v>
      </c>
      <c r="H18" s="28">
        <f t="shared" si="3"/>
        <v>0</v>
      </c>
    </row>
    <row r="19" spans="2:8" ht="36" customHeight="1">
      <c r="B19" s="64"/>
      <c r="C19" s="65"/>
      <c r="D19" s="58"/>
      <c r="E19" s="82"/>
      <c r="F19" s="134" t="str">
        <f t="shared" si="1"/>
        <v>g</v>
      </c>
      <c r="G19" s="74">
        <f t="shared" si="2"/>
        <v>0</v>
      </c>
      <c r="H19" s="28">
        <f t="shared" si="3"/>
        <v>0</v>
      </c>
    </row>
    <row r="20" spans="2:8" ht="36" customHeight="1">
      <c r="B20" s="64"/>
      <c r="C20" s="65"/>
      <c r="D20" s="58"/>
      <c r="E20" s="82"/>
      <c r="F20" s="134" t="str">
        <f t="shared" si="1"/>
        <v>g</v>
      </c>
      <c r="G20" s="74">
        <f t="shared" si="2"/>
        <v>0</v>
      </c>
      <c r="H20" s="28">
        <f t="shared" si="3"/>
        <v>0</v>
      </c>
    </row>
    <row r="21" spans="2:8" ht="36" customHeight="1">
      <c r="B21" s="64"/>
      <c r="C21" s="65"/>
      <c r="D21" s="58"/>
      <c r="E21" s="82"/>
      <c r="F21" s="134" t="str">
        <f t="shared" si="1"/>
        <v>g</v>
      </c>
      <c r="G21" s="74">
        <f t="shared" si="2"/>
        <v>0</v>
      </c>
      <c r="H21" s="28">
        <f t="shared" si="3"/>
        <v>0</v>
      </c>
    </row>
    <row r="22" spans="2:8" ht="36" customHeight="1">
      <c r="B22" s="64"/>
      <c r="C22" s="65"/>
      <c r="D22" s="58"/>
      <c r="E22" s="82"/>
      <c r="F22" s="134" t="str">
        <f t="shared" si="1"/>
        <v>g</v>
      </c>
      <c r="G22" s="74">
        <f t="shared" si="2"/>
        <v>0</v>
      </c>
      <c r="H22" s="28">
        <f t="shared" si="3"/>
        <v>0</v>
      </c>
    </row>
    <row r="23" spans="2:8" ht="36" customHeight="1">
      <c r="B23" s="64"/>
      <c r="C23" s="65"/>
      <c r="D23" s="58"/>
      <c r="E23" s="82"/>
      <c r="F23" s="134" t="str">
        <f t="shared" si="1"/>
        <v>g</v>
      </c>
      <c r="G23" s="74">
        <f t="shared" si="2"/>
        <v>0</v>
      </c>
      <c r="H23" s="28">
        <f t="shared" si="3"/>
        <v>0</v>
      </c>
    </row>
    <row r="24" spans="2:8" ht="36" customHeight="1">
      <c r="B24" s="64"/>
      <c r="C24" s="65"/>
      <c r="D24" s="58"/>
      <c r="E24" s="82"/>
      <c r="F24" s="134" t="str">
        <f t="shared" si="1"/>
        <v>g</v>
      </c>
      <c r="G24" s="74">
        <f t="shared" si="2"/>
        <v>0</v>
      </c>
      <c r="H24" s="28">
        <f t="shared" si="3"/>
        <v>0</v>
      </c>
    </row>
    <row r="25" spans="2:8" ht="36" hidden="1" customHeight="1">
      <c r="B25" s="64"/>
      <c r="C25" s="65"/>
      <c r="D25" s="58"/>
      <c r="E25" s="82"/>
      <c r="F25" s="134" t="str">
        <f t="shared" si="1"/>
        <v>g</v>
      </c>
      <c r="G25" s="74">
        <f t="shared" si="2"/>
        <v>0</v>
      </c>
      <c r="H25" s="28">
        <f t="shared" si="3"/>
        <v>0</v>
      </c>
    </row>
    <row r="26" spans="2:8" ht="36" hidden="1" customHeight="1">
      <c r="B26" s="64"/>
      <c r="C26" s="65"/>
      <c r="D26" s="58"/>
      <c r="E26" s="82"/>
      <c r="F26" s="134" t="str">
        <f t="shared" si="1"/>
        <v>g</v>
      </c>
      <c r="G26" s="74">
        <f t="shared" si="2"/>
        <v>0</v>
      </c>
      <c r="H26" s="28">
        <f t="shared" si="3"/>
        <v>0</v>
      </c>
    </row>
    <row r="27" spans="2:8" ht="36" hidden="1" customHeight="1">
      <c r="B27" s="64"/>
      <c r="C27" s="65"/>
      <c r="D27" s="58"/>
      <c r="E27" s="82"/>
      <c r="F27" s="134" t="str">
        <f t="shared" si="1"/>
        <v>g</v>
      </c>
      <c r="G27" s="74">
        <f t="shared" si="2"/>
        <v>0</v>
      </c>
      <c r="H27" s="28">
        <f t="shared" si="3"/>
        <v>0</v>
      </c>
    </row>
    <row r="28" spans="2:8" ht="36" hidden="1" customHeight="1">
      <c r="B28" s="64"/>
      <c r="C28" s="65"/>
      <c r="D28" s="58"/>
      <c r="E28" s="82"/>
      <c r="F28" s="134" t="str">
        <f t="shared" si="1"/>
        <v>g</v>
      </c>
      <c r="G28" s="74">
        <f t="shared" si="2"/>
        <v>0</v>
      </c>
      <c r="H28" s="28">
        <f t="shared" si="3"/>
        <v>0</v>
      </c>
    </row>
    <row r="29" spans="2:8" ht="36" hidden="1" customHeight="1">
      <c r="B29" s="64"/>
      <c r="C29" s="65"/>
      <c r="D29" s="58"/>
      <c r="E29" s="82"/>
      <c r="F29" s="134" t="str">
        <f t="shared" si="1"/>
        <v>g</v>
      </c>
      <c r="G29" s="74">
        <f t="shared" ref="G29:G37" si="4">ROUNDUP(D29/30,0)</f>
        <v>0</v>
      </c>
      <c r="H29" s="28">
        <f t="shared" ref="H29:H37" si="5">D29*$E$2</f>
        <v>0</v>
      </c>
    </row>
    <row r="30" spans="2:8" ht="36" hidden="1" customHeight="1">
      <c r="B30" s="64"/>
      <c r="C30" s="65"/>
      <c r="D30" s="58"/>
      <c r="E30" s="82"/>
      <c r="F30" s="134" t="str">
        <f t="shared" si="1"/>
        <v>g</v>
      </c>
      <c r="G30" s="74">
        <f t="shared" si="4"/>
        <v>0</v>
      </c>
      <c r="H30" s="28">
        <f t="shared" si="5"/>
        <v>0</v>
      </c>
    </row>
    <row r="31" spans="2:8" ht="36" hidden="1" customHeight="1">
      <c r="B31" s="64"/>
      <c r="C31" s="65"/>
      <c r="D31" s="58"/>
      <c r="E31" s="82"/>
      <c r="F31" s="134" t="str">
        <f t="shared" si="1"/>
        <v>g</v>
      </c>
      <c r="G31" s="74">
        <f t="shared" si="4"/>
        <v>0</v>
      </c>
      <c r="H31" s="28">
        <f t="shared" si="5"/>
        <v>0</v>
      </c>
    </row>
    <row r="32" spans="2:8" ht="36" hidden="1" customHeight="1">
      <c r="B32" s="64"/>
      <c r="C32" s="65"/>
      <c r="D32" s="58"/>
      <c r="E32" s="82"/>
      <c r="F32" s="134" t="str">
        <f t="shared" si="1"/>
        <v>g</v>
      </c>
      <c r="G32" s="74">
        <f t="shared" si="4"/>
        <v>0</v>
      </c>
      <c r="H32" s="28">
        <f t="shared" si="5"/>
        <v>0</v>
      </c>
    </row>
    <row r="33" spans="2:8" ht="36" hidden="1" customHeight="1">
      <c r="B33" s="64"/>
      <c r="C33" s="65"/>
      <c r="D33" s="58"/>
      <c r="E33" s="82"/>
      <c r="F33" s="134" t="str">
        <f t="shared" si="1"/>
        <v>g</v>
      </c>
      <c r="G33" s="74">
        <f t="shared" si="4"/>
        <v>0</v>
      </c>
      <c r="H33" s="28">
        <f t="shared" si="5"/>
        <v>0</v>
      </c>
    </row>
    <row r="34" spans="2:8" ht="36" hidden="1" customHeight="1">
      <c r="B34" s="64"/>
      <c r="C34" s="65"/>
      <c r="D34" s="58"/>
      <c r="E34" s="82"/>
      <c r="F34" s="134" t="str">
        <f t="shared" si="1"/>
        <v>g</v>
      </c>
      <c r="G34" s="74">
        <f t="shared" si="4"/>
        <v>0</v>
      </c>
      <c r="H34" s="28">
        <f t="shared" si="5"/>
        <v>0</v>
      </c>
    </row>
    <row r="35" spans="2:8" ht="36" hidden="1" customHeight="1">
      <c r="B35" s="64"/>
      <c r="C35" s="65"/>
      <c r="D35" s="58"/>
      <c r="E35" s="82"/>
      <c r="F35" s="134" t="str">
        <f t="shared" si="1"/>
        <v>g</v>
      </c>
      <c r="G35" s="74">
        <f t="shared" si="4"/>
        <v>0</v>
      </c>
      <c r="H35" s="28">
        <f t="shared" si="5"/>
        <v>0</v>
      </c>
    </row>
    <row r="36" spans="2:8" ht="36" hidden="1" customHeight="1">
      <c r="B36" s="64"/>
      <c r="C36" s="65"/>
      <c r="D36" s="58"/>
      <c r="E36" s="82"/>
      <c r="F36" s="134" t="str">
        <f t="shared" si="1"/>
        <v>g</v>
      </c>
      <c r="G36" s="74">
        <f t="shared" si="4"/>
        <v>0</v>
      </c>
      <c r="H36" s="28">
        <f t="shared" si="5"/>
        <v>0</v>
      </c>
    </row>
    <row r="37" spans="2:8" ht="36" hidden="1" customHeight="1">
      <c r="B37" s="64"/>
      <c r="C37" s="65"/>
      <c r="D37" s="58"/>
      <c r="E37" s="82"/>
      <c r="F37" s="134" t="str">
        <f t="shared" si="1"/>
        <v>g</v>
      </c>
      <c r="G37" s="74">
        <f t="shared" si="4"/>
        <v>0</v>
      </c>
      <c r="H37" s="28">
        <f t="shared" si="5"/>
        <v>0</v>
      </c>
    </row>
    <row r="38" spans="2:8" ht="36" hidden="1" customHeight="1">
      <c r="B38" s="64"/>
      <c r="C38" s="65"/>
      <c r="D38" s="58"/>
      <c r="E38" s="82"/>
      <c r="F38" s="134" t="str">
        <f t="shared" si="1"/>
        <v>g</v>
      </c>
      <c r="G38" s="74">
        <f t="shared" ref="G38:G46" si="6">ROUNDUP(D38/30,0)</f>
        <v>0</v>
      </c>
      <c r="H38" s="28">
        <f t="shared" ref="H38:H46" si="7">D38*$E$2</f>
        <v>0</v>
      </c>
    </row>
    <row r="39" spans="2:8" ht="36" hidden="1" customHeight="1">
      <c r="B39" s="64"/>
      <c r="C39" s="65"/>
      <c r="D39" s="58"/>
      <c r="E39" s="82"/>
      <c r="F39" s="134" t="str">
        <f t="shared" si="1"/>
        <v>g</v>
      </c>
      <c r="G39" s="74">
        <f t="shared" si="6"/>
        <v>0</v>
      </c>
      <c r="H39" s="28">
        <f t="shared" si="7"/>
        <v>0</v>
      </c>
    </row>
    <row r="40" spans="2:8" ht="36" hidden="1" customHeight="1">
      <c r="B40" s="64"/>
      <c r="C40" s="65"/>
      <c r="D40" s="58"/>
      <c r="E40" s="82"/>
      <c r="F40" s="134" t="str">
        <f t="shared" si="1"/>
        <v>g</v>
      </c>
      <c r="G40" s="74">
        <f t="shared" si="6"/>
        <v>0</v>
      </c>
      <c r="H40" s="28">
        <f t="shared" si="7"/>
        <v>0</v>
      </c>
    </row>
    <row r="41" spans="2:8" ht="36" hidden="1" customHeight="1">
      <c r="B41" s="64"/>
      <c r="C41" s="65"/>
      <c r="D41" s="58"/>
      <c r="E41" s="82"/>
      <c r="F41" s="134" t="str">
        <f t="shared" si="1"/>
        <v>g</v>
      </c>
      <c r="G41" s="74">
        <f t="shared" si="6"/>
        <v>0</v>
      </c>
      <c r="H41" s="28">
        <f t="shared" si="7"/>
        <v>0</v>
      </c>
    </row>
    <row r="42" spans="2:8" ht="36" hidden="1" customHeight="1">
      <c r="B42" s="64"/>
      <c r="C42" s="65"/>
      <c r="D42" s="58"/>
      <c r="E42" s="82"/>
      <c r="F42" s="134" t="str">
        <f t="shared" si="1"/>
        <v>g</v>
      </c>
      <c r="G42" s="74">
        <f t="shared" si="6"/>
        <v>0</v>
      </c>
      <c r="H42" s="28">
        <f t="shared" si="7"/>
        <v>0</v>
      </c>
    </row>
    <row r="43" spans="2:8" ht="36" hidden="1" customHeight="1">
      <c r="B43" s="64"/>
      <c r="C43" s="65"/>
      <c r="D43" s="58"/>
      <c r="E43" s="82"/>
      <c r="F43" s="134" t="str">
        <f t="shared" si="1"/>
        <v>g</v>
      </c>
      <c r="G43" s="74">
        <f t="shared" si="6"/>
        <v>0</v>
      </c>
      <c r="H43" s="28">
        <f t="shared" si="7"/>
        <v>0</v>
      </c>
    </row>
    <row r="44" spans="2:8" ht="36" hidden="1" customHeight="1">
      <c r="B44" s="64"/>
      <c r="C44" s="65"/>
      <c r="D44" s="58"/>
      <c r="E44" s="82"/>
      <c r="F44" s="134" t="str">
        <f t="shared" si="1"/>
        <v>g</v>
      </c>
      <c r="G44" s="74">
        <f t="shared" si="6"/>
        <v>0</v>
      </c>
      <c r="H44" s="28">
        <f t="shared" si="7"/>
        <v>0</v>
      </c>
    </row>
    <row r="45" spans="2:8" ht="36" hidden="1" customHeight="1">
      <c r="B45" s="64"/>
      <c r="C45" s="65"/>
      <c r="D45" s="58"/>
      <c r="E45" s="82"/>
      <c r="F45" s="134" t="str">
        <f t="shared" si="1"/>
        <v>g</v>
      </c>
      <c r="G45" s="74">
        <f t="shared" si="6"/>
        <v>0</v>
      </c>
      <c r="H45" s="28">
        <f t="shared" si="7"/>
        <v>0</v>
      </c>
    </row>
    <row r="46" spans="2:8" ht="36" hidden="1" customHeight="1">
      <c r="B46" s="64"/>
      <c r="C46" s="65"/>
      <c r="D46" s="58"/>
      <c r="E46" s="82"/>
      <c r="F46" s="134" t="str">
        <f t="shared" si="1"/>
        <v>g</v>
      </c>
      <c r="G46" s="74">
        <f t="shared" si="6"/>
        <v>0</v>
      </c>
      <c r="H46" s="28">
        <f t="shared" si="7"/>
        <v>0</v>
      </c>
    </row>
    <row r="47" spans="2:8" ht="36" hidden="1" customHeight="1">
      <c r="B47" s="64"/>
      <c r="C47" s="65"/>
      <c r="D47" s="58"/>
      <c r="E47" s="82"/>
      <c r="F47" s="134" t="str">
        <f t="shared" si="1"/>
        <v>g</v>
      </c>
      <c r="G47" s="74">
        <f t="shared" ref="G47:G57" si="8">ROUNDUP(D47/30,0)</f>
        <v>0</v>
      </c>
      <c r="H47" s="28">
        <f t="shared" ref="H47:H57" si="9">D47*$E$2</f>
        <v>0</v>
      </c>
    </row>
    <row r="48" spans="2:8" ht="36" hidden="1" customHeight="1">
      <c r="B48" s="64"/>
      <c r="C48" s="65"/>
      <c r="D48" s="58"/>
      <c r="E48" s="82"/>
      <c r="F48" s="134" t="str">
        <f t="shared" si="1"/>
        <v>g</v>
      </c>
      <c r="G48" s="74">
        <f t="shared" si="8"/>
        <v>0</v>
      </c>
      <c r="H48" s="28">
        <f t="shared" si="9"/>
        <v>0</v>
      </c>
    </row>
    <row r="49" spans="2:17" ht="36" hidden="1" customHeight="1">
      <c r="B49" s="64"/>
      <c r="C49" s="65"/>
      <c r="D49" s="58"/>
      <c r="E49" s="82"/>
      <c r="F49" s="134" t="str">
        <f t="shared" si="1"/>
        <v>g</v>
      </c>
      <c r="G49" s="74">
        <f t="shared" si="8"/>
        <v>0</v>
      </c>
      <c r="H49" s="28">
        <f t="shared" si="9"/>
        <v>0</v>
      </c>
    </row>
    <row r="50" spans="2:17" ht="36" hidden="1" customHeight="1">
      <c r="B50" s="64"/>
      <c r="C50" s="65"/>
      <c r="D50" s="58"/>
      <c r="E50" s="82"/>
      <c r="F50" s="134" t="str">
        <f t="shared" si="1"/>
        <v>g</v>
      </c>
      <c r="G50" s="74">
        <f t="shared" si="8"/>
        <v>0</v>
      </c>
      <c r="H50" s="28">
        <f t="shared" si="9"/>
        <v>0</v>
      </c>
    </row>
    <row r="51" spans="2:17" ht="36" hidden="1" customHeight="1">
      <c r="B51" s="64"/>
      <c r="C51" s="65"/>
      <c r="D51" s="58"/>
      <c r="E51" s="82"/>
      <c r="F51" s="134" t="str">
        <f t="shared" si="1"/>
        <v>g</v>
      </c>
      <c r="G51" s="74">
        <f t="shared" si="8"/>
        <v>0</v>
      </c>
      <c r="H51" s="28">
        <f t="shared" si="9"/>
        <v>0</v>
      </c>
    </row>
    <row r="52" spans="2:17" ht="36" hidden="1" customHeight="1">
      <c r="B52" s="64"/>
      <c r="C52" s="65"/>
      <c r="D52" s="58"/>
      <c r="E52" s="82"/>
      <c r="F52" s="134" t="str">
        <f t="shared" si="1"/>
        <v>g</v>
      </c>
      <c r="G52" s="74">
        <f t="shared" si="8"/>
        <v>0</v>
      </c>
      <c r="H52" s="28">
        <f t="shared" si="9"/>
        <v>0</v>
      </c>
    </row>
    <row r="53" spans="2:17" ht="36" hidden="1" customHeight="1">
      <c r="B53" s="64"/>
      <c r="C53" s="65"/>
      <c r="D53" s="58"/>
      <c r="E53" s="82"/>
      <c r="F53" s="134" t="str">
        <f t="shared" si="1"/>
        <v>g</v>
      </c>
      <c r="G53" s="74">
        <f t="shared" si="8"/>
        <v>0</v>
      </c>
      <c r="H53" s="28">
        <f t="shared" si="9"/>
        <v>0</v>
      </c>
    </row>
    <row r="54" spans="2:17" ht="36" hidden="1" customHeight="1">
      <c r="B54" s="64"/>
      <c r="C54" s="65"/>
      <c r="D54" s="58"/>
      <c r="E54" s="82"/>
      <c r="F54" s="134" t="str">
        <f t="shared" si="1"/>
        <v>g</v>
      </c>
      <c r="G54" s="74">
        <f t="shared" ref="G54:G55" si="10">ROUNDUP(D54/30,0)</f>
        <v>0</v>
      </c>
      <c r="H54" s="28">
        <f t="shared" ref="H54:H55" si="11">D54*$E$2</f>
        <v>0</v>
      </c>
    </row>
    <row r="55" spans="2:17" ht="36" hidden="1" customHeight="1">
      <c r="B55" s="64"/>
      <c r="C55" s="65"/>
      <c r="D55" s="58"/>
      <c r="E55" s="82"/>
      <c r="F55" s="134" t="str">
        <f t="shared" si="1"/>
        <v>g</v>
      </c>
      <c r="G55" s="74">
        <f t="shared" si="10"/>
        <v>0</v>
      </c>
      <c r="H55" s="28">
        <f t="shared" si="11"/>
        <v>0</v>
      </c>
    </row>
    <row r="56" spans="2:17" ht="36" hidden="1" customHeight="1">
      <c r="B56" s="64"/>
      <c r="C56" s="65"/>
      <c r="D56" s="58"/>
      <c r="E56" s="82"/>
      <c r="F56" s="134" t="str">
        <f t="shared" si="1"/>
        <v>g</v>
      </c>
      <c r="G56" s="74">
        <f t="shared" si="8"/>
        <v>0</v>
      </c>
      <c r="H56" s="28">
        <f t="shared" si="9"/>
        <v>0</v>
      </c>
    </row>
    <row r="57" spans="2:17" ht="36" hidden="1" customHeight="1">
      <c r="B57" s="64"/>
      <c r="C57" s="65"/>
      <c r="D57" s="58"/>
      <c r="E57" s="82"/>
      <c r="F57" s="134" t="str">
        <f t="shared" si="1"/>
        <v>g</v>
      </c>
      <c r="G57" s="74">
        <f t="shared" si="8"/>
        <v>0</v>
      </c>
      <c r="H57" s="28">
        <f t="shared" si="9"/>
        <v>0</v>
      </c>
    </row>
    <row r="58" spans="2:17" ht="36" hidden="1" customHeight="1" thickBot="1">
      <c r="B58" s="66"/>
      <c r="C58" s="67"/>
      <c r="D58" s="68"/>
      <c r="E58" s="86"/>
      <c r="F58" s="135" t="str">
        <f t="shared" si="1"/>
        <v>g</v>
      </c>
      <c r="G58" s="76">
        <f t="shared" si="2"/>
        <v>0</v>
      </c>
      <c r="H58" s="29">
        <f t="shared" si="3"/>
        <v>0</v>
      </c>
    </row>
    <row r="59" spans="2:17" s="4" customFormat="1" ht="36" customHeight="1">
      <c r="B59" s="2"/>
      <c r="C59" s="2"/>
      <c r="D59" s="2">
        <f>D8</f>
        <v>0</v>
      </c>
      <c r="E59" s="5"/>
      <c r="F59" s="6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J9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165" t="s">
        <v>26</v>
      </c>
      <c r="C1" s="148"/>
      <c r="D1" s="40"/>
      <c r="E1" s="39"/>
      <c r="F1" s="39"/>
    </row>
    <row r="2" spans="2:10" ht="18.75" hidden="1" customHeight="1" thickBot="1">
      <c r="B2" s="15"/>
      <c r="C2" s="15"/>
      <c r="D2" s="15">
        <v>30</v>
      </c>
      <c r="E2" s="1" t="s">
        <v>20</v>
      </c>
    </row>
    <row r="3" spans="2:10" ht="50.1" customHeight="1" thickBot="1">
      <c r="B3" s="166"/>
      <c r="C3" s="167"/>
      <c r="D3" s="44"/>
      <c r="E3" s="125" t="s">
        <v>2</v>
      </c>
      <c r="F3" s="16"/>
    </row>
    <row r="4" spans="2:10" s="4" customFormat="1" ht="36" customHeight="1" thickBot="1">
      <c r="B4" s="12"/>
      <c r="C4" s="118" t="s">
        <v>0</v>
      </c>
      <c r="D4" s="48" t="s">
        <v>4</v>
      </c>
      <c r="E4" s="49" t="s">
        <v>21</v>
      </c>
      <c r="F4" s="50" t="s">
        <v>22</v>
      </c>
      <c r="G4" s="1"/>
      <c r="H4" s="1"/>
      <c r="I4" s="1"/>
      <c r="J4" s="1"/>
    </row>
    <row r="5" spans="2:10" ht="36" customHeight="1" thickTop="1">
      <c r="B5" s="163" t="s">
        <v>1</v>
      </c>
      <c r="C5" s="164"/>
      <c r="D5" s="91"/>
      <c r="E5" s="92"/>
      <c r="F5" s="93"/>
    </row>
    <row r="6" spans="2:10" ht="36" customHeight="1">
      <c r="B6" s="56"/>
      <c r="C6" s="57" t="s">
        <v>23</v>
      </c>
      <c r="D6" s="94">
        <v>1</v>
      </c>
      <c r="E6" s="95">
        <f>IF(B6=0,0,2)</f>
        <v>0</v>
      </c>
      <c r="F6" s="96">
        <f>IF($B6=0,0,$D$3*$B6)</f>
        <v>0</v>
      </c>
    </row>
    <row r="7" spans="2:10" ht="36" customHeight="1">
      <c r="B7" s="97"/>
      <c r="C7" s="98" t="s">
        <v>24</v>
      </c>
      <c r="D7" s="94">
        <v>1</v>
      </c>
      <c r="E7" s="95">
        <f>IF(B7=0,0,3)</f>
        <v>0</v>
      </c>
      <c r="F7" s="96">
        <f>IF($B7=0,0,$D$3*$B7)</f>
        <v>0</v>
      </c>
    </row>
    <row r="8" spans="2:10" ht="36" customHeight="1">
      <c r="B8" s="97">
        <v>1</v>
      </c>
      <c r="C8" s="98" t="s">
        <v>33</v>
      </c>
      <c r="D8" s="94">
        <v>1</v>
      </c>
      <c r="E8" s="95"/>
      <c r="F8" s="96">
        <f>IF($E8=0,0,50)</f>
        <v>0</v>
      </c>
    </row>
    <row r="9" spans="2:10" ht="36" customHeight="1">
      <c r="B9" s="97">
        <v>1</v>
      </c>
      <c r="C9" s="98" t="s">
        <v>27</v>
      </c>
      <c r="D9" s="94">
        <v>1</v>
      </c>
      <c r="E9" s="95"/>
      <c r="F9" s="96">
        <f>IF($E9=0,0,$D$3*$B9)</f>
        <v>0</v>
      </c>
    </row>
    <row r="10" spans="2:10" ht="36" customHeight="1" thickBot="1">
      <c r="B10" s="77">
        <v>1</v>
      </c>
      <c r="C10" s="78" t="s">
        <v>28</v>
      </c>
      <c r="D10" s="99">
        <v>1</v>
      </c>
      <c r="E10" s="100"/>
      <c r="F10" s="101">
        <f>IF($E10=0,0,$D$3*$B10)</f>
        <v>0</v>
      </c>
    </row>
    <row r="11" spans="2:10" ht="36" customHeight="1" thickTop="1">
      <c r="B11" s="64"/>
      <c r="C11" s="102"/>
      <c r="D11" s="103"/>
      <c r="E11" s="104">
        <f>ROUNDUP((D11/$D$2), 0)</f>
        <v>0</v>
      </c>
      <c r="F11" s="105">
        <f>IF($E11=0,0,$D$3*$D11/$E11)</f>
        <v>0</v>
      </c>
    </row>
    <row r="12" spans="2:10" ht="36" customHeight="1">
      <c r="B12" s="64"/>
      <c r="C12" s="102"/>
      <c r="D12" s="106"/>
      <c r="E12" s="104">
        <f t="shared" ref="E12:E79" si="0">ROUNDUP((D12/$D$2), 0)</f>
        <v>0</v>
      </c>
      <c r="F12" s="96">
        <f t="shared" ref="F12:F79" si="1">IF($E12=0,0,$D$3*$D12/$E12)</f>
        <v>0</v>
      </c>
    </row>
    <row r="13" spans="2:10" ht="36" customHeight="1">
      <c r="B13" s="64"/>
      <c r="C13" s="102"/>
      <c r="D13" s="106"/>
      <c r="E13" s="104">
        <f t="shared" si="0"/>
        <v>0</v>
      </c>
      <c r="F13" s="96">
        <f t="shared" si="1"/>
        <v>0</v>
      </c>
    </row>
    <row r="14" spans="2:10" ht="36" customHeight="1">
      <c r="B14" s="64"/>
      <c r="C14" s="102"/>
      <c r="D14" s="106"/>
      <c r="E14" s="104">
        <f t="shared" si="0"/>
        <v>0</v>
      </c>
      <c r="F14" s="96">
        <f t="shared" si="1"/>
        <v>0</v>
      </c>
    </row>
    <row r="15" spans="2:10" ht="36" customHeight="1">
      <c r="B15" s="64"/>
      <c r="C15" s="102"/>
      <c r="D15" s="106"/>
      <c r="E15" s="104">
        <f t="shared" si="0"/>
        <v>0</v>
      </c>
      <c r="F15" s="96">
        <f t="shared" si="1"/>
        <v>0</v>
      </c>
    </row>
    <row r="16" spans="2:10" ht="36" customHeight="1">
      <c r="B16" s="64"/>
      <c r="C16" s="102"/>
      <c r="D16" s="106"/>
      <c r="E16" s="104">
        <f t="shared" si="0"/>
        <v>0</v>
      </c>
      <c r="F16" s="96">
        <f t="shared" si="1"/>
        <v>0</v>
      </c>
    </row>
    <row r="17" spans="2:6" ht="36" customHeight="1">
      <c r="B17" s="64"/>
      <c r="C17" s="102"/>
      <c r="D17" s="106"/>
      <c r="E17" s="104">
        <f t="shared" si="0"/>
        <v>0</v>
      </c>
      <c r="F17" s="96">
        <f t="shared" si="1"/>
        <v>0</v>
      </c>
    </row>
    <row r="18" spans="2:6" ht="36" customHeight="1">
      <c r="B18" s="64"/>
      <c r="C18" s="102"/>
      <c r="D18" s="106"/>
      <c r="E18" s="104">
        <f t="shared" si="0"/>
        <v>0</v>
      </c>
      <c r="F18" s="96">
        <f t="shared" si="1"/>
        <v>0</v>
      </c>
    </row>
    <row r="19" spans="2:6" ht="36" customHeight="1">
      <c r="B19" s="64"/>
      <c r="C19" s="102"/>
      <c r="D19" s="106"/>
      <c r="E19" s="104">
        <f t="shared" si="0"/>
        <v>0</v>
      </c>
      <c r="F19" s="96">
        <f t="shared" si="1"/>
        <v>0</v>
      </c>
    </row>
    <row r="20" spans="2:6" ht="36" customHeight="1">
      <c r="B20" s="64"/>
      <c r="C20" s="102"/>
      <c r="D20" s="106"/>
      <c r="E20" s="104">
        <f t="shared" si="0"/>
        <v>0</v>
      </c>
      <c r="F20" s="96">
        <f t="shared" si="1"/>
        <v>0</v>
      </c>
    </row>
    <row r="21" spans="2:6" ht="36" customHeight="1">
      <c r="B21" s="64"/>
      <c r="C21" s="102"/>
      <c r="D21" s="106"/>
      <c r="E21" s="104">
        <f t="shared" si="0"/>
        <v>0</v>
      </c>
      <c r="F21" s="96">
        <f t="shared" si="1"/>
        <v>0</v>
      </c>
    </row>
    <row r="22" spans="2:6" ht="36" customHeight="1">
      <c r="B22" s="64"/>
      <c r="C22" s="102"/>
      <c r="D22" s="106"/>
      <c r="E22" s="104">
        <f t="shared" si="0"/>
        <v>0</v>
      </c>
      <c r="F22" s="96">
        <f t="shared" si="1"/>
        <v>0</v>
      </c>
    </row>
    <row r="23" spans="2:6" ht="36" hidden="1" customHeight="1">
      <c r="B23" s="64"/>
      <c r="C23" s="102"/>
      <c r="D23" s="106"/>
      <c r="E23" s="104">
        <f t="shared" si="0"/>
        <v>0</v>
      </c>
      <c r="F23" s="96">
        <f t="shared" si="1"/>
        <v>0</v>
      </c>
    </row>
    <row r="24" spans="2:6" ht="36" hidden="1" customHeight="1">
      <c r="B24" s="64"/>
      <c r="C24" s="102"/>
      <c r="D24" s="106"/>
      <c r="E24" s="104">
        <f t="shared" si="0"/>
        <v>0</v>
      </c>
      <c r="F24" s="96">
        <f t="shared" si="1"/>
        <v>0</v>
      </c>
    </row>
    <row r="25" spans="2:6" ht="36" hidden="1" customHeight="1">
      <c r="B25" s="64"/>
      <c r="C25" s="102"/>
      <c r="D25" s="106"/>
      <c r="E25" s="104">
        <f t="shared" si="0"/>
        <v>0</v>
      </c>
      <c r="F25" s="96">
        <f t="shared" si="1"/>
        <v>0</v>
      </c>
    </row>
    <row r="26" spans="2:6" ht="36" hidden="1" customHeight="1">
      <c r="B26" s="64"/>
      <c r="C26" s="102"/>
      <c r="D26" s="106"/>
      <c r="E26" s="104">
        <f t="shared" si="0"/>
        <v>0</v>
      </c>
      <c r="F26" s="96">
        <f t="shared" si="1"/>
        <v>0</v>
      </c>
    </row>
    <row r="27" spans="2:6" ht="36" hidden="1" customHeight="1">
      <c r="B27" s="64"/>
      <c r="C27" s="102"/>
      <c r="D27" s="106"/>
      <c r="E27" s="104">
        <f t="shared" si="0"/>
        <v>0</v>
      </c>
      <c r="F27" s="96">
        <f t="shared" si="1"/>
        <v>0</v>
      </c>
    </row>
    <row r="28" spans="2:6" ht="36" hidden="1" customHeight="1">
      <c r="B28" s="64"/>
      <c r="C28" s="102"/>
      <c r="D28" s="106"/>
      <c r="E28" s="104">
        <f t="shared" si="0"/>
        <v>0</v>
      </c>
      <c r="F28" s="96">
        <f t="shared" si="1"/>
        <v>0</v>
      </c>
    </row>
    <row r="29" spans="2:6" ht="36" hidden="1" customHeight="1">
      <c r="B29" s="64"/>
      <c r="C29" s="102"/>
      <c r="D29" s="106"/>
      <c r="E29" s="104">
        <f t="shared" si="0"/>
        <v>0</v>
      </c>
      <c r="F29" s="96">
        <f t="shared" si="1"/>
        <v>0</v>
      </c>
    </row>
    <row r="30" spans="2:6" ht="36" hidden="1" customHeight="1">
      <c r="B30" s="64"/>
      <c r="C30" s="102"/>
      <c r="D30" s="106"/>
      <c r="E30" s="104">
        <f t="shared" si="0"/>
        <v>0</v>
      </c>
      <c r="F30" s="96">
        <f t="shared" si="1"/>
        <v>0</v>
      </c>
    </row>
    <row r="31" spans="2:6" ht="36" hidden="1" customHeight="1">
      <c r="B31" s="64"/>
      <c r="C31" s="102"/>
      <c r="D31" s="106"/>
      <c r="E31" s="104">
        <f t="shared" si="0"/>
        <v>0</v>
      </c>
      <c r="F31" s="96">
        <f t="shared" si="1"/>
        <v>0</v>
      </c>
    </row>
    <row r="32" spans="2:6" ht="36" hidden="1" customHeight="1">
      <c r="B32" s="64"/>
      <c r="C32" s="102"/>
      <c r="D32" s="106"/>
      <c r="E32" s="104">
        <f t="shared" si="0"/>
        <v>0</v>
      </c>
      <c r="F32" s="96">
        <f t="shared" si="1"/>
        <v>0</v>
      </c>
    </row>
    <row r="33" spans="2:6" ht="36" hidden="1" customHeight="1">
      <c r="B33" s="64"/>
      <c r="C33" s="102"/>
      <c r="D33" s="106"/>
      <c r="E33" s="104">
        <f t="shared" si="0"/>
        <v>0</v>
      </c>
      <c r="F33" s="96">
        <f t="shared" si="1"/>
        <v>0</v>
      </c>
    </row>
    <row r="34" spans="2:6" ht="36" hidden="1" customHeight="1">
      <c r="B34" s="64"/>
      <c r="C34" s="102"/>
      <c r="D34" s="106"/>
      <c r="E34" s="104">
        <f t="shared" si="0"/>
        <v>0</v>
      </c>
      <c r="F34" s="96">
        <f t="shared" si="1"/>
        <v>0</v>
      </c>
    </row>
    <row r="35" spans="2:6" ht="36" hidden="1" customHeight="1">
      <c r="B35" s="64"/>
      <c r="C35" s="102"/>
      <c r="D35" s="106"/>
      <c r="E35" s="104">
        <f t="shared" si="0"/>
        <v>0</v>
      </c>
      <c r="F35" s="96">
        <f t="shared" si="1"/>
        <v>0</v>
      </c>
    </row>
    <row r="36" spans="2:6" ht="36" hidden="1" customHeight="1">
      <c r="B36" s="64"/>
      <c r="C36" s="102"/>
      <c r="D36" s="106"/>
      <c r="E36" s="104">
        <f t="shared" si="0"/>
        <v>0</v>
      </c>
      <c r="F36" s="96">
        <f t="shared" si="1"/>
        <v>0</v>
      </c>
    </row>
    <row r="37" spans="2:6" ht="36" hidden="1" customHeight="1">
      <c r="B37" s="64"/>
      <c r="C37" s="102"/>
      <c r="D37" s="106"/>
      <c r="E37" s="104">
        <f t="shared" si="0"/>
        <v>0</v>
      </c>
      <c r="F37" s="96">
        <f t="shared" si="1"/>
        <v>0</v>
      </c>
    </row>
    <row r="38" spans="2:6" ht="36" hidden="1" customHeight="1">
      <c r="B38" s="64"/>
      <c r="C38" s="102"/>
      <c r="D38" s="106"/>
      <c r="E38" s="104">
        <f t="shared" si="0"/>
        <v>0</v>
      </c>
      <c r="F38" s="96">
        <f t="shared" si="1"/>
        <v>0</v>
      </c>
    </row>
    <row r="39" spans="2:6" ht="36" hidden="1" customHeight="1">
      <c r="B39" s="64"/>
      <c r="C39" s="102"/>
      <c r="D39" s="106"/>
      <c r="E39" s="104">
        <f t="shared" si="0"/>
        <v>0</v>
      </c>
      <c r="F39" s="96">
        <f t="shared" si="1"/>
        <v>0</v>
      </c>
    </row>
    <row r="40" spans="2:6" ht="36" hidden="1" customHeight="1">
      <c r="B40" s="64"/>
      <c r="C40" s="102"/>
      <c r="D40" s="106"/>
      <c r="E40" s="104">
        <f t="shared" si="0"/>
        <v>0</v>
      </c>
      <c r="F40" s="96">
        <f t="shared" si="1"/>
        <v>0</v>
      </c>
    </row>
    <row r="41" spans="2:6" ht="36" hidden="1" customHeight="1">
      <c r="B41" s="64"/>
      <c r="C41" s="102"/>
      <c r="D41" s="106"/>
      <c r="E41" s="104">
        <f t="shared" si="0"/>
        <v>0</v>
      </c>
      <c r="F41" s="96">
        <f t="shared" si="1"/>
        <v>0</v>
      </c>
    </row>
    <row r="42" spans="2:6" ht="36" hidden="1" customHeight="1">
      <c r="B42" s="64"/>
      <c r="C42" s="102"/>
      <c r="D42" s="106"/>
      <c r="E42" s="104">
        <f t="shared" si="0"/>
        <v>0</v>
      </c>
      <c r="F42" s="96">
        <f t="shared" si="1"/>
        <v>0</v>
      </c>
    </row>
    <row r="43" spans="2:6" ht="36" hidden="1" customHeight="1">
      <c r="B43" s="64"/>
      <c r="C43" s="102"/>
      <c r="D43" s="106"/>
      <c r="E43" s="104">
        <f t="shared" si="0"/>
        <v>0</v>
      </c>
      <c r="F43" s="96">
        <f t="shared" si="1"/>
        <v>0</v>
      </c>
    </row>
    <row r="44" spans="2:6" ht="36" hidden="1" customHeight="1">
      <c r="B44" s="64"/>
      <c r="C44" s="102"/>
      <c r="D44" s="106"/>
      <c r="E44" s="104">
        <f t="shared" ref="E44:E63" si="2">ROUNDUP((D44/$D$2), 0)</f>
        <v>0</v>
      </c>
      <c r="F44" s="96">
        <f t="shared" si="1"/>
        <v>0</v>
      </c>
    </row>
    <row r="45" spans="2:6" ht="36" hidden="1" customHeight="1">
      <c r="B45" s="64"/>
      <c r="C45" s="102"/>
      <c r="D45" s="106"/>
      <c r="E45" s="104">
        <f t="shared" si="2"/>
        <v>0</v>
      </c>
      <c r="F45" s="96">
        <f t="shared" si="1"/>
        <v>0</v>
      </c>
    </row>
    <row r="46" spans="2:6" ht="36" hidden="1" customHeight="1">
      <c r="B46" s="64"/>
      <c r="C46" s="102"/>
      <c r="D46" s="106"/>
      <c r="E46" s="104">
        <f t="shared" si="2"/>
        <v>0</v>
      </c>
      <c r="F46" s="96">
        <f t="shared" si="1"/>
        <v>0</v>
      </c>
    </row>
    <row r="47" spans="2:6" ht="36" hidden="1" customHeight="1">
      <c r="B47" s="64"/>
      <c r="C47" s="102"/>
      <c r="D47" s="106"/>
      <c r="E47" s="104">
        <f t="shared" si="2"/>
        <v>0</v>
      </c>
      <c r="F47" s="96">
        <f t="shared" si="1"/>
        <v>0</v>
      </c>
    </row>
    <row r="48" spans="2:6" ht="36" hidden="1" customHeight="1">
      <c r="B48" s="64"/>
      <c r="C48" s="102"/>
      <c r="D48" s="106"/>
      <c r="E48" s="104">
        <f t="shared" si="2"/>
        <v>0</v>
      </c>
      <c r="F48" s="96">
        <f t="shared" si="1"/>
        <v>0</v>
      </c>
    </row>
    <row r="49" spans="2:6" ht="36" hidden="1" customHeight="1">
      <c r="B49" s="64"/>
      <c r="C49" s="102"/>
      <c r="D49" s="106"/>
      <c r="E49" s="104">
        <f t="shared" si="2"/>
        <v>0</v>
      </c>
      <c r="F49" s="96">
        <f t="shared" si="1"/>
        <v>0</v>
      </c>
    </row>
    <row r="50" spans="2:6" ht="36" hidden="1" customHeight="1">
      <c r="B50" s="64"/>
      <c r="C50" s="102"/>
      <c r="D50" s="106"/>
      <c r="E50" s="104">
        <f t="shared" si="2"/>
        <v>0</v>
      </c>
      <c r="F50" s="96">
        <f t="shared" si="1"/>
        <v>0</v>
      </c>
    </row>
    <row r="51" spans="2:6" ht="36" hidden="1" customHeight="1">
      <c r="B51" s="64"/>
      <c r="C51" s="102"/>
      <c r="D51" s="106"/>
      <c r="E51" s="104">
        <f t="shared" si="2"/>
        <v>0</v>
      </c>
      <c r="F51" s="96">
        <f t="shared" si="1"/>
        <v>0</v>
      </c>
    </row>
    <row r="52" spans="2:6" ht="36" hidden="1" customHeight="1">
      <c r="B52" s="64"/>
      <c r="C52" s="102"/>
      <c r="D52" s="106"/>
      <c r="E52" s="104">
        <f t="shared" si="2"/>
        <v>0</v>
      </c>
      <c r="F52" s="96">
        <f t="shared" si="1"/>
        <v>0</v>
      </c>
    </row>
    <row r="53" spans="2:6" ht="36" hidden="1" customHeight="1">
      <c r="B53" s="64"/>
      <c r="C53" s="102"/>
      <c r="D53" s="106"/>
      <c r="E53" s="104">
        <f t="shared" si="2"/>
        <v>0</v>
      </c>
      <c r="F53" s="96">
        <f t="shared" si="1"/>
        <v>0</v>
      </c>
    </row>
    <row r="54" spans="2:6" ht="36" hidden="1" customHeight="1">
      <c r="B54" s="64"/>
      <c r="C54" s="102"/>
      <c r="D54" s="106"/>
      <c r="E54" s="104">
        <f t="shared" si="2"/>
        <v>0</v>
      </c>
      <c r="F54" s="96">
        <f t="shared" si="1"/>
        <v>0</v>
      </c>
    </row>
    <row r="55" spans="2:6" ht="36" hidden="1" customHeight="1">
      <c r="B55" s="64"/>
      <c r="C55" s="102"/>
      <c r="D55" s="106"/>
      <c r="E55" s="104">
        <f t="shared" si="2"/>
        <v>0</v>
      </c>
      <c r="F55" s="96">
        <f t="shared" si="1"/>
        <v>0</v>
      </c>
    </row>
    <row r="56" spans="2:6" ht="36" hidden="1" customHeight="1">
      <c r="B56" s="64"/>
      <c r="C56" s="102"/>
      <c r="D56" s="106"/>
      <c r="E56" s="104">
        <f t="shared" si="2"/>
        <v>0</v>
      </c>
      <c r="F56" s="96">
        <f t="shared" si="1"/>
        <v>0</v>
      </c>
    </row>
    <row r="57" spans="2:6" ht="36" hidden="1" customHeight="1">
      <c r="B57" s="64"/>
      <c r="C57" s="102"/>
      <c r="D57" s="106"/>
      <c r="E57" s="104">
        <f t="shared" si="2"/>
        <v>0</v>
      </c>
      <c r="F57" s="96">
        <f t="shared" si="1"/>
        <v>0</v>
      </c>
    </row>
    <row r="58" spans="2:6" ht="36" hidden="1" customHeight="1">
      <c r="B58" s="64"/>
      <c r="C58" s="102"/>
      <c r="D58" s="106"/>
      <c r="E58" s="104">
        <f t="shared" si="2"/>
        <v>0</v>
      </c>
      <c r="F58" s="96">
        <f t="shared" si="1"/>
        <v>0</v>
      </c>
    </row>
    <row r="59" spans="2:6" ht="36" hidden="1" customHeight="1">
      <c r="B59" s="64"/>
      <c r="C59" s="102"/>
      <c r="D59" s="106"/>
      <c r="E59" s="104">
        <f t="shared" si="2"/>
        <v>0</v>
      </c>
      <c r="F59" s="96">
        <f t="shared" si="1"/>
        <v>0</v>
      </c>
    </row>
    <row r="60" spans="2:6" ht="36" hidden="1" customHeight="1">
      <c r="B60" s="64"/>
      <c r="C60" s="102"/>
      <c r="D60" s="106"/>
      <c r="E60" s="104">
        <f t="shared" si="2"/>
        <v>0</v>
      </c>
      <c r="F60" s="96">
        <f t="shared" si="1"/>
        <v>0</v>
      </c>
    </row>
    <row r="61" spans="2:6" ht="36" hidden="1" customHeight="1">
      <c r="B61" s="64"/>
      <c r="C61" s="102"/>
      <c r="D61" s="106"/>
      <c r="E61" s="104">
        <f t="shared" si="2"/>
        <v>0</v>
      </c>
      <c r="F61" s="96">
        <f t="shared" si="1"/>
        <v>0</v>
      </c>
    </row>
    <row r="62" spans="2:6" ht="36" hidden="1" customHeight="1">
      <c r="B62" s="64"/>
      <c r="C62" s="102"/>
      <c r="D62" s="106"/>
      <c r="E62" s="104">
        <f t="shared" si="2"/>
        <v>0</v>
      </c>
      <c r="F62" s="96">
        <f t="shared" si="1"/>
        <v>0</v>
      </c>
    </row>
    <row r="63" spans="2:6" ht="36" hidden="1" customHeight="1">
      <c r="B63" s="64"/>
      <c r="C63" s="102"/>
      <c r="D63" s="106"/>
      <c r="E63" s="104">
        <f t="shared" si="2"/>
        <v>0</v>
      </c>
      <c r="F63" s="96">
        <f t="shared" si="1"/>
        <v>0</v>
      </c>
    </row>
    <row r="64" spans="2:6" ht="36" hidden="1" customHeight="1">
      <c r="B64" s="64"/>
      <c r="C64" s="102"/>
      <c r="D64" s="106"/>
      <c r="E64" s="104">
        <f t="shared" si="0"/>
        <v>0</v>
      </c>
      <c r="F64" s="96">
        <f t="shared" si="1"/>
        <v>0</v>
      </c>
    </row>
    <row r="65" spans="2:10" ht="36" hidden="1" customHeight="1">
      <c r="B65" s="64"/>
      <c r="C65" s="102"/>
      <c r="D65" s="106"/>
      <c r="E65" s="104">
        <f t="shared" si="0"/>
        <v>0</v>
      </c>
      <c r="F65" s="96">
        <f t="shared" si="1"/>
        <v>0</v>
      </c>
    </row>
    <row r="66" spans="2:10" ht="36" hidden="1" customHeight="1">
      <c r="B66" s="64"/>
      <c r="C66" s="102"/>
      <c r="D66" s="106"/>
      <c r="E66" s="104">
        <f t="shared" si="0"/>
        <v>0</v>
      </c>
      <c r="F66" s="96">
        <f t="shared" si="1"/>
        <v>0</v>
      </c>
    </row>
    <row r="67" spans="2:10" ht="36" hidden="1" customHeight="1">
      <c r="B67" s="64"/>
      <c r="C67" s="102"/>
      <c r="D67" s="106"/>
      <c r="E67" s="104">
        <f t="shared" si="0"/>
        <v>0</v>
      </c>
      <c r="F67" s="96">
        <f t="shared" si="1"/>
        <v>0</v>
      </c>
    </row>
    <row r="68" spans="2:10" ht="36" hidden="1" customHeight="1">
      <c r="B68" s="64"/>
      <c r="C68" s="102"/>
      <c r="D68" s="106"/>
      <c r="E68" s="104">
        <f t="shared" si="0"/>
        <v>0</v>
      </c>
      <c r="F68" s="96">
        <f t="shared" si="1"/>
        <v>0</v>
      </c>
    </row>
    <row r="69" spans="2:10" ht="36" hidden="1" customHeight="1">
      <c r="B69" s="64"/>
      <c r="C69" s="102"/>
      <c r="D69" s="106"/>
      <c r="E69" s="104">
        <f t="shared" si="0"/>
        <v>0</v>
      </c>
      <c r="F69" s="96">
        <f t="shared" si="1"/>
        <v>0</v>
      </c>
    </row>
    <row r="70" spans="2:10" ht="36" hidden="1" customHeight="1">
      <c r="B70" s="64"/>
      <c r="C70" s="102"/>
      <c r="D70" s="106"/>
      <c r="E70" s="104">
        <f t="shared" si="0"/>
        <v>0</v>
      </c>
      <c r="F70" s="96">
        <f t="shared" si="1"/>
        <v>0</v>
      </c>
    </row>
    <row r="71" spans="2:10" ht="36" hidden="1" customHeight="1">
      <c r="B71" s="64"/>
      <c r="C71" s="102"/>
      <c r="D71" s="106"/>
      <c r="E71" s="104">
        <f t="shared" si="0"/>
        <v>0</v>
      </c>
      <c r="F71" s="96">
        <f t="shared" si="1"/>
        <v>0</v>
      </c>
    </row>
    <row r="72" spans="2:10" ht="36" hidden="1" customHeight="1">
      <c r="B72" s="64"/>
      <c r="C72" s="102"/>
      <c r="D72" s="106"/>
      <c r="E72" s="104">
        <f t="shared" si="0"/>
        <v>0</v>
      </c>
      <c r="F72" s="96">
        <f t="shared" si="1"/>
        <v>0</v>
      </c>
    </row>
    <row r="73" spans="2:10" ht="36" hidden="1" customHeight="1">
      <c r="B73" s="64"/>
      <c r="C73" s="102"/>
      <c r="D73" s="106"/>
      <c r="E73" s="104">
        <f t="shared" si="0"/>
        <v>0</v>
      </c>
      <c r="F73" s="96">
        <f t="shared" si="1"/>
        <v>0</v>
      </c>
    </row>
    <row r="74" spans="2:10" ht="36" hidden="1" customHeight="1">
      <c r="B74" s="64"/>
      <c r="C74" s="102"/>
      <c r="D74" s="106"/>
      <c r="E74" s="104">
        <f t="shared" si="0"/>
        <v>0</v>
      </c>
      <c r="F74" s="96">
        <f t="shared" si="1"/>
        <v>0</v>
      </c>
    </row>
    <row r="75" spans="2:10" ht="36" hidden="1" customHeight="1">
      <c r="B75" s="64"/>
      <c r="C75" s="102"/>
      <c r="D75" s="106"/>
      <c r="E75" s="104">
        <f t="shared" si="0"/>
        <v>0</v>
      </c>
      <c r="F75" s="96">
        <f t="shared" si="1"/>
        <v>0</v>
      </c>
    </row>
    <row r="76" spans="2:10" ht="36" hidden="1" customHeight="1">
      <c r="B76" s="64"/>
      <c r="C76" s="102"/>
      <c r="D76" s="106"/>
      <c r="E76" s="104">
        <f t="shared" si="0"/>
        <v>0</v>
      </c>
      <c r="F76" s="96">
        <f t="shared" si="1"/>
        <v>0</v>
      </c>
    </row>
    <row r="77" spans="2:10" ht="36" hidden="1" customHeight="1">
      <c r="B77" s="64"/>
      <c r="C77" s="102"/>
      <c r="D77" s="106"/>
      <c r="E77" s="104">
        <f t="shared" si="0"/>
        <v>0</v>
      </c>
      <c r="F77" s="96">
        <f t="shared" si="1"/>
        <v>0</v>
      </c>
    </row>
    <row r="78" spans="2:10" ht="36" hidden="1" customHeight="1">
      <c r="B78" s="64"/>
      <c r="C78" s="102"/>
      <c r="D78" s="106"/>
      <c r="E78" s="104">
        <f t="shared" si="0"/>
        <v>0</v>
      </c>
      <c r="F78" s="96">
        <f t="shared" si="1"/>
        <v>0</v>
      </c>
    </row>
    <row r="79" spans="2:10" ht="36" hidden="1" customHeight="1" thickBot="1">
      <c r="B79" s="66"/>
      <c r="C79" s="107"/>
      <c r="D79" s="108"/>
      <c r="E79" s="109">
        <f t="shared" si="0"/>
        <v>0</v>
      </c>
      <c r="F79" s="110">
        <f t="shared" si="1"/>
        <v>0</v>
      </c>
    </row>
    <row r="80" spans="2:10" s="4" customFormat="1" ht="36" customHeight="1">
      <c r="B80" s="2"/>
      <c r="C80" s="2"/>
      <c r="D80" s="2">
        <f>SUM(D6:D79)</f>
        <v>5</v>
      </c>
      <c r="E80" s="1"/>
      <c r="F80" s="1"/>
      <c r="G80" s="1"/>
      <c r="H80" s="1"/>
      <c r="I80" s="1"/>
      <c r="J80" s="1"/>
    </row>
    <row r="81" spans="2:10" s="4" customFormat="1" ht="32.1" customHeight="1">
      <c r="B81" s="2"/>
      <c r="C81" s="2"/>
      <c r="D81" s="2"/>
      <c r="E81" s="1"/>
      <c r="F81" s="1"/>
      <c r="G81" s="1"/>
      <c r="H81" s="1"/>
      <c r="I81" s="1"/>
      <c r="J81" s="1"/>
    </row>
    <row r="82" spans="2:10" s="4" customFormat="1" ht="32.1" customHeight="1">
      <c r="B82" s="2"/>
      <c r="C82" s="2"/>
      <c r="D82" s="2"/>
      <c r="E82" s="1"/>
      <c r="F82" s="1"/>
      <c r="G82" s="1"/>
      <c r="H82" s="1"/>
      <c r="I82" s="1"/>
      <c r="J82" s="1"/>
    </row>
    <row r="83" spans="2:10" s="4" customFormat="1" ht="32.1" customHeight="1">
      <c r="B83" s="2"/>
      <c r="C83" s="2"/>
      <c r="D83" s="2"/>
      <c r="E83" s="1"/>
      <c r="F83" s="1"/>
      <c r="G83" s="1"/>
      <c r="H83" s="1"/>
      <c r="I83" s="1"/>
      <c r="J83" s="1"/>
    </row>
    <row r="84" spans="2:10" s="4" customFormat="1" ht="32.1" customHeight="1">
      <c r="B84" s="2"/>
      <c r="C84" s="2"/>
      <c r="D84" s="2"/>
      <c r="E84" s="1"/>
      <c r="F84" s="1"/>
      <c r="G84" s="1"/>
      <c r="H84" s="1"/>
      <c r="I84" s="1"/>
      <c r="J84" s="1"/>
    </row>
    <row r="85" spans="2:10" s="4" customFormat="1" ht="32.1" customHeight="1">
      <c r="B85" s="2"/>
      <c r="C85" s="2"/>
      <c r="D85" s="2"/>
      <c r="E85" s="1"/>
      <c r="F85" s="1"/>
      <c r="G85" s="1"/>
      <c r="H85" s="1"/>
      <c r="I85" s="1"/>
      <c r="J85" s="1"/>
    </row>
    <row r="86" spans="2:10" s="4" customFormat="1" ht="32.1" customHeight="1">
      <c r="B86" s="2"/>
      <c r="C86" s="2"/>
      <c r="D86" s="2"/>
      <c r="E86" s="1"/>
      <c r="F86" s="1"/>
      <c r="G86" s="1"/>
      <c r="H86" s="1"/>
      <c r="I86" s="1"/>
      <c r="J86" s="1"/>
    </row>
    <row r="87" spans="2:10" s="5" customFormat="1" ht="32.1" customHeight="1">
      <c r="B87" s="2"/>
      <c r="C87" s="2"/>
      <c r="D87" s="2"/>
      <c r="E87" s="1"/>
      <c r="F87" s="1"/>
      <c r="G87" s="1"/>
      <c r="H87" s="1"/>
      <c r="I87" s="1"/>
      <c r="J87" s="1"/>
    </row>
    <row r="88" spans="2:10" s="5" customFormat="1" ht="32.1" customHeight="1">
      <c r="B88" s="2"/>
      <c r="C88" s="2"/>
      <c r="D88" s="2"/>
      <c r="E88" s="1"/>
      <c r="F88" s="1"/>
      <c r="G88" s="1"/>
      <c r="H88" s="1"/>
      <c r="I88" s="1"/>
      <c r="J88" s="1"/>
    </row>
    <row r="89" spans="2:10" s="5" customFormat="1" ht="32.1" customHeight="1">
      <c r="B89" s="2"/>
      <c r="C89" s="2"/>
      <c r="D89" s="2"/>
      <c r="E89" s="1"/>
      <c r="F89" s="1"/>
      <c r="G89" s="1"/>
      <c r="H89" s="1"/>
      <c r="I89" s="1"/>
      <c r="J89" s="1"/>
    </row>
    <row r="90" spans="2:10" s="5" customFormat="1" ht="32.1" customHeight="1">
      <c r="B90" s="2"/>
      <c r="C90" s="2"/>
      <c r="D90" s="2"/>
      <c r="E90" s="1"/>
      <c r="F90" s="1"/>
      <c r="G90" s="1"/>
      <c r="H90" s="1"/>
      <c r="I90" s="1"/>
      <c r="J90" s="1"/>
    </row>
    <row r="91" spans="2:10" s="5" customFormat="1" ht="32.1" customHeight="1">
      <c r="B91" s="2"/>
      <c r="C91" s="2"/>
      <c r="D91" s="2"/>
      <c r="E91" s="1"/>
      <c r="F91" s="1"/>
      <c r="G91" s="1"/>
      <c r="H91" s="1"/>
      <c r="I91" s="1"/>
      <c r="J91" s="1"/>
    </row>
    <row r="92" spans="2:10" s="5" customFormat="1" ht="32.1" customHeight="1">
      <c r="B92" s="2"/>
      <c r="C92" s="2"/>
      <c r="D92" s="2"/>
      <c r="E92" s="1"/>
      <c r="F92" s="1"/>
      <c r="G92" s="1"/>
      <c r="H92" s="1"/>
      <c r="I92" s="1"/>
      <c r="J92" s="1"/>
    </row>
  </sheetData>
  <mergeCells count="3">
    <mergeCell ref="B5:C5"/>
    <mergeCell ref="B1:C1"/>
    <mergeCell ref="B3:C3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9D68-E419-4019-86CE-87DA7EDDD67F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165" t="s">
        <v>29</v>
      </c>
      <c r="C1" s="148"/>
      <c r="D1" s="40"/>
      <c r="E1" s="39"/>
      <c r="F1" s="39"/>
    </row>
    <row r="2" spans="2:10" ht="18.75" hidden="1" customHeight="1" thickBot="1">
      <c r="B2" s="15"/>
      <c r="C2" s="15"/>
      <c r="D2" s="15">
        <v>30</v>
      </c>
      <c r="E2" s="1" t="s">
        <v>20</v>
      </c>
    </row>
    <row r="3" spans="2:10" ht="50.1" customHeight="1" thickBot="1">
      <c r="B3" s="166"/>
      <c r="C3" s="167"/>
      <c r="D3" s="44"/>
      <c r="E3" s="125" t="s">
        <v>2</v>
      </c>
      <c r="F3" s="16"/>
    </row>
    <row r="4" spans="2:10" s="4" customFormat="1" ht="36" customHeight="1" thickBot="1">
      <c r="B4" s="12"/>
      <c r="C4" s="118"/>
      <c r="D4" s="48" t="s">
        <v>4</v>
      </c>
      <c r="E4" s="49" t="s">
        <v>21</v>
      </c>
      <c r="F4" s="50" t="s">
        <v>22</v>
      </c>
      <c r="G4" s="1"/>
      <c r="H4" s="1"/>
      <c r="I4" s="1"/>
      <c r="J4" s="1"/>
    </row>
    <row r="5" spans="2:10" ht="36" customHeight="1" thickTop="1">
      <c r="B5" s="168" t="s">
        <v>1</v>
      </c>
      <c r="C5" s="164"/>
      <c r="D5" s="91"/>
      <c r="E5" s="92"/>
      <c r="F5" s="93"/>
    </row>
    <row r="6" spans="2:10" ht="36" customHeight="1">
      <c r="B6" s="56"/>
      <c r="C6" s="57" t="s">
        <v>23</v>
      </c>
      <c r="D6" s="94">
        <v>1</v>
      </c>
      <c r="E6" s="95">
        <f>IF(B6=0,0,1)</f>
        <v>0</v>
      </c>
      <c r="F6" s="96">
        <f>IF($B6=0,0,$D$3*$B6)</f>
        <v>0</v>
      </c>
    </row>
    <row r="7" spans="2:10" ht="36" customHeight="1">
      <c r="B7" s="97"/>
      <c r="C7" s="98" t="s">
        <v>24</v>
      </c>
      <c r="D7" s="94">
        <v>1</v>
      </c>
      <c r="E7" s="95">
        <f>IF(B7=0,0,3)</f>
        <v>0</v>
      </c>
      <c r="F7" s="96">
        <f>IF($B7=0,0,$D$3*$B7)</f>
        <v>0</v>
      </c>
    </row>
    <row r="8" spans="2:10" ht="36" customHeight="1">
      <c r="B8" s="97">
        <v>1</v>
      </c>
      <c r="C8" s="98" t="s">
        <v>33</v>
      </c>
      <c r="D8" s="94">
        <v>1</v>
      </c>
      <c r="E8" s="95"/>
      <c r="F8" s="96">
        <f>IF($E8=0,0,50)</f>
        <v>0</v>
      </c>
    </row>
    <row r="9" spans="2:10" ht="36" customHeight="1">
      <c r="B9" s="97">
        <v>1</v>
      </c>
      <c r="C9" s="98" t="s">
        <v>27</v>
      </c>
      <c r="D9" s="94">
        <v>1</v>
      </c>
      <c r="E9" s="95"/>
      <c r="F9" s="96">
        <f>IF($E9=0,0,$D$3*$B9)</f>
        <v>0</v>
      </c>
    </row>
    <row r="10" spans="2:10" ht="36" customHeight="1" thickBot="1">
      <c r="B10" s="111">
        <v>1</v>
      </c>
      <c r="C10" s="112" t="s">
        <v>28</v>
      </c>
      <c r="D10" s="113">
        <v>1</v>
      </c>
      <c r="E10" s="114"/>
      <c r="F10" s="115">
        <f>IF($E10=0,0,$D$3*$E10)</f>
        <v>0</v>
      </c>
    </row>
    <row r="11" spans="2:10" ht="36" customHeight="1" thickTop="1">
      <c r="B11" s="64"/>
      <c r="C11" s="116" t="s">
        <v>32</v>
      </c>
      <c r="D11" s="169">
        <f>D6 + E8 + E9 + SUM(D12:D59)</f>
        <v>1</v>
      </c>
      <c r="E11" s="104"/>
      <c r="F11" s="105"/>
    </row>
    <row r="12" spans="2:10" ht="36" customHeight="1">
      <c r="B12" s="64"/>
      <c r="C12" s="102"/>
      <c r="D12" s="106"/>
      <c r="E12" s="104">
        <f t="shared" ref="E12:E59" si="0">ROUNDUP((D12/$D$2), 0)</f>
        <v>0</v>
      </c>
      <c r="F12" s="96">
        <f t="shared" ref="F12:F59" si="1">IF($E12=0,0,$D$3*$D12/$E12)</f>
        <v>0</v>
      </c>
    </row>
    <row r="13" spans="2:10" ht="36" customHeight="1">
      <c r="B13" s="64"/>
      <c r="C13" s="102"/>
      <c r="D13" s="106"/>
      <c r="E13" s="104">
        <f t="shared" si="0"/>
        <v>0</v>
      </c>
      <c r="F13" s="96">
        <f t="shared" si="1"/>
        <v>0</v>
      </c>
    </row>
    <row r="14" spans="2:10" ht="36" customHeight="1">
      <c r="B14" s="64"/>
      <c r="C14" s="102"/>
      <c r="D14" s="106"/>
      <c r="E14" s="104">
        <f t="shared" si="0"/>
        <v>0</v>
      </c>
      <c r="F14" s="96">
        <f t="shared" si="1"/>
        <v>0</v>
      </c>
    </row>
    <row r="15" spans="2:10" ht="36" customHeight="1">
      <c r="B15" s="64"/>
      <c r="C15" s="102"/>
      <c r="D15" s="106"/>
      <c r="E15" s="104">
        <f t="shared" si="0"/>
        <v>0</v>
      </c>
      <c r="F15" s="96">
        <f t="shared" si="1"/>
        <v>0</v>
      </c>
    </row>
    <row r="16" spans="2:10" ht="36" customHeight="1">
      <c r="B16" s="64"/>
      <c r="C16" s="102"/>
      <c r="D16" s="106"/>
      <c r="E16" s="104">
        <f t="shared" si="0"/>
        <v>0</v>
      </c>
      <c r="F16" s="96">
        <f t="shared" si="1"/>
        <v>0</v>
      </c>
    </row>
    <row r="17" spans="2:6" ht="36" customHeight="1">
      <c r="B17" s="64"/>
      <c r="C17" s="102"/>
      <c r="D17" s="106"/>
      <c r="E17" s="104">
        <f t="shared" si="0"/>
        <v>0</v>
      </c>
      <c r="F17" s="96">
        <f t="shared" si="1"/>
        <v>0</v>
      </c>
    </row>
    <row r="18" spans="2:6" ht="36" customHeight="1">
      <c r="B18" s="64"/>
      <c r="C18" s="102"/>
      <c r="D18" s="106"/>
      <c r="E18" s="104">
        <f t="shared" si="0"/>
        <v>0</v>
      </c>
      <c r="F18" s="96">
        <f t="shared" si="1"/>
        <v>0</v>
      </c>
    </row>
    <row r="19" spans="2:6" ht="36" customHeight="1">
      <c r="B19" s="64"/>
      <c r="C19" s="102"/>
      <c r="D19" s="106"/>
      <c r="E19" s="104">
        <f t="shared" si="0"/>
        <v>0</v>
      </c>
      <c r="F19" s="96">
        <f t="shared" si="1"/>
        <v>0</v>
      </c>
    </row>
    <row r="20" spans="2:6" ht="36" customHeight="1">
      <c r="B20" s="64"/>
      <c r="C20" s="102"/>
      <c r="D20" s="106"/>
      <c r="E20" s="104">
        <f t="shared" si="0"/>
        <v>0</v>
      </c>
      <c r="F20" s="96">
        <f t="shared" si="1"/>
        <v>0</v>
      </c>
    </row>
    <row r="21" spans="2:6" ht="36" customHeight="1">
      <c r="B21" s="64"/>
      <c r="C21" s="102"/>
      <c r="D21" s="106"/>
      <c r="E21" s="104">
        <f t="shared" si="0"/>
        <v>0</v>
      </c>
      <c r="F21" s="96">
        <f t="shared" si="1"/>
        <v>0</v>
      </c>
    </row>
    <row r="22" spans="2:6" ht="36" customHeight="1">
      <c r="B22" s="64"/>
      <c r="C22" s="102"/>
      <c r="D22" s="106"/>
      <c r="E22" s="104">
        <f t="shared" si="0"/>
        <v>0</v>
      </c>
      <c r="F22" s="96">
        <f t="shared" si="1"/>
        <v>0</v>
      </c>
    </row>
    <row r="23" spans="2:6" ht="36" hidden="1" customHeight="1">
      <c r="B23" s="64"/>
      <c r="C23" s="102"/>
      <c r="D23" s="106"/>
      <c r="E23" s="104">
        <f t="shared" si="0"/>
        <v>0</v>
      </c>
      <c r="F23" s="96">
        <f t="shared" si="1"/>
        <v>0</v>
      </c>
    </row>
    <row r="24" spans="2:6" ht="36" hidden="1" customHeight="1">
      <c r="B24" s="64"/>
      <c r="C24" s="102"/>
      <c r="D24" s="106"/>
      <c r="E24" s="104">
        <f t="shared" si="0"/>
        <v>0</v>
      </c>
      <c r="F24" s="96">
        <f t="shared" si="1"/>
        <v>0</v>
      </c>
    </row>
    <row r="25" spans="2:6" ht="36" hidden="1" customHeight="1">
      <c r="B25" s="64"/>
      <c r="C25" s="102"/>
      <c r="D25" s="106"/>
      <c r="E25" s="104">
        <f t="shared" si="0"/>
        <v>0</v>
      </c>
      <c r="F25" s="96">
        <f t="shared" si="1"/>
        <v>0</v>
      </c>
    </row>
    <row r="26" spans="2:6" ht="36" hidden="1" customHeight="1">
      <c r="B26" s="64"/>
      <c r="C26" s="102"/>
      <c r="D26" s="106"/>
      <c r="E26" s="104">
        <f t="shared" si="0"/>
        <v>0</v>
      </c>
      <c r="F26" s="96">
        <f t="shared" si="1"/>
        <v>0</v>
      </c>
    </row>
    <row r="27" spans="2:6" ht="36" hidden="1" customHeight="1">
      <c r="B27" s="64"/>
      <c r="C27" s="102"/>
      <c r="D27" s="106"/>
      <c r="E27" s="104">
        <f t="shared" si="0"/>
        <v>0</v>
      </c>
      <c r="F27" s="96">
        <f t="shared" si="1"/>
        <v>0</v>
      </c>
    </row>
    <row r="28" spans="2:6" ht="36" hidden="1" customHeight="1">
      <c r="B28" s="64"/>
      <c r="C28" s="102"/>
      <c r="D28" s="106"/>
      <c r="E28" s="104">
        <f t="shared" si="0"/>
        <v>0</v>
      </c>
      <c r="F28" s="96">
        <f t="shared" si="1"/>
        <v>0</v>
      </c>
    </row>
    <row r="29" spans="2:6" ht="36" hidden="1" customHeight="1">
      <c r="B29" s="64"/>
      <c r="C29" s="102"/>
      <c r="D29" s="106"/>
      <c r="E29" s="104">
        <f t="shared" si="0"/>
        <v>0</v>
      </c>
      <c r="F29" s="96">
        <f t="shared" si="1"/>
        <v>0</v>
      </c>
    </row>
    <row r="30" spans="2:6" ht="36" hidden="1" customHeight="1">
      <c r="B30" s="64"/>
      <c r="C30" s="102"/>
      <c r="D30" s="106"/>
      <c r="E30" s="104">
        <f t="shared" si="0"/>
        <v>0</v>
      </c>
      <c r="F30" s="96">
        <f t="shared" si="1"/>
        <v>0</v>
      </c>
    </row>
    <row r="31" spans="2:6" ht="36" hidden="1" customHeight="1">
      <c r="B31" s="64"/>
      <c r="C31" s="102"/>
      <c r="D31" s="106"/>
      <c r="E31" s="104">
        <f t="shared" si="0"/>
        <v>0</v>
      </c>
      <c r="F31" s="96">
        <f t="shared" si="1"/>
        <v>0</v>
      </c>
    </row>
    <row r="32" spans="2:6" ht="36" hidden="1" customHeight="1">
      <c r="B32" s="64"/>
      <c r="C32" s="102"/>
      <c r="D32" s="106"/>
      <c r="E32" s="104">
        <f t="shared" si="0"/>
        <v>0</v>
      </c>
      <c r="F32" s="96">
        <f t="shared" si="1"/>
        <v>0</v>
      </c>
    </row>
    <row r="33" spans="2:6" ht="36" hidden="1" customHeight="1">
      <c r="B33" s="64"/>
      <c r="C33" s="102"/>
      <c r="D33" s="106"/>
      <c r="E33" s="104">
        <f t="shared" si="0"/>
        <v>0</v>
      </c>
      <c r="F33" s="96">
        <f t="shared" si="1"/>
        <v>0</v>
      </c>
    </row>
    <row r="34" spans="2:6" ht="36" hidden="1" customHeight="1">
      <c r="B34" s="64"/>
      <c r="C34" s="102"/>
      <c r="D34" s="106"/>
      <c r="E34" s="104">
        <f t="shared" si="0"/>
        <v>0</v>
      </c>
      <c r="F34" s="96">
        <f t="shared" si="1"/>
        <v>0</v>
      </c>
    </row>
    <row r="35" spans="2:6" ht="36" hidden="1" customHeight="1">
      <c r="B35" s="64"/>
      <c r="C35" s="102"/>
      <c r="D35" s="106"/>
      <c r="E35" s="104">
        <f t="shared" si="0"/>
        <v>0</v>
      </c>
      <c r="F35" s="96">
        <f t="shared" si="1"/>
        <v>0</v>
      </c>
    </row>
    <row r="36" spans="2:6" ht="36" hidden="1" customHeight="1">
      <c r="B36" s="64"/>
      <c r="C36" s="102"/>
      <c r="D36" s="106"/>
      <c r="E36" s="104">
        <f t="shared" si="0"/>
        <v>0</v>
      </c>
      <c r="F36" s="96">
        <f t="shared" si="1"/>
        <v>0</v>
      </c>
    </row>
    <row r="37" spans="2:6" ht="36" hidden="1" customHeight="1">
      <c r="B37" s="64"/>
      <c r="C37" s="102"/>
      <c r="D37" s="106"/>
      <c r="E37" s="104">
        <f t="shared" si="0"/>
        <v>0</v>
      </c>
      <c r="F37" s="96">
        <f t="shared" si="1"/>
        <v>0</v>
      </c>
    </row>
    <row r="38" spans="2:6" ht="36" hidden="1" customHeight="1">
      <c r="B38" s="64"/>
      <c r="C38" s="102"/>
      <c r="D38" s="106"/>
      <c r="E38" s="104">
        <f t="shared" si="0"/>
        <v>0</v>
      </c>
      <c r="F38" s="96">
        <f t="shared" si="1"/>
        <v>0</v>
      </c>
    </row>
    <row r="39" spans="2:6" ht="36" hidden="1" customHeight="1">
      <c r="B39" s="64"/>
      <c r="C39" s="102"/>
      <c r="D39" s="106"/>
      <c r="E39" s="104">
        <f t="shared" si="0"/>
        <v>0</v>
      </c>
      <c r="F39" s="96">
        <f t="shared" si="1"/>
        <v>0</v>
      </c>
    </row>
    <row r="40" spans="2:6" ht="36" hidden="1" customHeight="1">
      <c r="B40" s="64"/>
      <c r="C40" s="102"/>
      <c r="D40" s="106"/>
      <c r="E40" s="104">
        <f t="shared" si="0"/>
        <v>0</v>
      </c>
      <c r="F40" s="96">
        <f t="shared" si="1"/>
        <v>0</v>
      </c>
    </row>
    <row r="41" spans="2:6" ht="36" hidden="1" customHeight="1">
      <c r="B41" s="64"/>
      <c r="C41" s="102"/>
      <c r="D41" s="106"/>
      <c r="E41" s="104">
        <f t="shared" si="0"/>
        <v>0</v>
      </c>
      <c r="F41" s="96">
        <f t="shared" si="1"/>
        <v>0</v>
      </c>
    </row>
    <row r="42" spans="2:6" ht="36" hidden="1" customHeight="1">
      <c r="B42" s="64"/>
      <c r="C42" s="102"/>
      <c r="D42" s="106"/>
      <c r="E42" s="104">
        <f t="shared" si="0"/>
        <v>0</v>
      </c>
      <c r="F42" s="96">
        <f t="shared" si="1"/>
        <v>0</v>
      </c>
    </row>
    <row r="43" spans="2:6" ht="36" hidden="1" customHeight="1">
      <c r="B43" s="64"/>
      <c r="C43" s="102"/>
      <c r="D43" s="106"/>
      <c r="E43" s="104">
        <f t="shared" si="0"/>
        <v>0</v>
      </c>
      <c r="F43" s="96">
        <f t="shared" si="1"/>
        <v>0</v>
      </c>
    </row>
    <row r="44" spans="2:6" ht="36" hidden="1" customHeight="1">
      <c r="B44" s="64"/>
      <c r="C44" s="102"/>
      <c r="D44" s="106"/>
      <c r="E44" s="104">
        <f t="shared" si="0"/>
        <v>0</v>
      </c>
      <c r="F44" s="96">
        <f t="shared" si="1"/>
        <v>0</v>
      </c>
    </row>
    <row r="45" spans="2:6" ht="36" hidden="1" customHeight="1">
      <c r="B45" s="64"/>
      <c r="C45" s="102"/>
      <c r="D45" s="106"/>
      <c r="E45" s="104">
        <f t="shared" si="0"/>
        <v>0</v>
      </c>
      <c r="F45" s="96">
        <f t="shared" si="1"/>
        <v>0</v>
      </c>
    </row>
    <row r="46" spans="2:6" ht="36" hidden="1" customHeight="1">
      <c r="B46" s="64"/>
      <c r="C46" s="102"/>
      <c r="D46" s="106"/>
      <c r="E46" s="104">
        <f t="shared" si="0"/>
        <v>0</v>
      </c>
      <c r="F46" s="96">
        <f t="shared" si="1"/>
        <v>0</v>
      </c>
    </row>
    <row r="47" spans="2:6" ht="36" hidden="1" customHeight="1">
      <c r="B47" s="64"/>
      <c r="C47" s="102"/>
      <c r="D47" s="106"/>
      <c r="E47" s="104">
        <f t="shared" si="0"/>
        <v>0</v>
      </c>
      <c r="F47" s="96">
        <f t="shared" si="1"/>
        <v>0</v>
      </c>
    </row>
    <row r="48" spans="2:6" ht="36" hidden="1" customHeight="1">
      <c r="B48" s="64"/>
      <c r="C48" s="102"/>
      <c r="D48" s="106"/>
      <c r="E48" s="104">
        <f t="shared" si="0"/>
        <v>0</v>
      </c>
      <c r="F48" s="96">
        <f t="shared" si="1"/>
        <v>0</v>
      </c>
    </row>
    <row r="49" spans="2:10" ht="36" hidden="1" customHeight="1">
      <c r="B49" s="64"/>
      <c r="C49" s="102"/>
      <c r="D49" s="106"/>
      <c r="E49" s="104">
        <f t="shared" si="0"/>
        <v>0</v>
      </c>
      <c r="F49" s="96">
        <f t="shared" si="1"/>
        <v>0</v>
      </c>
    </row>
    <row r="50" spans="2:10" ht="36" hidden="1" customHeight="1">
      <c r="B50" s="64"/>
      <c r="C50" s="102"/>
      <c r="D50" s="106"/>
      <c r="E50" s="104">
        <f t="shared" si="0"/>
        <v>0</v>
      </c>
      <c r="F50" s="96">
        <f t="shared" si="1"/>
        <v>0</v>
      </c>
    </row>
    <row r="51" spans="2:10" ht="36" hidden="1" customHeight="1">
      <c r="B51" s="64"/>
      <c r="C51" s="102"/>
      <c r="D51" s="106"/>
      <c r="E51" s="104">
        <f t="shared" si="0"/>
        <v>0</v>
      </c>
      <c r="F51" s="96">
        <f t="shared" si="1"/>
        <v>0</v>
      </c>
    </row>
    <row r="52" spans="2:10" ht="36" hidden="1" customHeight="1">
      <c r="B52" s="64"/>
      <c r="C52" s="102"/>
      <c r="D52" s="106"/>
      <c r="E52" s="104">
        <f t="shared" si="0"/>
        <v>0</v>
      </c>
      <c r="F52" s="96">
        <f t="shared" si="1"/>
        <v>0</v>
      </c>
    </row>
    <row r="53" spans="2:10" ht="36" hidden="1" customHeight="1">
      <c r="B53" s="64"/>
      <c r="C53" s="102"/>
      <c r="D53" s="106"/>
      <c r="E53" s="104">
        <f t="shared" si="0"/>
        <v>0</v>
      </c>
      <c r="F53" s="96">
        <f t="shared" si="1"/>
        <v>0</v>
      </c>
    </row>
    <row r="54" spans="2:10" ht="36" hidden="1" customHeight="1">
      <c r="B54" s="64"/>
      <c r="C54" s="102"/>
      <c r="D54" s="106"/>
      <c r="E54" s="104">
        <f t="shared" si="0"/>
        <v>0</v>
      </c>
      <c r="F54" s="96">
        <f t="shared" si="1"/>
        <v>0</v>
      </c>
    </row>
    <row r="55" spans="2:10" ht="36" hidden="1" customHeight="1">
      <c r="B55" s="64"/>
      <c r="C55" s="102"/>
      <c r="D55" s="106"/>
      <c r="E55" s="104">
        <f t="shared" si="0"/>
        <v>0</v>
      </c>
      <c r="F55" s="96">
        <f t="shared" si="1"/>
        <v>0</v>
      </c>
    </row>
    <row r="56" spans="2:10" ht="36" hidden="1" customHeight="1">
      <c r="B56" s="64"/>
      <c r="C56" s="102"/>
      <c r="D56" s="106"/>
      <c r="E56" s="104">
        <f t="shared" si="0"/>
        <v>0</v>
      </c>
      <c r="F56" s="96">
        <f t="shared" si="1"/>
        <v>0</v>
      </c>
    </row>
    <row r="57" spans="2:10" ht="36" hidden="1" customHeight="1">
      <c r="B57" s="64"/>
      <c r="C57" s="102"/>
      <c r="D57" s="106"/>
      <c r="E57" s="104">
        <f t="shared" si="0"/>
        <v>0</v>
      </c>
      <c r="F57" s="96">
        <f t="shared" si="1"/>
        <v>0</v>
      </c>
    </row>
    <row r="58" spans="2:10" ht="36" hidden="1" customHeight="1">
      <c r="B58" s="64"/>
      <c r="C58" s="102"/>
      <c r="D58" s="106"/>
      <c r="E58" s="104">
        <f t="shared" si="0"/>
        <v>0</v>
      </c>
      <c r="F58" s="96">
        <f t="shared" si="1"/>
        <v>0</v>
      </c>
    </row>
    <row r="59" spans="2:10" ht="36" customHeight="1" thickBot="1">
      <c r="B59" s="66"/>
      <c r="C59" s="107"/>
      <c r="D59" s="108"/>
      <c r="E59" s="109">
        <f t="shared" si="0"/>
        <v>0</v>
      </c>
      <c r="F59" s="110">
        <f t="shared" si="1"/>
        <v>0</v>
      </c>
    </row>
    <row r="60" spans="2:10" s="4" customFormat="1" ht="36" customHeight="1">
      <c r="B60" s="2"/>
      <c r="C60" s="2"/>
      <c r="D60" s="2"/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19C2-E78F-4AC3-BC1E-3C98A118F2AD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165" t="s">
        <v>30</v>
      </c>
      <c r="C1" s="148"/>
      <c r="D1" s="40"/>
      <c r="E1" s="39"/>
      <c r="F1" s="39"/>
    </row>
    <row r="2" spans="2:10" ht="18.75" hidden="1" customHeight="1" thickBot="1">
      <c r="B2" s="15"/>
      <c r="C2" s="15"/>
      <c r="D2" s="15">
        <v>30</v>
      </c>
      <c r="E2" s="1" t="s">
        <v>20</v>
      </c>
    </row>
    <row r="3" spans="2:10" ht="50.1" customHeight="1" thickBot="1">
      <c r="B3" s="166"/>
      <c r="C3" s="167"/>
      <c r="D3" s="44"/>
      <c r="E3" s="125" t="s">
        <v>2</v>
      </c>
      <c r="F3" s="16"/>
    </row>
    <row r="4" spans="2:10" s="4" customFormat="1" ht="36" customHeight="1" thickBot="1">
      <c r="B4" s="12"/>
      <c r="C4" s="13"/>
      <c r="D4" s="48" t="s">
        <v>4</v>
      </c>
      <c r="E4" s="49" t="s">
        <v>21</v>
      </c>
      <c r="F4" s="50" t="s">
        <v>22</v>
      </c>
      <c r="G4" s="1"/>
      <c r="H4" s="1"/>
      <c r="I4" s="1"/>
      <c r="J4" s="1"/>
    </row>
    <row r="5" spans="2:10" ht="36" customHeight="1" thickTop="1">
      <c r="B5" s="168" t="s">
        <v>1</v>
      </c>
      <c r="C5" s="164"/>
      <c r="D5" s="91"/>
      <c r="E5" s="92"/>
      <c r="F5" s="93"/>
    </row>
    <row r="6" spans="2:10" ht="36" customHeight="1">
      <c r="B6" s="56"/>
      <c r="C6" s="57" t="s">
        <v>23</v>
      </c>
      <c r="D6" s="94">
        <v>1</v>
      </c>
      <c r="E6" s="95">
        <f>IF(B6=0,0,1)</f>
        <v>0</v>
      </c>
      <c r="F6" s="96">
        <f>IF($B6=0,0,$D$3*$B6)</f>
        <v>0</v>
      </c>
    </row>
    <row r="7" spans="2:10" ht="36" customHeight="1">
      <c r="B7" s="97"/>
      <c r="C7" s="98" t="s">
        <v>24</v>
      </c>
      <c r="D7" s="94">
        <v>1</v>
      </c>
      <c r="E7" s="95">
        <f>IF(B7=0,0,3)</f>
        <v>0</v>
      </c>
      <c r="F7" s="96">
        <f>IF($B7=0,0,$D$3*$B7)</f>
        <v>0</v>
      </c>
    </row>
    <row r="8" spans="2:10" ht="36" customHeight="1">
      <c r="B8" s="97">
        <v>1</v>
      </c>
      <c r="C8" s="98" t="s">
        <v>33</v>
      </c>
      <c r="D8" s="94">
        <v>1</v>
      </c>
      <c r="E8" s="95"/>
      <c r="F8" s="96">
        <f>IF($E8=0,0,50)</f>
        <v>0</v>
      </c>
    </row>
    <row r="9" spans="2:10" ht="36" customHeight="1">
      <c r="B9" s="97">
        <v>1</v>
      </c>
      <c r="C9" s="98" t="s">
        <v>27</v>
      </c>
      <c r="D9" s="94">
        <v>1</v>
      </c>
      <c r="E9" s="95"/>
      <c r="F9" s="96">
        <f>IF($E9=0,0,$D$3*$B9)</f>
        <v>0</v>
      </c>
    </row>
    <row r="10" spans="2:10" ht="36" customHeight="1" thickBot="1">
      <c r="B10" s="111">
        <v>1</v>
      </c>
      <c r="C10" s="112" t="s">
        <v>28</v>
      </c>
      <c r="D10" s="113">
        <v>1</v>
      </c>
      <c r="E10" s="114"/>
      <c r="F10" s="115">
        <f>IF($E10=0,0,$D$3*$E10)</f>
        <v>0</v>
      </c>
    </row>
    <row r="11" spans="2:10" ht="36" customHeight="1" thickTop="1">
      <c r="B11" s="64"/>
      <c r="C11" s="116" t="s">
        <v>18</v>
      </c>
      <c r="D11" s="169">
        <f>D6 + E8 + E9 + SUM(D12:D59)</f>
        <v>1</v>
      </c>
      <c r="E11" s="104"/>
      <c r="F11" s="105"/>
    </row>
    <row r="12" spans="2:10" ht="36" customHeight="1">
      <c r="B12" s="64"/>
      <c r="C12" s="102"/>
      <c r="D12" s="106"/>
      <c r="E12" s="104">
        <f t="shared" ref="E12:E59" si="0">ROUNDUP((D12/$D$2), 0)</f>
        <v>0</v>
      </c>
      <c r="F12" s="96">
        <f t="shared" ref="F12:F59" si="1">IF($E12=0,0,$D$3*$D12/$E12)</f>
        <v>0</v>
      </c>
    </row>
    <row r="13" spans="2:10" ht="36" customHeight="1">
      <c r="B13" s="64"/>
      <c r="C13" s="102"/>
      <c r="D13" s="106"/>
      <c r="E13" s="104">
        <f t="shared" si="0"/>
        <v>0</v>
      </c>
      <c r="F13" s="96">
        <f t="shared" si="1"/>
        <v>0</v>
      </c>
    </row>
    <row r="14" spans="2:10" ht="36" customHeight="1">
      <c r="B14" s="64"/>
      <c r="C14" s="102"/>
      <c r="D14" s="106"/>
      <c r="E14" s="104">
        <f t="shared" si="0"/>
        <v>0</v>
      </c>
      <c r="F14" s="96">
        <f t="shared" si="1"/>
        <v>0</v>
      </c>
    </row>
    <row r="15" spans="2:10" ht="36" customHeight="1">
      <c r="B15" s="64"/>
      <c r="C15" s="102"/>
      <c r="D15" s="106"/>
      <c r="E15" s="104">
        <f t="shared" si="0"/>
        <v>0</v>
      </c>
      <c r="F15" s="96">
        <f t="shared" si="1"/>
        <v>0</v>
      </c>
    </row>
    <row r="16" spans="2:10" ht="36" customHeight="1">
      <c r="B16" s="64"/>
      <c r="C16" s="102"/>
      <c r="D16" s="106"/>
      <c r="E16" s="104">
        <f t="shared" si="0"/>
        <v>0</v>
      </c>
      <c r="F16" s="96">
        <f t="shared" si="1"/>
        <v>0</v>
      </c>
    </row>
    <row r="17" spans="2:6" ht="36" customHeight="1">
      <c r="B17" s="64"/>
      <c r="C17" s="102"/>
      <c r="D17" s="106"/>
      <c r="E17" s="104">
        <f t="shared" si="0"/>
        <v>0</v>
      </c>
      <c r="F17" s="96">
        <f t="shared" si="1"/>
        <v>0</v>
      </c>
    </row>
    <row r="18" spans="2:6" ht="36" customHeight="1">
      <c r="B18" s="64"/>
      <c r="C18" s="102"/>
      <c r="D18" s="106"/>
      <c r="E18" s="104">
        <f t="shared" si="0"/>
        <v>0</v>
      </c>
      <c r="F18" s="96">
        <f t="shared" si="1"/>
        <v>0</v>
      </c>
    </row>
    <row r="19" spans="2:6" ht="36" customHeight="1">
      <c r="B19" s="64"/>
      <c r="C19" s="102"/>
      <c r="D19" s="106"/>
      <c r="E19" s="104">
        <f t="shared" si="0"/>
        <v>0</v>
      </c>
      <c r="F19" s="96">
        <f t="shared" si="1"/>
        <v>0</v>
      </c>
    </row>
    <row r="20" spans="2:6" ht="36" customHeight="1">
      <c r="B20" s="64"/>
      <c r="C20" s="102"/>
      <c r="D20" s="106"/>
      <c r="E20" s="104">
        <f t="shared" si="0"/>
        <v>0</v>
      </c>
      <c r="F20" s="96">
        <f t="shared" si="1"/>
        <v>0</v>
      </c>
    </row>
    <row r="21" spans="2:6" ht="36" customHeight="1">
      <c r="B21" s="64"/>
      <c r="C21" s="102"/>
      <c r="D21" s="106"/>
      <c r="E21" s="104">
        <f t="shared" si="0"/>
        <v>0</v>
      </c>
      <c r="F21" s="96">
        <f t="shared" si="1"/>
        <v>0</v>
      </c>
    </row>
    <row r="22" spans="2:6" ht="36" customHeight="1">
      <c r="B22" s="64"/>
      <c r="C22" s="102"/>
      <c r="D22" s="106"/>
      <c r="E22" s="104">
        <f t="shared" si="0"/>
        <v>0</v>
      </c>
      <c r="F22" s="96">
        <f t="shared" si="1"/>
        <v>0</v>
      </c>
    </row>
    <row r="23" spans="2:6" ht="36" hidden="1" customHeight="1">
      <c r="B23" s="64"/>
      <c r="C23" s="102"/>
      <c r="D23" s="106"/>
      <c r="E23" s="104">
        <f t="shared" si="0"/>
        <v>0</v>
      </c>
      <c r="F23" s="96">
        <f t="shared" si="1"/>
        <v>0</v>
      </c>
    </row>
    <row r="24" spans="2:6" ht="36" hidden="1" customHeight="1">
      <c r="B24" s="64"/>
      <c r="C24" s="102"/>
      <c r="D24" s="106"/>
      <c r="E24" s="104">
        <f t="shared" si="0"/>
        <v>0</v>
      </c>
      <c r="F24" s="96">
        <f t="shared" si="1"/>
        <v>0</v>
      </c>
    </row>
    <row r="25" spans="2:6" ht="36" hidden="1" customHeight="1">
      <c r="B25" s="64"/>
      <c r="C25" s="102"/>
      <c r="D25" s="106"/>
      <c r="E25" s="104">
        <f t="shared" si="0"/>
        <v>0</v>
      </c>
      <c r="F25" s="96">
        <f t="shared" si="1"/>
        <v>0</v>
      </c>
    </row>
    <row r="26" spans="2:6" ht="36" hidden="1" customHeight="1">
      <c r="B26" s="64"/>
      <c r="C26" s="102"/>
      <c r="D26" s="106"/>
      <c r="E26" s="104">
        <f t="shared" si="0"/>
        <v>0</v>
      </c>
      <c r="F26" s="96">
        <f t="shared" si="1"/>
        <v>0</v>
      </c>
    </row>
    <row r="27" spans="2:6" ht="36" hidden="1" customHeight="1">
      <c r="B27" s="64"/>
      <c r="C27" s="102"/>
      <c r="D27" s="106"/>
      <c r="E27" s="104">
        <f t="shared" si="0"/>
        <v>0</v>
      </c>
      <c r="F27" s="96">
        <f t="shared" si="1"/>
        <v>0</v>
      </c>
    </row>
    <row r="28" spans="2:6" ht="36" hidden="1" customHeight="1">
      <c r="B28" s="64"/>
      <c r="C28" s="102"/>
      <c r="D28" s="106"/>
      <c r="E28" s="104">
        <f t="shared" si="0"/>
        <v>0</v>
      </c>
      <c r="F28" s="96">
        <f t="shared" si="1"/>
        <v>0</v>
      </c>
    </row>
    <row r="29" spans="2:6" ht="36" hidden="1" customHeight="1">
      <c r="B29" s="64"/>
      <c r="C29" s="102"/>
      <c r="D29" s="106"/>
      <c r="E29" s="104">
        <f t="shared" si="0"/>
        <v>0</v>
      </c>
      <c r="F29" s="96">
        <f t="shared" si="1"/>
        <v>0</v>
      </c>
    </row>
    <row r="30" spans="2:6" ht="36" hidden="1" customHeight="1">
      <c r="B30" s="64"/>
      <c r="C30" s="102"/>
      <c r="D30" s="106"/>
      <c r="E30" s="104">
        <f t="shared" si="0"/>
        <v>0</v>
      </c>
      <c r="F30" s="96">
        <f t="shared" si="1"/>
        <v>0</v>
      </c>
    </row>
    <row r="31" spans="2:6" ht="36" hidden="1" customHeight="1">
      <c r="B31" s="64"/>
      <c r="C31" s="102"/>
      <c r="D31" s="106"/>
      <c r="E31" s="104">
        <f t="shared" si="0"/>
        <v>0</v>
      </c>
      <c r="F31" s="96">
        <f t="shared" si="1"/>
        <v>0</v>
      </c>
    </row>
    <row r="32" spans="2:6" ht="36" hidden="1" customHeight="1">
      <c r="B32" s="64"/>
      <c r="C32" s="102"/>
      <c r="D32" s="106"/>
      <c r="E32" s="104">
        <f t="shared" si="0"/>
        <v>0</v>
      </c>
      <c r="F32" s="96">
        <f t="shared" si="1"/>
        <v>0</v>
      </c>
    </row>
    <row r="33" spans="2:6" ht="36" hidden="1" customHeight="1">
      <c r="B33" s="64"/>
      <c r="C33" s="102"/>
      <c r="D33" s="106"/>
      <c r="E33" s="104">
        <f t="shared" si="0"/>
        <v>0</v>
      </c>
      <c r="F33" s="96">
        <f t="shared" si="1"/>
        <v>0</v>
      </c>
    </row>
    <row r="34" spans="2:6" ht="36" hidden="1" customHeight="1">
      <c r="B34" s="64"/>
      <c r="C34" s="102"/>
      <c r="D34" s="106"/>
      <c r="E34" s="104">
        <f t="shared" si="0"/>
        <v>0</v>
      </c>
      <c r="F34" s="96">
        <f t="shared" si="1"/>
        <v>0</v>
      </c>
    </row>
    <row r="35" spans="2:6" ht="36" hidden="1" customHeight="1">
      <c r="B35" s="64"/>
      <c r="C35" s="102"/>
      <c r="D35" s="106"/>
      <c r="E35" s="104">
        <f t="shared" si="0"/>
        <v>0</v>
      </c>
      <c r="F35" s="96">
        <f t="shared" si="1"/>
        <v>0</v>
      </c>
    </row>
    <row r="36" spans="2:6" ht="36" hidden="1" customHeight="1">
      <c r="B36" s="64"/>
      <c r="C36" s="102"/>
      <c r="D36" s="106"/>
      <c r="E36" s="104">
        <f t="shared" si="0"/>
        <v>0</v>
      </c>
      <c r="F36" s="96">
        <f t="shared" si="1"/>
        <v>0</v>
      </c>
    </row>
    <row r="37" spans="2:6" ht="36" hidden="1" customHeight="1">
      <c r="B37" s="64"/>
      <c r="C37" s="102"/>
      <c r="D37" s="106"/>
      <c r="E37" s="104">
        <f t="shared" si="0"/>
        <v>0</v>
      </c>
      <c r="F37" s="96">
        <f t="shared" si="1"/>
        <v>0</v>
      </c>
    </row>
    <row r="38" spans="2:6" ht="36" hidden="1" customHeight="1">
      <c r="B38" s="64"/>
      <c r="C38" s="102"/>
      <c r="D38" s="106"/>
      <c r="E38" s="104">
        <f t="shared" si="0"/>
        <v>0</v>
      </c>
      <c r="F38" s="96">
        <f t="shared" si="1"/>
        <v>0</v>
      </c>
    </row>
    <row r="39" spans="2:6" ht="36" hidden="1" customHeight="1">
      <c r="B39" s="64"/>
      <c r="C39" s="102"/>
      <c r="D39" s="106"/>
      <c r="E39" s="104">
        <f t="shared" si="0"/>
        <v>0</v>
      </c>
      <c r="F39" s="96">
        <f t="shared" si="1"/>
        <v>0</v>
      </c>
    </row>
    <row r="40" spans="2:6" ht="36" hidden="1" customHeight="1">
      <c r="B40" s="64"/>
      <c r="C40" s="102"/>
      <c r="D40" s="106"/>
      <c r="E40" s="104">
        <f t="shared" si="0"/>
        <v>0</v>
      </c>
      <c r="F40" s="96">
        <f t="shared" si="1"/>
        <v>0</v>
      </c>
    </row>
    <row r="41" spans="2:6" ht="36" hidden="1" customHeight="1">
      <c r="B41" s="64"/>
      <c r="C41" s="102"/>
      <c r="D41" s="106"/>
      <c r="E41" s="104">
        <f t="shared" si="0"/>
        <v>0</v>
      </c>
      <c r="F41" s="96">
        <f t="shared" si="1"/>
        <v>0</v>
      </c>
    </row>
    <row r="42" spans="2:6" ht="36" hidden="1" customHeight="1">
      <c r="B42" s="64"/>
      <c r="C42" s="102"/>
      <c r="D42" s="106"/>
      <c r="E42" s="104">
        <f t="shared" si="0"/>
        <v>0</v>
      </c>
      <c r="F42" s="96">
        <f t="shared" si="1"/>
        <v>0</v>
      </c>
    </row>
    <row r="43" spans="2:6" ht="36" hidden="1" customHeight="1">
      <c r="B43" s="64"/>
      <c r="C43" s="102"/>
      <c r="D43" s="106"/>
      <c r="E43" s="104">
        <f t="shared" si="0"/>
        <v>0</v>
      </c>
      <c r="F43" s="96">
        <f t="shared" si="1"/>
        <v>0</v>
      </c>
    </row>
    <row r="44" spans="2:6" ht="36" hidden="1" customHeight="1">
      <c r="B44" s="64"/>
      <c r="C44" s="102"/>
      <c r="D44" s="106"/>
      <c r="E44" s="104">
        <f t="shared" si="0"/>
        <v>0</v>
      </c>
      <c r="F44" s="96">
        <f t="shared" si="1"/>
        <v>0</v>
      </c>
    </row>
    <row r="45" spans="2:6" ht="36" hidden="1" customHeight="1">
      <c r="B45" s="64"/>
      <c r="C45" s="102"/>
      <c r="D45" s="106"/>
      <c r="E45" s="104">
        <f t="shared" si="0"/>
        <v>0</v>
      </c>
      <c r="F45" s="96">
        <f t="shared" si="1"/>
        <v>0</v>
      </c>
    </row>
    <row r="46" spans="2:6" ht="36" hidden="1" customHeight="1">
      <c r="B46" s="64"/>
      <c r="C46" s="102"/>
      <c r="D46" s="106"/>
      <c r="E46" s="104">
        <f t="shared" si="0"/>
        <v>0</v>
      </c>
      <c r="F46" s="96">
        <f t="shared" si="1"/>
        <v>0</v>
      </c>
    </row>
    <row r="47" spans="2:6" ht="36" hidden="1" customHeight="1">
      <c r="B47" s="64"/>
      <c r="C47" s="102"/>
      <c r="D47" s="106"/>
      <c r="E47" s="104">
        <f t="shared" si="0"/>
        <v>0</v>
      </c>
      <c r="F47" s="96">
        <f t="shared" si="1"/>
        <v>0</v>
      </c>
    </row>
    <row r="48" spans="2:6" ht="36" hidden="1" customHeight="1">
      <c r="B48" s="64"/>
      <c r="C48" s="102"/>
      <c r="D48" s="106"/>
      <c r="E48" s="104">
        <f t="shared" si="0"/>
        <v>0</v>
      </c>
      <c r="F48" s="96">
        <f t="shared" si="1"/>
        <v>0</v>
      </c>
    </row>
    <row r="49" spans="2:10" ht="36" hidden="1" customHeight="1">
      <c r="B49" s="64"/>
      <c r="C49" s="102"/>
      <c r="D49" s="106"/>
      <c r="E49" s="104">
        <f t="shared" si="0"/>
        <v>0</v>
      </c>
      <c r="F49" s="96">
        <f t="shared" si="1"/>
        <v>0</v>
      </c>
    </row>
    <row r="50" spans="2:10" ht="36" hidden="1" customHeight="1">
      <c r="B50" s="64"/>
      <c r="C50" s="102"/>
      <c r="D50" s="106"/>
      <c r="E50" s="104">
        <f t="shared" si="0"/>
        <v>0</v>
      </c>
      <c r="F50" s="96">
        <f t="shared" si="1"/>
        <v>0</v>
      </c>
    </row>
    <row r="51" spans="2:10" ht="36" hidden="1" customHeight="1">
      <c r="B51" s="64"/>
      <c r="C51" s="102"/>
      <c r="D51" s="106"/>
      <c r="E51" s="104">
        <f t="shared" si="0"/>
        <v>0</v>
      </c>
      <c r="F51" s="96">
        <f t="shared" si="1"/>
        <v>0</v>
      </c>
    </row>
    <row r="52" spans="2:10" ht="36" hidden="1" customHeight="1">
      <c r="B52" s="64"/>
      <c r="C52" s="102"/>
      <c r="D52" s="106"/>
      <c r="E52" s="104">
        <f t="shared" si="0"/>
        <v>0</v>
      </c>
      <c r="F52" s="96">
        <f t="shared" si="1"/>
        <v>0</v>
      </c>
    </row>
    <row r="53" spans="2:10" ht="36" hidden="1" customHeight="1">
      <c r="B53" s="64"/>
      <c r="C53" s="102"/>
      <c r="D53" s="106"/>
      <c r="E53" s="104">
        <f t="shared" si="0"/>
        <v>0</v>
      </c>
      <c r="F53" s="96">
        <f t="shared" si="1"/>
        <v>0</v>
      </c>
    </row>
    <row r="54" spans="2:10" ht="36" hidden="1" customHeight="1">
      <c r="B54" s="64"/>
      <c r="C54" s="102"/>
      <c r="D54" s="106"/>
      <c r="E54" s="104">
        <f t="shared" si="0"/>
        <v>0</v>
      </c>
      <c r="F54" s="96">
        <f t="shared" si="1"/>
        <v>0</v>
      </c>
    </row>
    <row r="55" spans="2:10" ht="36" hidden="1" customHeight="1">
      <c r="B55" s="64"/>
      <c r="C55" s="102"/>
      <c r="D55" s="106"/>
      <c r="E55" s="104">
        <f t="shared" si="0"/>
        <v>0</v>
      </c>
      <c r="F55" s="96">
        <f t="shared" si="1"/>
        <v>0</v>
      </c>
    </row>
    <row r="56" spans="2:10" ht="36" hidden="1" customHeight="1">
      <c r="B56" s="64"/>
      <c r="C56" s="102"/>
      <c r="D56" s="106"/>
      <c r="E56" s="104">
        <f t="shared" si="0"/>
        <v>0</v>
      </c>
      <c r="F56" s="96">
        <f t="shared" si="1"/>
        <v>0</v>
      </c>
    </row>
    <row r="57" spans="2:10" ht="36" hidden="1" customHeight="1">
      <c r="B57" s="64"/>
      <c r="C57" s="102"/>
      <c r="D57" s="106"/>
      <c r="E57" s="104">
        <f t="shared" si="0"/>
        <v>0</v>
      </c>
      <c r="F57" s="96">
        <f t="shared" si="1"/>
        <v>0</v>
      </c>
    </row>
    <row r="58" spans="2:10" ht="36" hidden="1" customHeight="1">
      <c r="B58" s="64"/>
      <c r="C58" s="102"/>
      <c r="D58" s="106"/>
      <c r="E58" s="104">
        <f t="shared" si="0"/>
        <v>0</v>
      </c>
      <c r="F58" s="96">
        <f t="shared" si="1"/>
        <v>0</v>
      </c>
    </row>
    <row r="59" spans="2:10" ht="36" customHeight="1" thickBot="1">
      <c r="B59" s="66"/>
      <c r="C59" s="107"/>
      <c r="D59" s="108"/>
      <c r="E59" s="109">
        <f t="shared" si="0"/>
        <v>0</v>
      </c>
      <c r="F59" s="110">
        <f t="shared" si="1"/>
        <v>0</v>
      </c>
    </row>
    <row r="60" spans="2:10" s="4" customFormat="1" ht="36" customHeight="1">
      <c r="B60" s="2"/>
      <c r="C60" s="2"/>
      <c r="D60" s="2"/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AF93-7A7C-4CC2-88A3-DEB33F26C180}">
  <sheetPr>
    <pageSetUpPr fitToPage="1"/>
  </sheetPr>
  <dimension ref="B1:J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165" t="s">
        <v>31</v>
      </c>
      <c r="C1" s="148"/>
      <c r="D1" s="40"/>
      <c r="E1" s="39"/>
      <c r="F1" s="39"/>
    </row>
    <row r="2" spans="2:10" ht="18.75" hidden="1" customHeight="1" thickBot="1">
      <c r="B2" s="15"/>
      <c r="C2" s="15"/>
      <c r="D2" s="15">
        <v>30</v>
      </c>
      <c r="E2" s="1" t="s">
        <v>20</v>
      </c>
    </row>
    <row r="3" spans="2:10" ht="50.1" customHeight="1" thickBot="1">
      <c r="B3" s="166"/>
      <c r="C3" s="167"/>
      <c r="D3" s="44"/>
      <c r="E3" s="125" t="s">
        <v>2</v>
      </c>
      <c r="F3" s="16"/>
    </row>
    <row r="4" spans="2:10" s="4" customFormat="1" ht="36" customHeight="1" thickBot="1">
      <c r="B4" s="12"/>
      <c r="C4" s="118"/>
      <c r="D4" s="48" t="s">
        <v>4</v>
      </c>
      <c r="E4" s="49" t="s">
        <v>21</v>
      </c>
      <c r="F4" s="50" t="s">
        <v>22</v>
      </c>
      <c r="G4" s="1"/>
      <c r="H4" s="1"/>
      <c r="I4" s="1"/>
      <c r="J4" s="1"/>
    </row>
    <row r="5" spans="2:10" ht="36" customHeight="1" thickTop="1">
      <c r="B5" s="168" t="s">
        <v>1</v>
      </c>
      <c r="C5" s="164"/>
      <c r="D5" s="91"/>
      <c r="E5" s="92"/>
      <c r="F5" s="93"/>
    </row>
    <row r="6" spans="2:10" ht="36" customHeight="1">
      <c r="B6" s="56"/>
      <c r="C6" s="57" t="s">
        <v>23</v>
      </c>
      <c r="D6" s="94">
        <v>1</v>
      </c>
      <c r="E6" s="95">
        <f>IF(B6=0,0,1)</f>
        <v>0</v>
      </c>
      <c r="F6" s="96">
        <f>IF($B6=0,0,$D$3*$B6)</f>
        <v>0</v>
      </c>
    </row>
    <row r="7" spans="2:10" ht="36" customHeight="1">
      <c r="B7" s="97"/>
      <c r="C7" s="98" t="s">
        <v>24</v>
      </c>
      <c r="D7" s="94">
        <v>1</v>
      </c>
      <c r="E7" s="95">
        <f>IF(B7=0,0,3)</f>
        <v>0</v>
      </c>
      <c r="F7" s="96">
        <f>IF($B7=0,0,$D$3*$B7)</f>
        <v>0</v>
      </c>
    </row>
    <row r="8" spans="2:10" ht="36" customHeight="1">
      <c r="B8" s="97">
        <v>1</v>
      </c>
      <c r="C8" s="98" t="s">
        <v>33</v>
      </c>
      <c r="D8" s="94">
        <v>1</v>
      </c>
      <c r="E8" s="95"/>
      <c r="F8" s="96">
        <f>IF($E8=0,0,50)</f>
        <v>0</v>
      </c>
    </row>
    <row r="9" spans="2:10" ht="36" customHeight="1">
      <c r="B9" s="97">
        <v>1</v>
      </c>
      <c r="C9" s="98" t="s">
        <v>27</v>
      </c>
      <c r="D9" s="94">
        <v>1</v>
      </c>
      <c r="E9" s="95"/>
      <c r="F9" s="96">
        <f>IF($E9=0,0,$D$3*$B9)</f>
        <v>0</v>
      </c>
    </row>
    <row r="10" spans="2:10" ht="36" customHeight="1" thickBot="1">
      <c r="B10" s="111">
        <v>1</v>
      </c>
      <c r="C10" s="112" t="s">
        <v>28</v>
      </c>
      <c r="D10" s="113">
        <v>1</v>
      </c>
      <c r="E10" s="114"/>
      <c r="F10" s="115">
        <f>IF($E10=0,0,$D$3*$E10)</f>
        <v>0</v>
      </c>
    </row>
    <row r="11" spans="2:10" ht="36" customHeight="1" thickTop="1">
      <c r="B11" s="64"/>
      <c r="C11" s="116" t="s">
        <v>17</v>
      </c>
      <c r="D11" s="169">
        <f>D6 + E8 + E9 + SUM(D12:D59)</f>
        <v>1</v>
      </c>
      <c r="E11" s="104"/>
      <c r="F11" s="105"/>
    </row>
    <row r="12" spans="2:10" ht="36" customHeight="1">
      <c r="B12" s="64"/>
      <c r="C12" s="102"/>
      <c r="D12" s="106"/>
      <c r="E12" s="104">
        <f t="shared" ref="E12:E59" si="0">ROUNDUP((D12/$D$2), 0)</f>
        <v>0</v>
      </c>
      <c r="F12" s="96">
        <f t="shared" ref="F12:F59" si="1">IF($E12=0,0,$D$3*$D12/$E12)</f>
        <v>0</v>
      </c>
    </row>
    <row r="13" spans="2:10" ht="36" customHeight="1">
      <c r="B13" s="64"/>
      <c r="C13" s="102"/>
      <c r="D13" s="106"/>
      <c r="E13" s="104">
        <f t="shared" si="0"/>
        <v>0</v>
      </c>
      <c r="F13" s="96">
        <f t="shared" si="1"/>
        <v>0</v>
      </c>
    </row>
    <row r="14" spans="2:10" ht="36" customHeight="1">
      <c r="B14" s="64"/>
      <c r="C14" s="102"/>
      <c r="D14" s="106"/>
      <c r="E14" s="104">
        <f t="shared" si="0"/>
        <v>0</v>
      </c>
      <c r="F14" s="96">
        <f t="shared" si="1"/>
        <v>0</v>
      </c>
    </row>
    <row r="15" spans="2:10" ht="36" customHeight="1">
      <c r="B15" s="64"/>
      <c r="C15" s="102"/>
      <c r="D15" s="106"/>
      <c r="E15" s="104">
        <f t="shared" si="0"/>
        <v>0</v>
      </c>
      <c r="F15" s="96">
        <f t="shared" si="1"/>
        <v>0</v>
      </c>
    </row>
    <row r="16" spans="2:10" ht="36" customHeight="1">
      <c r="B16" s="64"/>
      <c r="C16" s="102"/>
      <c r="D16" s="106"/>
      <c r="E16" s="104">
        <f t="shared" si="0"/>
        <v>0</v>
      </c>
      <c r="F16" s="96">
        <f t="shared" si="1"/>
        <v>0</v>
      </c>
    </row>
    <row r="17" spans="2:6" ht="36" customHeight="1">
      <c r="B17" s="64"/>
      <c r="C17" s="102"/>
      <c r="D17" s="106"/>
      <c r="E17" s="104">
        <f t="shared" si="0"/>
        <v>0</v>
      </c>
      <c r="F17" s="96">
        <f t="shared" si="1"/>
        <v>0</v>
      </c>
    </row>
    <row r="18" spans="2:6" ht="36" customHeight="1">
      <c r="B18" s="64"/>
      <c r="C18" s="102"/>
      <c r="D18" s="106"/>
      <c r="E18" s="104">
        <f t="shared" si="0"/>
        <v>0</v>
      </c>
      <c r="F18" s="96">
        <f t="shared" si="1"/>
        <v>0</v>
      </c>
    </row>
    <row r="19" spans="2:6" ht="36" customHeight="1">
      <c r="B19" s="64"/>
      <c r="C19" s="102"/>
      <c r="D19" s="106"/>
      <c r="E19" s="104">
        <f t="shared" si="0"/>
        <v>0</v>
      </c>
      <c r="F19" s="96">
        <f t="shared" si="1"/>
        <v>0</v>
      </c>
    </row>
    <row r="20" spans="2:6" ht="36" customHeight="1">
      <c r="B20" s="64"/>
      <c r="C20" s="102"/>
      <c r="D20" s="106"/>
      <c r="E20" s="104">
        <f t="shared" si="0"/>
        <v>0</v>
      </c>
      <c r="F20" s="96">
        <f t="shared" si="1"/>
        <v>0</v>
      </c>
    </row>
    <row r="21" spans="2:6" ht="36" customHeight="1">
      <c r="B21" s="64"/>
      <c r="C21" s="102"/>
      <c r="D21" s="106"/>
      <c r="E21" s="104">
        <f t="shared" si="0"/>
        <v>0</v>
      </c>
      <c r="F21" s="96">
        <f t="shared" si="1"/>
        <v>0</v>
      </c>
    </row>
    <row r="22" spans="2:6" ht="36" customHeight="1">
      <c r="B22" s="64"/>
      <c r="C22" s="102"/>
      <c r="D22" s="106"/>
      <c r="E22" s="104">
        <f t="shared" si="0"/>
        <v>0</v>
      </c>
      <c r="F22" s="96">
        <f t="shared" si="1"/>
        <v>0</v>
      </c>
    </row>
    <row r="23" spans="2:6" ht="36" hidden="1" customHeight="1">
      <c r="B23" s="64"/>
      <c r="C23" s="102"/>
      <c r="D23" s="106"/>
      <c r="E23" s="104">
        <f t="shared" si="0"/>
        <v>0</v>
      </c>
      <c r="F23" s="96">
        <f t="shared" si="1"/>
        <v>0</v>
      </c>
    </row>
    <row r="24" spans="2:6" ht="36" hidden="1" customHeight="1">
      <c r="B24" s="64"/>
      <c r="C24" s="102"/>
      <c r="D24" s="106"/>
      <c r="E24" s="104">
        <f t="shared" si="0"/>
        <v>0</v>
      </c>
      <c r="F24" s="96">
        <f t="shared" si="1"/>
        <v>0</v>
      </c>
    </row>
    <row r="25" spans="2:6" ht="36" hidden="1" customHeight="1">
      <c r="B25" s="64"/>
      <c r="C25" s="102"/>
      <c r="D25" s="106"/>
      <c r="E25" s="104">
        <f t="shared" si="0"/>
        <v>0</v>
      </c>
      <c r="F25" s="96">
        <f t="shared" si="1"/>
        <v>0</v>
      </c>
    </row>
    <row r="26" spans="2:6" ht="36" hidden="1" customHeight="1">
      <c r="B26" s="64"/>
      <c r="C26" s="102"/>
      <c r="D26" s="106"/>
      <c r="E26" s="104">
        <f t="shared" si="0"/>
        <v>0</v>
      </c>
      <c r="F26" s="96">
        <f t="shared" si="1"/>
        <v>0</v>
      </c>
    </row>
    <row r="27" spans="2:6" ht="36" hidden="1" customHeight="1">
      <c r="B27" s="64"/>
      <c r="C27" s="102"/>
      <c r="D27" s="106"/>
      <c r="E27" s="104">
        <f t="shared" si="0"/>
        <v>0</v>
      </c>
      <c r="F27" s="96">
        <f t="shared" si="1"/>
        <v>0</v>
      </c>
    </row>
    <row r="28" spans="2:6" ht="36" hidden="1" customHeight="1">
      <c r="B28" s="64"/>
      <c r="C28" s="102"/>
      <c r="D28" s="106"/>
      <c r="E28" s="104">
        <f t="shared" si="0"/>
        <v>0</v>
      </c>
      <c r="F28" s="96">
        <f t="shared" si="1"/>
        <v>0</v>
      </c>
    </row>
    <row r="29" spans="2:6" ht="36" hidden="1" customHeight="1">
      <c r="B29" s="64"/>
      <c r="C29" s="102"/>
      <c r="D29" s="106"/>
      <c r="E29" s="104">
        <f t="shared" si="0"/>
        <v>0</v>
      </c>
      <c r="F29" s="96">
        <f t="shared" si="1"/>
        <v>0</v>
      </c>
    </row>
    <row r="30" spans="2:6" ht="36" hidden="1" customHeight="1">
      <c r="B30" s="64"/>
      <c r="C30" s="102"/>
      <c r="D30" s="106"/>
      <c r="E30" s="104">
        <f t="shared" si="0"/>
        <v>0</v>
      </c>
      <c r="F30" s="96">
        <f t="shared" si="1"/>
        <v>0</v>
      </c>
    </row>
    <row r="31" spans="2:6" ht="36" hidden="1" customHeight="1">
      <c r="B31" s="64"/>
      <c r="C31" s="102"/>
      <c r="D31" s="106"/>
      <c r="E31" s="104">
        <f t="shared" si="0"/>
        <v>0</v>
      </c>
      <c r="F31" s="96">
        <f t="shared" si="1"/>
        <v>0</v>
      </c>
    </row>
    <row r="32" spans="2:6" ht="36" hidden="1" customHeight="1">
      <c r="B32" s="64"/>
      <c r="C32" s="102"/>
      <c r="D32" s="106"/>
      <c r="E32" s="104">
        <f t="shared" si="0"/>
        <v>0</v>
      </c>
      <c r="F32" s="96">
        <f t="shared" si="1"/>
        <v>0</v>
      </c>
    </row>
    <row r="33" spans="2:6" ht="36" hidden="1" customHeight="1">
      <c r="B33" s="64"/>
      <c r="C33" s="102"/>
      <c r="D33" s="106"/>
      <c r="E33" s="104">
        <f t="shared" si="0"/>
        <v>0</v>
      </c>
      <c r="F33" s="96">
        <f t="shared" si="1"/>
        <v>0</v>
      </c>
    </row>
    <row r="34" spans="2:6" ht="36" hidden="1" customHeight="1">
      <c r="B34" s="64"/>
      <c r="C34" s="102"/>
      <c r="D34" s="106"/>
      <c r="E34" s="104">
        <f t="shared" si="0"/>
        <v>0</v>
      </c>
      <c r="F34" s="96">
        <f t="shared" si="1"/>
        <v>0</v>
      </c>
    </row>
    <row r="35" spans="2:6" ht="36" hidden="1" customHeight="1">
      <c r="B35" s="64"/>
      <c r="C35" s="102"/>
      <c r="D35" s="106"/>
      <c r="E35" s="104">
        <f t="shared" si="0"/>
        <v>0</v>
      </c>
      <c r="F35" s="96">
        <f t="shared" si="1"/>
        <v>0</v>
      </c>
    </row>
    <row r="36" spans="2:6" ht="36" hidden="1" customHeight="1">
      <c r="B36" s="64"/>
      <c r="C36" s="102"/>
      <c r="D36" s="106"/>
      <c r="E36" s="104">
        <f t="shared" si="0"/>
        <v>0</v>
      </c>
      <c r="F36" s="96">
        <f t="shared" si="1"/>
        <v>0</v>
      </c>
    </row>
    <row r="37" spans="2:6" ht="36" hidden="1" customHeight="1">
      <c r="B37" s="64"/>
      <c r="C37" s="102"/>
      <c r="D37" s="106"/>
      <c r="E37" s="104">
        <f t="shared" si="0"/>
        <v>0</v>
      </c>
      <c r="F37" s="96">
        <f t="shared" si="1"/>
        <v>0</v>
      </c>
    </row>
    <row r="38" spans="2:6" ht="36" hidden="1" customHeight="1">
      <c r="B38" s="64"/>
      <c r="C38" s="102"/>
      <c r="D38" s="106"/>
      <c r="E38" s="104">
        <f t="shared" si="0"/>
        <v>0</v>
      </c>
      <c r="F38" s="96">
        <f t="shared" si="1"/>
        <v>0</v>
      </c>
    </row>
    <row r="39" spans="2:6" ht="36" hidden="1" customHeight="1">
      <c r="B39" s="64"/>
      <c r="C39" s="102"/>
      <c r="D39" s="106"/>
      <c r="E39" s="104">
        <f t="shared" si="0"/>
        <v>0</v>
      </c>
      <c r="F39" s="96">
        <f t="shared" si="1"/>
        <v>0</v>
      </c>
    </row>
    <row r="40" spans="2:6" ht="36" hidden="1" customHeight="1">
      <c r="B40" s="64"/>
      <c r="C40" s="102"/>
      <c r="D40" s="106"/>
      <c r="E40" s="104">
        <f t="shared" si="0"/>
        <v>0</v>
      </c>
      <c r="F40" s="96">
        <f t="shared" si="1"/>
        <v>0</v>
      </c>
    </row>
    <row r="41" spans="2:6" ht="36" hidden="1" customHeight="1">
      <c r="B41" s="64"/>
      <c r="C41" s="102"/>
      <c r="D41" s="106"/>
      <c r="E41" s="104">
        <f t="shared" si="0"/>
        <v>0</v>
      </c>
      <c r="F41" s="96">
        <f t="shared" si="1"/>
        <v>0</v>
      </c>
    </row>
    <row r="42" spans="2:6" ht="36" hidden="1" customHeight="1">
      <c r="B42" s="64"/>
      <c r="C42" s="102"/>
      <c r="D42" s="106"/>
      <c r="E42" s="104">
        <f t="shared" si="0"/>
        <v>0</v>
      </c>
      <c r="F42" s="96">
        <f t="shared" si="1"/>
        <v>0</v>
      </c>
    </row>
    <row r="43" spans="2:6" ht="36" hidden="1" customHeight="1">
      <c r="B43" s="64"/>
      <c r="C43" s="102"/>
      <c r="D43" s="106"/>
      <c r="E43" s="104">
        <f t="shared" si="0"/>
        <v>0</v>
      </c>
      <c r="F43" s="96">
        <f t="shared" si="1"/>
        <v>0</v>
      </c>
    </row>
    <row r="44" spans="2:6" ht="36" hidden="1" customHeight="1">
      <c r="B44" s="64"/>
      <c r="C44" s="102"/>
      <c r="D44" s="106"/>
      <c r="E44" s="104">
        <f t="shared" si="0"/>
        <v>0</v>
      </c>
      <c r="F44" s="96">
        <f t="shared" si="1"/>
        <v>0</v>
      </c>
    </row>
    <row r="45" spans="2:6" ht="36" hidden="1" customHeight="1">
      <c r="B45" s="64"/>
      <c r="C45" s="102"/>
      <c r="D45" s="106"/>
      <c r="E45" s="104">
        <f t="shared" si="0"/>
        <v>0</v>
      </c>
      <c r="F45" s="96">
        <f t="shared" si="1"/>
        <v>0</v>
      </c>
    </row>
    <row r="46" spans="2:6" ht="36" hidden="1" customHeight="1">
      <c r="B46" s="64"/>
      <c r="C46" s="102"/>
      <c r="D46" s="106"/>
      <c r="E46" s="104">
        <f t="shared" si="0"/>
        <v>0</v>
      </c>
      <c r="F46" s="96">
        <f t="shared" si="1"/>
        <v>0</v>
      </c>
    </row>
    <row r="47" spans="2:6" ht="36" hidden="1" customHeight="1">
      <c r="B47" s="64"/>
      <c r="C47" s="102"/>
      <c r="D47" s="106"/>
      <c r="E47" s="104">
        <f t="shared" si="0"/>
        <v>0</v>
      </c>
      <c r="F47" s="96">
        <f t="shared" si="1"/>
        <v>0</v>
      </c>
    </row>
    <row r="48" spans="2:6" ht="36" hidden="1" customHeight="1">
      <c r="B48" s="64"/>
      <c r="C48" s="102"/>
      <c r="D48" s="106"/>
      <c r="E48" s="104">
        <f t="shared" si="0"/>
        <v>0</v>
      </c>
      <c r="F48" s="96">
        <f t="shared" si="1"/>
        <v>0</v>
      </c>
    </row>
    <row r="49" spans="2:10" ht="36" hidden="1" customHeight="1">
      <c r="B49" s="64"/>
      <c r="C49" s="102"/>
      <c r="D49" s="106"/>
      <c r="E49" s="104">
        <f t="shared" si="0"/>
        <v>0</v>
      </c>
      <c r="F49" s="96">
        <f t="shared" si="1"/>
        <v>0</v>
      </c>
    </row>
    <row r="50" spans="2:10" ht="36" hidden="1" customHeight="1">
      <c r="B50" s="64"/>
      <c r="C50" s="102"/>
      <c r="D50" s="106"/>
      <c r="E50" s="104">
        <f t="shared" si="0"/>
        <v>0</v>
      </c>
      <c r="F50" s="96">
        <f t="shared" si="1"/>
        <v>0</v>
      </c>
    </row>
    <row r="51" spans="2:10" ht="36" hidden="1" customHeight="1">
      <c r="B51" s="64"/>
      <c r="C51" s="102"/>
      <c r="D51" s="106"/>
      <c r="E51" s="104">
        <f t="shared" si="0"/>
        <v>0</v>
      </c>
      <c r="F51" s="96">
        <f t="shared" si="1"/>
        <v>0</v>
      </c>
    </row>
    <row r="52" spans="2:10" ht="36" hidden="1" customHeight="1">
      <c r="B52" s="64"/>
      <c r="C52" s="102"/>
      <c r="D52" s="106"/>
      <c r="E52" s="104">
        <f t="shared" si="0"/>
        <v>0</v>
      </c>
      <c r="F52" s="96">
        <f t="shared" si="1"/>
        <v>0</v>
      </c>
    </row>
    <row r="53" spans="2:10" ht="36" hidden="1" customHeight="1">
      <c r="B53" s="64"/>
      <c r="C53" s="102"/>
      <c r="D53" s="106"/>
      <c r="E53" s="104">
        <f t="shared" si="0"/>
        <v>0</v>
      </c>
      <c r="F53" s="96">
        <f t="shared" si="1"/>
        <v>0</v>
      </c>
    </row>
    <row r="54" spans="2:10" ht="36" hidden="1" customHeight="1">
      <c r="B54" s="64"/>
      <c r="C54" s="102"/>
      <c r="D54" s="106"/>
      <c r="E54" s="104">
        <f t="shared" si="0"/>
        <v>0</v>
      </c>
      <c r="F54" s="96">
        <f t="shared" si="1"/>
        <v>0</v>
      </c>
    </row>
    <row r="55" spans="2:10" ht="36" hidden="1" customHeight="1">
      <c r="B55" s="64"/>
      <c r="C55" s="102"/>
      <c r="D55" s="106"/>
      <c r="E55" s="104">
        <f t="shared" si="0"/>
        <v>0</v>
      </c>
      <c r="F55" s="96">
        <f t="shared" si="1"/>
        <v>0</v>
      </c>
    </row>
    <row r="56" spans="2:10" ht="36" hidden="1" customHeight="1">
      <c r="B56" s="64"/>
      <c r="C56" s="102"/>
      <c r="D56" s="106"/>
      <c r="E56" s="104">
        <f t="shared" si="0"/>
        <v>0</v>
      </c>
      <c r="F56" s="96">
        <f t="shared" si="1"/>
        <v>0</v>
      </c>
    </row>
    <row r="57" spans="2:10" ht="36" hidden="1" customHeight="1">
      <c r="B57" s="64"/>
      <c r="C57" s="102"/>
      <c r="D57" s="106"/>
      <c r="E57" s="104">
        <f t="shared" si="0"/>
        <v>0</v>
      </c>
      <c r="F57" s="96">
        <f t="shared" si="1"/>
        <v>0</v>
      </c>
    </row>
    <row r="58" spans="2:10" ht="36" hidden="1" customHeight="1">
      <c r="B58" s="64"/>
      <c r="C58" s="102"/>
      <c r="D58" s="106"/>
      <c r="E58" s="104">
        <f t="shared" si="0"/>
        <v>0</v>
      </c>
      <c r="F58" s="96">
        <f t="shared" si="1"/>
        <v>0</v>
      </c>
    </row>
    <row r="59" spans="2:10" ht="36" customHeight="1" thickBot="1">
      <c r="B59" s="66"/>
      <c r="C59" s="107"/>
      <c r="D59" s="108"/>
      <c r="E59" s="109">
        <f t="shared" si="0"/>
        <v>0</v>
      </c>
      <c r="F59" s="110">
        <f t="shared" si="1"/>
        <v>0</v>
      </c>
    </row>
    <row r="60" spans="2:10" s="4" customFormat="1" ht="36" hidden="1" customHeight="1">
      <c r="B60" s="2"/>
      <c r="C60" s="2"/>
      <c r="D60" s="2">
        <f>SUM(D6:D59)</f>
        <v>6</v>
      </c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1:C1"/>
    <mergeCell ref="B3:C3"/>
    <mergeCell ref="B5:C5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52DF-ECEB-4721-B175-2660E014A9C6}">
  <sheetPr>
    <pageSetUpPr fitToPage="1"/>
  </sheetPr>
  <dimension ref="B1:J72"/>
  <sheetViews>
    <sheetView showGridLines="0" view="pageBreakPreview" zoomScale="60" zoomScaleNormal="100" workbookViewId="0">
      <selection activeCell="F8" sqref="F8"/>
    </sheetView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1.6640625" style="3" customWidth="1"/>
    <col min="5" max="6" width="8.88671875" style="1" customWidth="1"/>
    <col min="7" max="10" width="7.6640625" style="1" customWidth="1"/>
    <col min="11" max="16384" width="13.109375" style="3"/>
  </cols>
  <sheetData>
    <row r="1" spans="2:10" ht="48" customHeight="1" thickBot="1">
      <c r="B1" s="165" t="s">
        <v>25</v>
      </c>
      <c r="C1" s="148"/>
      <c r="D1" s="39"/>
      <c r="E1" s="39"/>
      <c r="F1" s="39"/>
    </row>
    <row r="2" spans="2:10" ht="18.75" hidden="1" customHeight="1" thickBot="1">
      <c r="B2" s="15"/>
      <c r="C2" s="15"/>
      <c r="D2" s="15">
        <v>30</v>
      </c>
      <c r="E2" s="1" t="s">
        <v>20</v>
      </c>
    </row>
    <row r="3" spans="2:10" ht="50.1" customHeight="1" thickBot="1">
      <c r="B3" s="166"/>
      <c r="C3" s="167"/>
      <c r="D3" s="44"/>
      <c r="E3" s="125" t="s">
        <v>2</v>
      </c>
      <c r="F3" s="16"/>
    </row>
    <row r="4" spans="2:10" s="4" customFormat="1" ht="36" customHeight="1" thickBot="1">
      <c r="B4" s="17"/>
      <c r="C4" s="117" t="s">
        <v>25</v>
      </c>
      <c r="D4" s="51" t="s">
        <v>4</v>
      </c>
      <c r="E4" s="52" t="s">
        <v>21</v>
      </c>
      <c r="F4" s="53" t="s">
        <v>22</v>
      </c>
      <c r="G4" s="1"/>
      <c r="H4" s="1"/>
      <c r="I4" s="1"/>
      <c r="J4" s="1"/>
    </row>
    <row r="5" spans="2:10" ht="36" customHeight="1" thickTop="1">
      <c r="B5" s="163" t="s">
        <v>1</v>
      </c>
      <c r="C5" s="164"/>
      <c r="D5" s="91"/>
      <c r="E5" s="92"/>
      <c r="F5" s="93"/>
    </row>
    <row r="6" spans="2:10" ht="36" customHeight="1">
      <c r="B6" s="56"/>
      <c r="C6" s="57" t="s">
        <v>23</v>
      </c>
      <c r="D6" s="94">
        <v>1</v>
      </c>
      <c r="E6" s="95">
        <f>IF(B6=0,0,2)</f>
        <v>0</v>
      </c>
      <c r="F6" s="96">
        <f>IF($B6=0,0,$D$3*$B6)</f>
        <v>0</v>
      </c>
    </row>
    <row r="7" spans="2:10" ht="36" customHeight="1">
      <c r="B7" s="97"/>
      <c r="C7" s="98" t="s">
        <v>24</v>
      </c>
      <c r="D7" s="94">
        <v>1</v>
      </c>
      <c r="E7" s="95">
        <f>IF(B7=0,0,3)</f>
        <v>0</v>
      </c>
      <c r="F7" s="96">
        <f>IF($B7=0,0,$D$3*$B7)</f>
        <v>0</v>
      </c>
    </row>
    <row r="8" spans="2:10" ht="36" customHeight="1">
      <c r="B8" s="97">
        <v>1</v>
      </c>
      <c r="C8" s="98" t="s">
        <v>33</v>
      </c>
      <c r="D8" s="94">
        <v>1</v>
      </c>
      <c r="E8" s="95"/>
      <c r="F8" s="96">
        <f>IF($E8=0,0,$D$3*$B8)</f>
        <v>0</v>
      </c>
    </row>
    <row r="9" spans="2:10" ht="36" customHeight="1">
      <c r="B9" s="97">
        <v>1</v>
      </c>
      <c r="C9" s="98" t="s">
        <v>27</v>
      </c>
      <c r="D9" s="94">
        <v>1</v>
      </c>
      <c r="E9" s="95"/>
      <c r="F9" s="96">
        <f>IF($E9=0,0,$D$3*$B9)</f>
        <v>0</v>
      </c>
    </row>
    <row r="10" spans="2:10" ht="36" customHeight="1" thickBot="1">
      <c r="B10" s="77">
        <v>1</v>
      </c>
      <c r="C10" s="78" t="s">
        <v>28</v>
      </c>
      <c r="D10" s="99">
        <v>1</v>
      </c>
      <c r="E10" s="100"/>
      <c r="F10" s="101">
        <f>IF($E10=0,0,$D$3*$B10)</f>
        <v>0</v>
      </c>
    </row>
    <row r="11" spans="2:10" ht="36" customHeight="1" thickTop="1">
      <c r="B11" s="64"/>
      <c r="C11" s="102"/>
      <c r="D11" s="103"/>
      <c r="E11" s="104">
        <f>ROUNDUP((D11/$D$2), 0)</f>
        <v>0</v>
      </c>
      <c r="F11" s="105">
        <f>IF($E11=0,0,$D$3*$D11/$E11)</f>
        <v>0</v>
      </c>
    </row>
    <row r="12" spans="2:10" ht="36" customHeight="1">
      <c r="B12" s="64"/>
      <c r="C12" s="102"/>
      <c r="D12" s="106"/>
      <c r="E12" s="104">
        <f t="shared" ref="E12:E59" si="0">ROUNDUP((D12/$D$2), 0)</f>
        <v>0</v>
      </c>
      <c r="F12" s="96">
        <f t="shared" ref="F12:F59" si="1">IF($E12=0,0,$D$3*$D12/$E12)</f>
        <v>0</v>
      </c>
    </row>
    <row r="13" spans="2:10" ht="36" customHeight="1">
      <c r="B13" s="64"/>
      <c r="C13" s="102"/>
      <c r="D13" s="106"/>
      <c r="E13" s="104">
        <f t="shared" si="0"/>
        <v>0</v>
      </c>
      <c r="F13" s="96">
        <f t="shared" si="1"/>
        <v>0</v>
      </c>
    </row>
    <row r="14" spans="2:10" ht="36" customHeight="1">
      <c r="B14" s="64"/>
      <c r="C14" s="102"/>
      <c r="D14" s="106"/>
      <c r="E14" s="104">
        <f t="shared" si="0"/>
        <v>0</v>
      </c>
      <c r="F14" s="96">
        <f t="shared" si="1"/>
        <v>0</v>
      </c>
    </row>
    <row r="15" spans="2:10" ht="36" customHeight="1">
      <c r="B15" s="64"/>
      <c r="C15" s="102"/>
      <c r="D15" s="106"/>
      <c r="E15" s="104">
        <f t="shared" si="0"/>
        <v>0</v>
      </c>
      <c r="F15" s="96">
        <f t="shared" si="1"/>
        <v>0</v>
      </c>
    </row>
    <row r="16" spans="2:10" ht="36" customHeight="1">
      <c r="B16" s="64"/>
      <c r="C16" s="102"/>
      <c r="D16" s="106"/>
      <c r="E16" s="104">
        <f t="shared" si="0"/>
        <v>0</v>
      </c>
      <c r="F16" s="96">
        <f t="shared" si="1"/>
        <v>0</v>
      </c>
    </row>
    <row r="17" spans="2:6" ht="36" customHeight="1">
      <c r="B17" s="64"/>
      <c r="C17" s="102"/>
      <c r="D17" s="106"/>
      <c r="E17" s="104">
        <f t="shared" si="0"/>
        <v>0</v>
      </c>
      <c r="F17" s="96">
        <f t="shared" si="1"/>
        <v>0</v>
      </c>
    </row>
    <row r="18" spans="2:6" ht="36" customHeight="1">
      <c r="B18" s="64"/>
      <c r="C18" s="102"/>
      <c r="D18" s="106"/>
      <c r="E18" s="104">
        <f t="shared" si="0"/>
        <v>0</v>
      </c>
      <c r="F18" s="96">
        <f t="shared" si="1"/>
        <v>0</v>
      </c>
    </row>
    <row r="19" spans="2:6" ht="36" customHeight="1">
      <c r="B19" s="64"/>
      <c r="C19" s="102"/>
      <c r="D19" s="106"/>
      <c r="E19" s="104">
        <f t="shared" si="0"/>
        <v>0</v>
      </c>
      <c r="F19" s="96">
        <f t="shared" si="1"/>
        <v>0</v>
      </c>
    </row>
    <row r="20" spans="2:6" ht="36" customHeight="1">
      <c r="B20" s="64"/>
      <c r="C20" s="102"/>
      <c r="D20" s="106"/>
      <c r="E20" s="104">
        <f t="shared" si="0"/>
        <v>0</v>
      </c>
      <c r="F20" s="96">
        <f t="shared" si="1"/>
        <v>0</v>
      </c>
    </row>
    <row r="21" spans="2:6" ht="36" customHeight="1">
      <c r="B21" s="64"/>
      <c r="C21" s="102"/>
      <c r="D21" s="106"/>
      <c r="E21" s="104">
        <f t="shared" si="0"/>
        <v>0</v>
      </c>
      <c r="F21" s="96">
        <f t="shared" si="1"/>
        <v>0</v>
      </c>
    </row>
    <row r="22" spans="2:6" ht="36" hidden="1" customHeight="1">
      <c r="B22" s="64"/>
      <c r="C22" s="102"/>
      <c r="D22" s="106"/>
      <c r="E22" s="104">
        <f t="shared" si="0"/>
        <v>0</v>
      </c>
      <c r="F22" s="96">
        <f t="shared" si="1"/>
        <v>0</v>
      </c>
    </row>
    <row r="23" spans="2:6" ht="36" hidden="1" customHeight="1">
      <c r="B23" s="64"/>
      <c r="C23" s="102"/>
      <c r="D23" s="106"/>
      <c r="E23" s="104">
        <f t="shared" si="0"/>
        <v>0</v>
      </c>
      <c r="F23" s="96">
        <f t="shared" si="1"/>
        <v>0</v>
      </c>
    </row>
    <row r="24" spans="2:6" ht="36" hidden="1" customHeight="1">
      <c r="B24" s="64"/>
      <c r="C24" s="102"/>
      <c r="D24" s="106"/>
      <c r="E24" s="104">
        <f t="shared" si="0"/>
        <v>0</v>
      </c>
      <c r="F24" s="96">
        <f t="shared" si="1"/>
        <v>0</v>
      </c>
    </row>
    <row r="25" spans="2:6" ht="36" hidden="1" customHeight="1">
      <c r="B25" s="64"/>
      <c r="C25" s="102"/>
      <c r="D25" s="106"/>
      <c r="E25" s="104">
        <f t="shared" si="0"/>
        <v>0</v>
      </c>
      <c r="F25" s="96">
        <f t="shared" si="1"/>
        <v>0</v>
      </c>
    </row>
    <row r="26" spans="2:6" ht="36" hidden="1" customHeight="1">
      <c r="B26" s="64"/>
      <c r="C26" s="102"/>
      <c r="D26" s="106"/>
      <c r="E26" s="104">
        <f t="shared" si="0"/>
        <v>0</v>
      </c>
      <c r="F26" s="96">
        <f t="shared" si="1"/>
        <v>0</v>
      </c>
    </row>
    <row r="27" spans="2:6" ht="36" hidden="1" customHeight="1">
      <c r="B27" s="64"/>
      <c r="C27" s="102"/>
      <c r="D27" s="106"/>
      <c r="E27" s="104">
        <f t="shared" si="0"/>
        <v>0</v>
      </c>
      <c r="F27" s="96">
        <f t="shared" si="1"/>
        <v>0</v>
      </c>
    </row>
    <row r="28" spans="2:6" ht="36" hidden="1" customHeight="1">
      <c r="B28" s="64"/>
      <c r="C28" s="102"/>
      <c r="D28" s="106"/>
      <c r="E28" s="104">
        <f t="shared" si="0"/>
        <v>0</v>
      </c>
      <c r="F28" s="96">
        <f t="shared" si="1"/>
        <v>0</v>
      </c>
    </row>
    <row r="29" spans="2:6" ht="36" hidden="1" customHeight="1">
      <c r="B29" s="64"/>
      <c r="C29" s="102"/>
      <c r="D29" s="106"/>
      <c r="E29" s="104">
        <f t="shared" si="0"/>
        <v>0</v>
      </c>
      <c r="F29" s="96">
        <f t="shared" si="1"/>
        <v>0</v>
      </c>
    </row>
    <row r="30" spans="2:6" ht="36" hidden="1" customHeight="1">
      <c r="B30" s="64"/>
      <c r="C30" s="102"/>
      <c r="D30" s="106"/>
      <c r="E30" s="104">
        <f t="shared" si="0"/>
        <v>0</v>
      </c>
      <c r="F30" s="96">
        <f t="shared" si="1"/>
        <v>0</v>
      </c>
    </row>
    <row r="31" spans="2:6" ht="36" hidden="1" customHeight="1">
      <c r="B31" s="64"/>
      <c r="C31" s="102"/>
      <c r="D31" s="106"/>
      <c r="E31" s="104">
        <f t="shared" si="0"/>
        <v>0</v>
      </c>
      <c r="F31" s="96">
        <f t="shared" si="1"/>
        <v>0</v>
      </c>
    </row>
    <row r="32" spans="2:6" ht="36" hidden="1" customHeight="1">
      <c r="B32" s="64"/>
      <c r="C32" s="102"/>
      <c r="D32" s="106"/>
      <c r="E32" s="104">
        <f t="shared" si="0"/>
        <v>0</v>
      </c>
      <c r="F32" s="96">
        <f t="shared" si="1"/>
        <v>0</v>
      </c>
    </row>
    <row r="33" spans="2:6" ht="36" hidden="1" customHeight="1">
      <c r="B33" s="64"/>
      <c r="C33" s="102"/>
      <c r="D33" s="106"/>
      <c r="E33" s="104">
        <f t="shared" si="0"/>
        <v>0</v>
      </c>
      <c r="F33" s="96">
        <f t="shared" si="1"/>
        <v>0</v>
      </c>
    </row>
    <row r="34" spans="2:6" ht="36" hidden="1" customHeight="1">
      <c r="B34" s="64"/>
      <c r="C34" s="102"/>
      <c r="D34" s="106"/>
      <c r="E34" s="104">
        <f t="shared" si="0"/>
        <v>0</v>
      </c>
      <c r="F34" s="96">
        <f t="shared" si="1"/>
        <v>0</v>
      </c>
    </row>
    <row r="35" spans="2:6" ht="36" hidden="1" customHeight="1">
      <c r="B35" s="64"/>
      <c r="C35" s="102"/>
      <c r="D35" s="106"/>
      <c r="E35" s="104">
        <f t="shared" si="0"/>
        <v>0</v>
      </c>
      <c r="F35" s="96">
        <f t="shared" si="1"/>
        <v>0</v>
      </c>
    </row>
    <row r="36" spans="2:6" ht="36" hidden="1" customHeight="1">
      <c r="B36" s="64"/>
      <c r="C36" s="102"/>
      <c r="D36" s="106"/>
      <c r="E36" s="104">
        <f t="shared" si="0"/>
        <v>0</v>
      </c>
      <c r="F36" s="96">
        <f t="shared" si="1"/>
        <v>0</v>
      </c>
    </row>
    <row r="37" spans="2:6" ht="36" hidden="1" customHeight="1">
      <c r="B37" s="64"/>
      <c r="C37" s="102"/>
      <c r="D37" s="106"/>
      <c r="E37" s="104">
        <f t="shared" si="0"/>
        <v>0</v>
      </c>
      <c r="F37" s="96">
        <f t="shared" si="1"/>
        <v>0</v>
      </c>
    </row>
    <row r="38" spans="2:6" ht="36" hidden="1" customHeight="1">
      <c r="B38" s="64"/>
      <c r="C38" s="102"/>
      <c r="D38" s="106"/>
      <c r="E38" s="104">
        <f t="shared" si="0"/>
        <v>0</v>
      </c>
      <c r="F38" s="96">
        <f t="shared" si="1"/>
        <v>0</v>
      </c>
    </row>
    <row r="39" spans="2:6" ht="36" hidden="1" customHeight="1">
      <c r="B39" s="64"/>
      <c r="C39" s="102"/>
      <c r="D39" s="106"/>
      <c r="E39" s="104">
        <f t="shared" si="0"/>
        <v>0</v>
      </c>
      <c r="F39" s="96">
        <f t="shared" si="1"/>
        <v>0</v>
      </c>
    </row>
    <row r="40" spans="2:6" ht="36" hidden="1" customHeight="1">
      <c r="B40" s="64"/>
      <c r="C40" s="102"/>
      <c r="D40" s="106"/>
      <c r="E40" s="104">
        <f t="shared" si="0"/>
        <v>0</v>
      </c>
      <c r="F40" s="96">
        <f t="shared" si="1"/>
        <v>0</v>
      </c>
    </row>
    <row r="41" spans="2:6" ht="36" hidden="1" customHeight="1">
      <c r="B41" s="64"/>
      <c r="C41" s="102"/>
      <c r="D41" s="106"/>
      <c r="E41" s="104">
        <f t="shared" si="0"/>
        <v>0</v>
      </c>
      <c r="F41" s="96">
        <f t="shared" si="1"/>
        <v>0</v>
      </c>
    </row>
    <row r="42" spans="2:6" ht="36" hidden="1" customHeight="1">
      <c r="B42" s="64"/>
      <c r="C42" s="102"/>
      <c r="D42" s="106"/>
      <c r="E42" s="104">
        <f t="shared" si="0"/>
        <v>0</v>
      </c>
      <c r="F42" s="96">
        <f t="shared" si="1"/>
        <v>0</v>
      </c>
    </row>
    <row r="43" spans="2:6" ht="36" hidden="1" customHeight="1">
      <c r="B43" s="64"/>
      <c r="C43" s="102"/>
      <c r="D43" s="106"/>
      <c r="E43" s="104">
        <f t="shared" si="0"/>
        <v>0</v>
      </c>
      <c r="F43" s="96">
        <f t="shared" si="1"/>
        <v>0</v>
      </c>
    </row>
    <row r="44" spans="2:6" ht="36" hidden="1" customHeight="1">
      <c r="B44" s="64"/>
      <c r="C44" s="102"/>
      <c r="D44" s="106"/>
      <c r="E44" s="104">
        <f t="shared" si="0"/>
        <v>0</v>
      </c>
      <c r="F44" s="96">
        <f t="shared" si="1"/>
        <v>0</v>
      </c>
    </row>
    <row r="45" spans="2:6" ht="36" hidden="1" customHeight="1">
      <c r="B45" s="64"/>
      <c r="C45" s="102"/>
      <c r="D45" s="106"/>
      <c r="E45" s="104">
        <f t="shared" si="0"/>
        <v>0</v>
      </c>
      <c r="F45" s="96">
        <f t="shared" si="1"/>
        <v>0</v>
      </c>
    </row>
    <row r="46" spans="2:6" ht="36" hidden="1" customHeight="1">
      <c r="B46" s="64"/>
      <c r="C46" s="102"/>
      <c r="D46" s="106"/>
      <c r="E46" s="104">
        <f t="shared" si="0"/>
        <v>0</v>
      </c>
      <c r="F46" s="96">
        <f t="shared" si="1"/>
        <v>0</v>
      </c>
    </row>
    <row r="47" spans="2:6" ht="36" hidden="1" customHeight="1">
      <c r="B47" s="64"/>
      <c r="C47" s="102"/>
      <c r="D47" s="106"/>
      <c r="E47" s="104">
        <f t="shared" si="0"/>
        <v>0</v>
      </c>
      <c r="F47" s="96">
        <f t="shared" si="1"/>
        <v>0</v>
      </c>
    </row>
    <row r="48" spans="2:6" ht="36" hidden="1" customHeight="1">
      <c r="B48" s="64"/>
      <c r="C48" s="102"/>
      <c r="D48" s="106"/>
      <c r="E48" s="104">
        <f t="shared" si="0"/>
        <v>0</v>
      </c>
      <c r="F48" s="96">
        <f t="shared" si="1"/>
        <v>0</v>
      </c>
    </row>
    <row r="49" spans="2:10" ht="36" hidden="1" customHeight="1">
      <c r="B49" s="64"/>
      <c r="C49" s="102"/>
      <c r="D49" s="106"/>
      <c r="E49" s="104">
        <f t="shared" si="0"/>
        <v>0</v>
      </c>
      <c r="F49" s="96">
        <f t="shared" si="1"/>
        <v>0</v>
      </c>
    </row>
    <row r="50" spans="2:10" ht="36" hidden="1" customHeight="1">
      <c r="B50" s="64"/>
      <c r="C50" s="102"/>
      <c r="D50" s="106"/>
      <c r="E50" s="104">
        <f t="shared" si="0"/>
        <v>0</v>
      </c>
      <c r="F50" s="96">
        <f t="shared" si="1"/>
        <v>0</v>
      </c>
    </row>
    <row r="51" spans="2:10" ht="36" hidden="1" customHeight="1">
      <c r="B51" s="64"/>
      <c r="C51" s="102"/>
      <c r="D51" s="106"/>
      <c r="E51" s="104">
        <f t="shared" si="0"/>
        <v>0</v>
      </c>
      <c r="F51" s="96">
        <f t="shared" si="1"/>
        <v>0</v>
      </c>
    </row>
    <row r="52" spans="2:10" ht="36" hidden="1" customHeight="1">
      <c r="B52" s="64"/>
      <c r="C52" s="102"/>
      <c r="D52" s="106"/>
      <c r="E52" s="104">
        <f t="shared" si="0"/>
        <v>0</v>
      </c>
      <c r="F52" s="96">
        <f t="shared" si="1"/>
        <v>0</v>
      </c>
    </row>
    <row r="53" spans="2:10" ht="36" hidden="1" customHeight="1">
      <c r="B53" s="64"/>
      <c r="C53" s="102"/>
      <c r="D53" s="106"/>
      <c r="E53" s="104">
        <f t="shared" si="0"/>
        <v>0</v>
      </c>
      <c r="F53" s="96">
        <f t="shared" si="1"/>
        <v>0</v>
      </c>
    </row>
    <row r="54" spans="2:10" ht="36" hidden="1" customHeight="1">
      <c r="B54" s="64"/>
      <c r="C54" s="102"/>
      <c r="D54" s="106"/>
      <c r="E54" s="104">
        <f t="shared" si="0"/>
        <v>0</v>
      </c>
      <c r="F54" s="96">
        <f t="shared" si="1"/>
        <v>0</v>
      </c>
    </row>
    <row r="55" spans="2:10" ht="36" hidden="1" customHeight="1">
      <c r="B55" s="64"/>
      <c r="C55" s="102"/>
      <c r="D55" s="106"/>
      <c r="E55" s="104">
        <f t="shared" si="0"/>
        <v>0</v>
      </c>
      <c r="F55" s="96">
        <f t="shared" si="1"/>
        <v>0</v>
      </c>
    </row>
    <row r="56" spans="2:10" ht="36" hidden="1" customHeight="1">
      <c r="B56" s="64"/>
      <c r="C56" s="102"/>
      <c r="D56" s="106"/>
      <c r="E56" s="104">
        <f t="shared" si="0"/>
        <v>0</v>
      </c>
      <c r="F56" s="96">
        <f t="shared" si="1"/>
        <v>0</v>
      </c>
    </row>
    <row r="57" spans="2:10" ht="36" hidden="1" customHeight="1">
      <c r="B57" s="64"/>
      <c r="C57" s="102"/>
      <c r="D57" s="106"/>
      <c r="E57" s="104">
        <f t="shared" si="0"/>
        <v>0</v>
      </c>
      <c r="F57" s="96">
        <f t="shared" si="1"/>
        <v>0</v>
      </c>
    </row>
    <row r="58" spans="2:10" ht="36" hidden="1" customHeight="1">
      <c r="B58" s="64"/>
      <c r="C58" s="102"/>
      <c r="D58" s="106"/>
      <c r="E58" s="104">
        <f t="shared" si="0"/>
        <v>0</v>
      </c>
      <c r="F58" s="96">
        <f t="shared" si="1"/>
        <v>0</v>
      </c>
    </row>
    <row r="59" spans="2:10" ht="36" customHeight="1" thickBot="1">
      <c r="B59" s="66"/>
      <c r="C59" s="107"/>
      <c r="D59" s="108"/>
      <c r="E59" s="109">
        <f t="shared" si="0"/>
        <v>0</v>
      </c>
      <c r="F59" s="110">
        <f t="shared" si="1"/>
        <v>0</v>
      </c>
    </row>
    <row r="60" spans="2:10" s="4" customFormat="1" ht="36" customHeight="1">
      <c r="B60" s="2"/>
      <c r="C60" s="2"/>
      <c r="D60" s="2">
        <f>SUM(D6:D59)</f>
        <v>5</v>
      </c>
      <c r="E60" s="1"/>
      <c r="F60" s="1"/>
      <c r="G60" s="1"/>
      <c r="H60" s="1"/>
      <c r="I60" s="1"/>
      <c r="J60" s="1"/>
    </row>
    <row r="61" spans="2:10" s="4" customFormat="1" ht="32.1" customHeight="1">
      <c r="B61" s="2"/>
      <c r="C61" s="2"/>
      <c r="D61" s="2"/>
      <c r="E61" s="1"/>
      <c r="F61" s="1"/>
      <c r="G61" s="1"/>
      <c r="H61" s="1"/>
      <c r="I61" s="1"/>
      <c r="J61" s="1"/>
    </row>
    <row r="62" spans="2:10" s="4" customFormat="1" ht="32.1" customHeight="1">
      <c r="B62" s="2"/>
      <c r="C62" s="2"/>
      <c r="D62" s="2"/>
      <c r="E62" s="1"/>
      <c r="F62" s="1"/>
      <c r="G62" s="1"/>
      <c r="H62" s="1"/>
      <c r="I62" s="1"/>
      <c r="J62" s="1"/>
    </row>
    <row r="63" spans="2:10" s="4" customFormat="1" ht="32.1" customHeight="1">
      <c r="B63" s="2"/>
      <c r="C63" s="2"/>
      <c r="D63" s="2"/>
      <c r="E63" s="1"/>
      <c r="F63" s="1"/>
      <c r="G63" s="1"/>
      <c r="H63" s="1"/>
      <c r="I63" s="1"/>
      <c r="J63" s="1"/>
    </row>
    <row r="64" spans="2:10" s="4" customFormat="1" ht="32.1" customHeight="1">
      <c r="B64" s="2"/>
      <c r="C64" s="2"/>
      <c r="D64" s="2"/>
      <c r="E64" s="1"/>
      <c r="F64" s="1"/>
      <c r="G64" s="1"/>
      <c r="H64" s="1"/>
      <c r="I64" s="1"/>
      <c r="J64" s="1"/>
    </row>
    <row r="65" spans="2:10" s="4" customFormat="1" ht="32.1" customHeight="1">
      <c r="B65" s="2"/>
      <c r="C65" s="2"/>
      <c r="D65" s="2"/>
      <c r="E65" s="1"/>
      <c r="F65" s="1"/>
      <c r="G65" s="1"/>
      <c r="H65" s="1"/>
      <c r="I65" s="1"/>
      <c r="J65" s="1"/>
    </row>
    <row r="66" spans="2:10" s="4" customFormat="1" ht="32.1" customHeight="1">
      <c r="B66" s="2"/>
      <c r="C66" s="2"/>
      <c r="D66" s="2"/>
      <c r="E66" s="1"/>
      <c r="F66" s="1"/>
      <c r="G66" s="1"/>
      <c r="H66" s="1"/>
      <c r="I66" s="1"/>
      <c r="J66" s="1"/>
    </row>
    <row r="67" spans="2:10" s="5" customFormat="1" ht="32.1" customHeight="1">
      <c r="B67" s="2"/>
      <c r="C67" s="2"/>
      <c r="D67" s="2"/>
      <c r="E67" s="1"/>
      <c r="F67" s="1"/>
      <c r="G67" s="1"/>
      <c r="H67" s="1"/>
      <c r="I67" s="1"/>
      <c r="J67" s="1"/>
    </row>
    <row r="68" spans="2:10" s="5" customFormat="1" ht="32.1" customHeight="1">
      <c r="B68" s="2"/>
      <c r="C68" s="2"/>
      <c r="D68" s="2"/>
      <c r="E68" s="1"/>
      <c r="F68" s="1"/>
      <c r="G68" s="1"/>
      <c r="H68" s="1"/>
      <c r="I68" s="1"/>
      <c r="J68" s="1"/>
    </row>
    <row r="69" spans="2:10" s="5" customFormat="1" ht="32.1" customHeight="1">
      <c r="B69" s="2"/>
      <c r="C69" s="2"/>
      <c r="D69" s="2"/>
      <c r="E69" s="1"/>
      <c r="F69" s="1"/>
      <c r="G69" s="1"/>
      <c r="H69" s="1"/>
      <c r="I69" s="1"/>
      <c r="J69" s="1"/>
    </row>
    <row r="70" spans="2:10" s="5" customFormat="1" ht="32.1" customHeight="1">
      <c r="B70" s="2"/>
      <c r="C70" s="2"/>
      <c r="D70" s="2"/>
      <c r="E70" s="1"/>
      <c r="F70" s="1"/>
      <c r="G70" s="1"/>
      <c r="H70" s="1"/>
      <c r="I70" s="1"/>
      <c r="J70" s="1"/>
    </row>
    <row r="71" spans="2:10" s="5" customFormat="1" ht="32.1" customHeight="1">
      <c r="B71" s="2"/>
      <c r="C71" s="2"/>
      <c r="D71" s="2"/>
      <c r="E71" s="1"/>
      <c r="F71" s="1"/>
      <c r="G71" s="1"/>
      <c r="H71" s="1"/>
      <c r="I71" s="1"/>
      <c r="J71" s="1"/>
    </row>
    <row r="72" spans="2:10" s="5" customFormat="1" ht="32.1" customHeight="1">
      <c r="B72" s="2"/>
      <c r="C72" s="2"/>
      <c r="D72" s="2"/>
      <c r="E72" s="1"/>
      <c r="F72" s="1"/>
      <c r="G72" s="1"/>
      <c r="H72" s="1"/>
      <c r="I72" s="1"/>
      <c r="J72" s="1"/>
    </row>
  </sheetData>
  <mergeCells count="3">
    <mergeCell ref="B5:C5"/>
    <mergeCell ref="B1:C1"/>
    <mergeCell ref="B3:C3"/>
  </mergeCells>
  <phoneticPr fontId="3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具_常食</vt:lpstr>
      <vt:lpstr>具_薄味</vt:lpstr>
      <vt:lpstr>具_ソフト</vt:lpstr>
      <vt:lpstr>具_ミキサー</vt:lpstr>
      <vt:lpstr>具_ゼリー</vt:lpstr>
      <vt:lpstr>汁_常食</vt:lpstr>
      <vt:lpstr>汁_ソフト</vt:lpstr>
      <vt:lpstr>汁_ミキサー</vt:lpstr>
      <vt:lpstr>汁_ゼリー</vt:lpstr>
      <vt:lpstr>汁_薄味</vt:lpstr>
      <vt:lpstr>具_常食!Print_Area</vt:lpstr>
      <vt:lpstr>具_薄味!Print_Area</vt:lpstr>
      <vt:lpstr>具_ゼリー!Print_Titles</vt:lpstr>
      <vt:lpstr>具_ソフト!Print_Titles</vt:lpstr>
      <vt:lpstr>具_ミキサー!Print_Titles</vt:lpstr>
      <vt:lpstr>具_常食!Print_Titles</vt:lpstr>
      <vt:lpstr>具_薄味!Print_Titles</vt:lpstr>
      <vt:lpstr>汁_ゼリー!Print_Titles</vt:lpstr>
      <vt:lpstr>汁_ソフト!Print_Titles</vt:lpstr>
      <vt:lpstr>汁_ミキサー!Print_Titles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2022-10-06T06:06:02Z</cp:lastPrinted>
  <dcterms:created xsi:type="dcterms:W3CDTF">2022-04-09T08:43:38Z</dcterms:created>
  <dcterms:modified xsi:type="dcterms:W3CDTF">2023-08-18T01:18:38Z</dcterms:modified>
</cp:coreProperties>
</file>