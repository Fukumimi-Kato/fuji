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2A3C7ED7-6641-4C5C-94C2-277DCE44E593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常食" sheetId="3" r:id="rId1"/>
    <sheet name="薄味" sheetId="4" r:id="rId2"/>
    <sheet name="ソフト" sheetId="5" r:id="rId3"/>
    <sheet name="ソフト(液)" sheetId="8" r:id="rId4"/>
    <sheet name="ミキサー" sheetId="6" r:id="rId5"/>
    <sheet name="ミキサー(液)" sheetId="9" r:id="rId6"/>
    <sheet name="ゼリー" sheetId="7" r:id="rId7"/>
    <sheet name="ゼリー(液)" sheetId="10" r:id="rId8"/>
  </sheets>
  <definedNames>
    <definedName name="_xlnm.Print_Area" localSheetId="0">常食!$A$1:$L$155</definedName>
    <definedName name="_xlnm.Print_Area" localSheetId="1">薄味!$A$1:$L$58</definedName>
    <definedName name="_xlnm.Print_Titles" localSheetId="6">ゼリー!$1:$3</definedName>
    <definedName name="_xlnm.Print_Titles" localSheetId="7">'ゼリー(液)'!$1:$3</definedName>
    <definedName name="_xlnm.Print_Titles" localSheetId="2">ソフト!$1:$3</definedName>
    <definedName name="_xlnm.Print_Titles" localSheetId="3">'ソフト(液)'!$1:$3</definedName>
    <definedName name="_xlnm.Print_Titles" localSheetId="4">ミキサー!$1:$3</definedName>
    <definedName name="_xlnm.Print_Titles" localSheetId="5">'ミキサー(液)'!$1:$3</definedName>
    <definedName name="_xlnm.Print_Titles" localSheetId="0">常食!$1:$3</definedName>
    <definedName name="_xlnm.Print_Titles" localSheetId="1">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4" i="3" l="1"/>
  <c r="H154" i="3"/>
  <c r="F154" i="3"/>
  <c r="D154" i="3"/>
  <c r="E154" i="3" s="1"/>
  <c r="I153" i="3"/>
  <c r="H153" i="3"/>
  <c r="F153" i="3"/>
  <c r="D153" i="3"/>
  <c r="E153" i="3" s="1"/>
  <c r="I152" i="3"/>
  <c r="H152" i="3"/>
  <c r="F152" i="3"/>
  <c r="K152" i="3" s="1"/>
  <c r="E152" i="3"/>
  <c r="D152" i="3"/>
  <c r="I151" i="3"/>
  <c r="H151" i="3"/>
  <c r="F151" i="3"/>
  <c r="K151" i="3" s="1"/>
  <c r="D151" i="3"/>
  <c r="E151" i="3" s="1"/>
  <c r="I150" i="3"/>
  <c r="H150" i="3"/>
  <c r="F150" i="3"/>
  <c r="E150" i="3"/>
  <c r="K150" i="3" s="1"/>
  <c r="D150" i="3"/>
  <c r="I149" i="3"/>
  <c r="K149" i="3" s="1"/>
  <c r="H149" i="3"/>
  <c r="F149" i="3"/>
  <c r="D149" i="3"/>
  <c r="E149" i="3" s="1"/>
  <c r="I148" i="3"/>
  <c r="H148" i="3"/>
  <c r="F148" i="3"/>
  <c r="D148" i="3"/>
  <c r="E148" i="3" s="1"/>
  <c r="I147" i="3"/>
  <c r="H147" i="3"/>
  <c r="F147" i="3"/>
  <c r="K147" i="3" s="1"/>
  <c r="D147" i="3"/>
  <c r="E147" i="3" s="1"/>
  <c r="I146" i="3"/>
  <c r="H146" i="3"/>
  <c r="F146" i="3"/>
  <c r="D146" i="3"/>
  <c r="E146" i="3" s="1"/>
  <c r="K146" i="3" s="1"/>
  <c r="I145" i="3"/>
  <c r="H145" i="3"/>
  <c r="F145" i="3"/>
  <c r="D145" i="3"/>
  <c r="E145" i="3" s="1"/>
  <c r="I144" i="3"/>
  <c r="H144" i="3"/>
  <c r="F144" i="3"/>
  <c r="D144" i="3"/>
  <c r="E144" i="3" s="1"/>
  <c r="I143" i="3"/>
  <c r="H143" i="3"/>
  <c r="F143" i="3"/>
  <c r="K143" i="3" s="1"/>
  <c r="D143" i="3"/>
  <c r="E143" i="3" s="1"/>
  <c r="I142" i="3"/>
  <c r="H142" i="3"/>
  <c r="F142" i="3"/>
  <c r="D142" i="3"/>
  <c r="E142" i="3" s="1"/>
  <c r="K142" i="3" s="1"/>
  <c r="I141" i="3"/>
  <c r="K141" i="3" s="1"/>
  <c r="H141" i="3"/>
  <c r="F141" i="3"/>
  <c r="D141" i="3"/>
  <c r="E141" i="3" s="1"/>
  <c r="I140" i="3"/>
  <c r="H140" i="3"/>
  <c r="F140" i="3"/>
  <c r="D140" i="3"/>
  <c r="E140" i="3" s="1"/>
  <c r="I139" i="3"/>
  <c r="H139" i="3"/>
  <c r="F139" i="3"/>
  <c r="D139" i="3"/>
  <c r="E139" i="3" s="1"/>
  <c r="I138" i="3"/>
  <c r="H138" i="3"/>
  <c r="F138" i="3"/>
  <c r="D138" i="3"/>
  <c r="E138" i="3" s="1"/>
  <c r="K138" i="3" s="1"/>
  <c r="I137" i="3"/>
  <c r="H137" i="3"/>
  <c r="F137" i="3"/>
  <c r="D137" i="3"/>
  <c r="E137" i="3" s="1"/>
  <c r="I136" i="3"/>
  <c r="H136" i="3"/>
  <c r="F136" i="3"/>
  <c r="E136" i="3"/>
  <c r="D136" i="3"/>
  <c r="I135" i="3"/>
  <c r="H135" i="3"/>
  <c r="F135" i="3"/>
  <c r="D135" i="3"/>
  <c r="E135" i="3" s="1"/>
  <c r="I134" i="3"/>
  <c r="H134" i="3"/>
  <c r="F134" i="3"/>
  <c r="D134" i="3"/>
  <c r="E134" i="3" s="1"/>
  <c r="K134" i="3" s="1"/>
  <c r="I133" i="3"/>
  <c r="H133" i="3"/>
  <c r="F133" i="3"/>
  <c r="D133" i="3"/>
  <c r="E133" i="3" s="1"/>
  <c r="I132" i="3"/>
  <c r="H132" i="3"/>
  <c r="F132" i="3"/>
  <c r="E132" i="3"/>
  <c r="D132" i="3"/>
  <c r="I131" i="3"/>
  <c r="H131" i="3"/>
  <c r="F131" i="3"/>
  <c r="D131" i="3"/>
  <c r="E131" i="3" s="1"/>
  <c r="I130" i="3"/>
  <c r="H130" i="3"/>
  <c r="F130" i="3"/>
  <c r="D130" i="3"/>
  <c r="E130" i="3" s="1"/>
  <c r="K130" i="3" s="1"/>
  <c r="I129" i="3"/>
  <c r="H129" i="3"/>
  <c r="F129" i="3"/>
  <c r="D129" i="3"/>
  <c r="E129" i="3" s="1"/>
  <c r="I128" i="3"/>
  <c r="H128" i="3"/>
  <c r="F128" i="3"/>
  <c r="E128" i="3"/>
  <c r="D128" i="3"/>
  <c r="I127" i="3"/>
  <c r="H127" i="3"/>
  <c r="F127" i="3"/>
  <c r="D127" i="3"/>
  <c r="E127" i="3" s="1"/>
  <c r="I126" i="3"/>
  <c r="H126" i="3"/>
  <c r="F126" i="3"/>
  <c r="E126" i="3"/>
  <c r="K126" i="3" s="1"/>
  <c r="D126" i="3"/>
  <c r="I125" i="3"/>
  <c r="H125" i="3"/>
  <c r="F125" i="3"/>
  <c r="D125" i="3"/>
  <c r="E125" i="3" s="1"/>
  <c r="I124" i="3"/>
  <c r="H124" i="3"/>
  <c r="F124" i="3"/>
  <c r="D124" i="3"/>
  <c r="E124" i="3" s="1"/>
  <c r="I123" i="3"/>
  <c r="H123" i="3"/>
  <c r="F123" i="3"/>
  <c r="D123" i="3"/>
  <c r="E123" i="3" s="1"/>
  <c r="I122" i="3"/>
  <c r="H122" i="3"/>
  <c r="F122" i="3"/>
  <c r="E122" i="3"/>
  <c r="K122" i="3" s="1"/>
  <c r="D122" i="3"/>
  <c r="I121" i="3"/>
  <c r="H121" i="3"/>
  <c r="F121" i="3"/>
  <c r="D121" i="3"/>
  <c r="E121" i="3" s="1"/>
  <c r="I120" i="3"/>
  <c r="H120" i="3"/>
  <c r="F120" i="3"/>
  <c r="K120" i="3" s="1"/>
  <c r="E120" i="3"/>
  <c r="D120" i="3"/>
  <c r="I119" i="3"/>
  <c r="H119" i="3"/>
  <c r="F119" i="3"/>
  <c r="K119" i="3" s="1"/>
  <c r="D119" i="3"/>
  <c r="E119" i="3" s="1"/>
  <c r="I118" i="3"/>
  <c r="H118" i="3"/>
  <c r="F118" i="3"/>
  <c r="E118" i="3"/>
  <c r="K118" i="3" s="1"/>
  <c r="D118" i="3"/>
  <c r="I117" i="3"/>
  <c r="K117" i="3" s="1"/>
  <c r="H117" i="3"/>
  <c r="F117" i="3"/>
  <c r="D117" i="3"/>
  <c r="E117" i="3" s="1"/>
  <c r="I116" i="3"/>
  <c r="H116" i="3"/>
  <c r="F116" i="3"/>
  <c r="D116" i="3"/>
  <c r="E116" i="3" s="1"/>
  <c r="I115" i="3"/>
  <c r="H115" i="3"/>
  <c r="F115" i="3"/>
  <c r="K115" i="3" s="1"/>
  <c r="D115" i="3"/>
  <c r="E115" i="3" s="1"/>
  <c r="I114" i="3"/>
  <c r="H114" i="3"/>
  <c r="F114" i="3"/>
  <c r="D114" i="3"/>
  <c r="E114" i="3" s="1"/>
  <c r="K114" i="3" s="1"/>
  <c r="I113" i="3"/>
  <c r="H113" i="3"/>
  <c r="F113" i="3"/>
  <c r="D113" i="3"/>
  <c r="E113" i="3" s="1"/>
  <c r="I112" i="3"/>
  <c r="H112" i="3"/>
  <c r="F112" i="3"/>
  <c r="D112" i="3"/>
  <c r="E112" i="3" s="1"/>
  <c r="I111" i="3"/>
  <c r="H111" i="3"/>
  <c r="F111" i="3"/>
  <c r="K111" i="3" s="1"/>
  <c r="D111" i="3"/>
  <c r="E111" i="3" s="1"/>
  <c r="I110" i="3"/>
  <c r="H110" i="3"/>
  <c r="F110" i="3"/>
  <c r="D110" i="3"/>
  <c r="E110" i="3" s="1"/>
  <c r="K110" i="3" s="1"/>
  <c r="I109" i="3"/>
  <c r="K109" i="3" s="1"/>
  <c r="H109" i="3"/>
  <c r="F109" i="3"/>
  <c r="D109" i="3"/>
  <c r="E109" i="3" s="1"/>
  <c r="I108" i="3"/>
  <c r="H108" i="3"/>
  <c r="F108" i="3"/>
  <c r="D108" i="3"/>
  <c r="E108" i="3" s="1"/>
  <c r="I107" i="3"/>
  <c r="H107" i="3"/>
  <c r="F107" i="3"/>
  <c r="D107" i="3"/>
  <c r="E107" i="3" s="1"/>
  <c r="I106" i="3"/>
  <c r="H106" i="3"/>
  <c r="F106" i="3"/>
  <c r="D106" i="3"/>
  <c r="E106" i="3" s="1"/>
  <c r="K106" i="3" s="1"/>
  <c r="I105" i="3"/>
  <c r="K105" i="3" s="1"/>
  <c r="H105" i="3"/>
  <c r="F105" i="3"/>
  <c r="D105" i="3"/>
  <c r="E105" i="3" s="1"/>
  <c r="I104" i="3"/>
  <c r="H104" i="3"/>
  <c r="F104" i="3"/>
  <c r="E104" i="3"/>
  <c r="D104" i="3"/>
  <c r="I103" i="3"/>
  <c r="H103" i="3"/>
  <c r="F103" i="3"/>
  <c r="D103" i="3"/>
  <c r="E103" i="3" s="1"/>
  <c r="I102" i="3"/>
  <c r="H102" i="3"/>
  <c r="F102" i="3"/>
  <c r="D102" i="3"/>
  <c r="E102" i="3" s="1"/>
  <c r="K102" i="3" s="1"/>
  <c r="I101" i="3"/>
  <c r="H101" i="3"/>
  <c r="F101" i="3"/>
  <c r="D101" i="3"/>
  <c r="E101" i="3" s="1"/>
  <c r="I100" i="3"/>
  <c r="H100" i="3"/>
  <c r="F100" i="3"/>
  <c r="E100" i="3"/>
  <c r="D100" i="3"/>
  <c r="I99" i="3"/>
  <c r="H99" i="3"/>
  <c r="F99" i="3"/>
  <c r="D99" i="3"/>
  <c r="E99" i="3" s="1"/>
  <c r="I98" i="3"/>
  <c r="H98" i="3"/>
  <c r="F98" i="3"/>
  <c r="D98" i="3"/>
  <c r="E98" i="3" s="1"/>
  <c r="I97" i="3"/>
  <c r="H97" i="3"/>
  <c r="F97" i="3"/>
  <c r="D97" i="3"/>
  <c r="E97" i="3" s="1"/>
  <c r="I96" i="3"/>
  <c r="H96" i="3"/>
  <c r="F96" i="3"/>
  <c r="K96" i="3" s="1"/>
  <c r="E96" i="3"/>
  <c r="D96" i="3"/>
  <c r="I95" i="3"/>
  <c r="H95" i="3"/>
  <c r="F95" i="3"/>
  <c r="K95" i="3" s="1"/>
  <c r="D95" i="3"/>
  <c r="E95" i="3" s="1"/>
  <c r="D8" i="10"/>
  <c r="D8" i="7"/>
  <c r="D8" i="9"/>
  <c r="D8" i="6"/>
  <c r="D8" i="8"/>
  <c r="D8" i="5"/>
  <c r="F6" i="10"/>
  <c r="F6" i="7"/>
  <c r="F6" i="9"/>
  <c r="F6" i="6"/>
  <c r="F6" i="8"/>
  <c r="F6" i="5"/>
  <c r="F8" i="4"/>
  <c r="K104" i="3" l="1"/>
  <c r="K129" i="3"/>
  <c r="K136" i="3"/>
  <c r="K116" i="3"/>
  <c r="K128" i="3"/>
  <c r="K124" i="3"/>
  <c r="K148" i="3"/>
  <c r="K98" i="3"/>
  <c r="K103" i="3"/>
  <c r="K108" i="3"/>
  <c r="K135" i="3"/>
  <c r="K140" i="3"/>
  <c r="K154" i="3"/>
  <c r="K100" i="3"/>
  <c r="K132" i="3"/>
  <c r="K107" i="3"/>
  <c r="K112" i="3"/>
  <c r="K137" i="3"/>
  <c r="K139" i="3"/>
  <c r="K144" i="3"/>
  <c r="K131" i="3"/>
  <c r="K153" i="3"/>
  <c r="K97" i="3"/>
  <c r="K121" i="3"/>
  <c r="K123" i="3"/>
  <c r="K99" i="3"/>
  <c r="K133" i="3"/>
  <c r="K113" i="3"/>
  <c r="K145" i="3"/>
  <c r="K101" i="3"/>
  <c r="K125" i="3"/>
  <c r="K127" i="3"/>
  <c r="F8" i="3"/>
  <c r="I94" i="3"/>
  <c r="H94" i="3"/>
  <c r="F94" i="3"/>
  <c r="D94" i="3"/>
  <c r="E94" i="3" s="1"/>
  <c r="I93" i="3"/>
  <c r="H93" i="3"/>
  <c r="F93" i="3"/>
  <c r="D93" i="3"/>
  <c r="E93" i="3" s="1"/>
  <c r="I92" i="3"/>
  <c r="H92" i="3"/>
  <c r="F92" i="3"/>
  <c r="D92" i="3"/>
  <c r="E92" i="3" s="1"/>
  <c r="I91" i="3"/>
  <c r="H91" i="3"/>
  <c r="F91" i="3"/>
  <c r="D91" i="3"/>
  <c r="E91" i="3" s="1"/>
  <c r="I90" i="3"/>
  <c r="H90" i="3"/>
  <c r="F90" i="3"/>
  <c r="D90" i="3"/>
  <c r="E90" i="3" s="1"/>
  <c r="I89" i="3"/>
  <c r="H89" i="3"/>
  <c r="F89" i="3"/>
  <c r="D89" i="3"/>
  <c r="E89" i="3" s="1"/>
  <c r="I88" i="3"/>
  <c r="H88" i="3"/>
  <c r="F88" i="3"/>
  <c r="D88" i="3"/>
  <c r="E88" i="3" s="1"/>
  <c r="I87" i="3"/>
  <c r="H87" i="3"/>
  <c r="F87" i="3"/>
  <c r="D87" i="3"/>
  <c r="E87" i="3" s="1"/>
  <c r="I86" i="3"/>
  <c r="H86" i="3"/>
  <c r="F86" i="3"/>
  <c r="D86" i="3"/>
  <c r="E86" i="3" s="1"/>
  <c r="I85" i="3"/>
  <c r="H85" i="3"/>
  <c r="F85" i="3"/>
  <c r="D85" i="3"/>
  <c r="E85" i="3" s="1"/>
  <c r="I84" i="3"/>
  <c r="H84" i="3"/>
  <c r="F84" i="3"/>
  <c r="D84" i="3"/>
  <c r="E84" i="3" s="1"/>
  <c r="I83" i="3"/>
  <c r="H83" i="3"/>
  <c r="F83" i="3"/>
  <c r="D83" i="3"/>
  <c r="E83" i="3" s="1"/>
  <c r="I82" i="3"/>
  <c r="H82" i="3"/>
  <c r="F82" i="3"/>
  <c r="D82" i="3"/>
  <c r="E82" i="3" s="1"/>
  <c r="I81" i="3"/>
  <c r="H81" i="3"/>
  <c r="F81" i="3"/>
  <c r="D81" i="3"/>
  <c r="E81" i="3" s="1"/>
  <c r="I80" i="3"/>
  <c r="H80" i="3"/>
  <c r="F80" i="3"/>
  <c r="D80" i="3"/>
  <c r="E80" i="3" s="1"/>
  <c r="I79" i="3"/>
  <c r="H79" i="3"/>
  <c r="F79" i="3"/>
  <c r="D79" i="3"/>
  <c r="E79" i="3" s="1"/>
  <c r="I78" i="3"/>
  <c r="H78" i="3"/>
  <c r="F78" i="3"/>
  <c r="D78" i="3"/>
  <c r="E78" i="3" s="1"/>
  <c r="I77" i="3"/>
  <c r="H77" i="3"/>
  <c r="F77" i="3"/>
  <c r="D77" i="3"/>
  <c r="E77" i="3" s="1"/>
  <c r="I76" i="3"/>
  <c r="H76" i="3"/>
  <c r="F76" i="3"/>
  <c r="D76" i="3"/>
  <c r="E76" i="3" s="1"/>
  <c r="I75" i="3"/>
  <c r="H75" i="3"/>
  <c r="F75" i="3"/>
  <c r="D75" i="3"/>
  <c r="E75" i="3" s="1"/>
  <c r="I74" i="3"/>
  <c r="H74" i="3"/>
  <c r="F74" i="3"/>
  <c r="D74" i="3"/>
  <c r="E74" i="3" s="1"/>
  <c r="I73" i="3"/>
  <c r="H73" i="3"/>
  <c r="F73" i="3"/>
  <c r="D73" i="3"/>
  <c r="E73" i="3" s="1"/>
  <c r="I72" i="3"/>
  <c r="H72" i="3"/>
  <c r="F72" i="3"/>
  <c r="D72" i="3"/>
  <c r="E72" i="3" s="1"/>
  <c r="I71" i="3"/>
  <c r="H71" i="3"/>
  <c r="F71" i="3"/>
  <c r="D71" i="3"/>
  <c r="E71" i="3" s="1"/>
  <c r="I70" i="3"/>
  <c r="H70" i="3"/>
  <c r="F70" i="3"/>
  <c r="D70" i="3"/>
  <c r="E70" i="3" s="1"/>
  <c r="I69" i="3"/>
  <c r="H69" i="3"/>
  <c r="F69" i="3"/>
  <c r="D69" i="3"/>
  <c r="E69" i="3" s="1"/>
  <c r="I68" i="3"/>
  <c r="H68" i="3"/>
  <c r="F68" i="3"/>
  <c r="D68" i="3"/>
  <c r="E68" i="3" s="1"/>
  <c r="I67" i="3"/>
  <c r="H67" i="3"/>
  <c r="F67" i="3"/>
  <c r="D67" i="3"/>
  <c r="E67" i="3" s="1"/>
  <c r="I66" i="3"/>
  <c r="H66" i="3"/>
  <c r="F66" i="3"/>
  <c r="D66" i="3"/>
  <c r="E66" i="3" s="1"/>
  <c r="I65" i="3"/>
  <c r="H65" i="3"/>
  <c r="F65" i="3"/>
  <c r="D65" i="3"/>
  <c r="E65" i="3" s="1"/>
  <c r="I64" i="3"/>
  <c r="H64" i="3"/>
  <c r="F64" i="3"/>
  <c r="D64" i="3"/>
  <c r="E64" i="3" s="1"/>
  <c r="I63" i="3"/>
  <c r="H63" i="3"/>
  <c r="F63" i="3"/>
  <c r="D63" i="3"/>
  <c r="E63" i="3" s="1"/>
  <c r="I62" i="3"/>
  <c r="H62" i="3"/>
  <c r="F62" i="3"/>
  <c r="D62" i="3"/>
  <c r="E62" i="3" s="1"/>
  <c r="K13" i="4"/>
  <c r="K12" i="4"/>
  <c r="K11" i="4"/>
  <c r="F50" i="10"/>
  <c r="F49" i="10"/>
  <c r="F48" i="10"/>
  <c r="F47" i="10"/>
  <c r="F46" i="10"/>
  <c r="F45" i="10"/>
  <c r="F58" i="10"/>
  <c r="F57" i="10"/>
  <c r="F56" i="10"/>
  <c r="F55" i="10"/>
  <c r="F54" i="10"/>
  <c r="F53" i="10"/>
  <c r="F52" i="10"/>
  <c r="F51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48" i="6"/>
  <c r="F47" i="6"/>
  <c r="F46" i="6"/>
  <c r="F45" i="6"/>
  <c r="F44" i="6"/>
  <c r="F50" i="6"/>
  <c r="F49" i="6"/>
  <c r="F43" i="6"/>
  <c r="F42" i="6"/>
  <c r="F34" i="6"/>
  <c r="F33" i="6"/>
  <c r="F32" i="6"/>
  <c r="F31" i="6"/>
  <c r="F38" i="6"/>
  <c r="F37" i="6"/>
  <c r="F36" i="6"/>
  <c r="F35" i="6"/>
  <c r="F51" i="6"/>
  <c r="F41" i="6"/>
  <c r="F40" i="6"/>
  <c r="F39" i="6"/>
  <c r="F55" i="6"/>
  <c r="F54" i="6"/>
  <c r="F53" i="6"/>
  <c r="F52" i="6"/>
  <c r="F30" i="6"/>
  <c r="F29" i="6"/>
  <c r="F28" i="6"/>
  <c r="F27" i="6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B6" i="4"/>
  <c r="B7" i="4"/>
  <c r="B7" i="3"/>
  <c r="B6" i="3"/>
  <c r="J7" i="4"/>
  <c r="J6" i="4"/>
  <c r="J7" i="3"/>
  <c r="J6" i="3"/>
  <c r="D5" i="4"/>
  <c r="B5" i="4" s="1"/>
  <c r="D5" i="3"/>
  <c r="B5" i="3" s="1"/>
  <c r="K68" i="3" l="1"/>
  <c r="K70" i="3"/>
  <c r="K72" i="3"/>
  <c r="K74" i="3"/>
  <c r="K76" i="3"/>
  <c r="K78" i="3"/>
  <c r="K80" i="3"/>
  <c r="K86" i="3"/>
  <c r="K64" i="3"/>
  <c r="K62" i="3"/>
  <c r="K66" i="3"/>
  <c r="K88" i="3"/>
  <c r="K63" i="3"/>
  <c r="K67" i="3"/>
  <c r="K71" i="3"/>
  <c r="K75" i="3"/>
  <c r="K79" i="3"/>
  <c r="K83" i="3"/>
  <c r="K87" i="3"/>
  <c r="K91" i="3"/>
  <c r="K65" i="3"/>
  <c r="K69" i="3"/>
  <c r="K73" i="3"/>
  <c r="K77" i="3"/>
  <c r="K81" i="3"/>
  <c r="K85" i="3"/>
  <c r="K89" i="3"/>
  <c r="K93" i="3"/>
  <c r="K94" i="3"/>
  <c r="K90" i="3"/>
  <c r="K82" i="3"/>
  <c r="K84" i="3"/>
  <c r="K92" i="3"/>
  <c r="F5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8" i="10"/>
  <c r="E8" i="10"/>
  <c r="F7" i="10"/>
  <c r="E7" i="10"/>
  <c r="F5" i="10"/>
  <c r="E5" i="10"/>
  <c r="B5" i="10"/>
  <c r="F4" i="10"/>
  <c r="E4" i="10"/>
  <c r="F58" i="9"/>
  <c r="F57" i="9"/>
  <c r="F56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8" i="9"/>
  <c r="E8" i="9"/>
  <c r="F7" i="9"/>
  <c r="E7" i="9"/>
  <c r="F5" i="9"/>
  <c r="E5" i="9"/>
  <c r="B5" i="9"/>
  <c r="F4" i="9"/>
  <c r="E4" i="9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8" i="8"/>
  <c r="E8" i="8"/>
  <c r="F7" i="8"/>
  <c r="E7" i="8"/>
  <c r="F5" i="8"/>
  <c r="E5" i="8"/>
  <c r="B5" i="8"/>
  <c r="F4" i="8"/>
  <c r="E4" i="8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55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E8" i="7" l="1"/>
  <c r="E7" i="7"/>
  <c r="E5" i="7"/>
  <c r="E4" i="7"/>
  <c r="E8" i="6"/>
  <c r="E7" i="6"/>
  <c r="E5" i="6"/>
  <c r="E4" i="6"/>
  <c r="E8" i="5"/>
  <c r="E7" i="5"/>
  <c r="E5" i="5"/>
  <c r="E4" i="5"/>
  <c r="E10" i="3" l="1"/>
  <c r="E9" i="3"/>
  <c r="E10" i="4"/>
  <c r="E9" i="4"/>
  <c r="E7" i="4"/>
  <c r="E6" i="4"/>
  <c r="E7" i="3"/>
  <c r="E6" i="3"/>
  <c r="Q4" i="4"/>
  <c r="P4" i="4"/>
  <c r="O4" i="4"/>
  <c r="Q4" i="3"/>
  <c r="P4" i="3"/>
  <c r="O4" i="3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W12" i="4"/>
  <c r="U12" i="4"/>
  <c r="T12" i="4"/>
  <c r="R12" i="4"/>
  <c r="Q12" i="4"/>
  <c r="O12" i="4"/>
  <c r="F10" i="4"/>
  <c r="F9" i="4"/>
  <c r="F7" i="4"/>
  <c r="F6" i="4"/>
  <c r="W12" i="3"/>
  <c r="U12" i="3"/>
  <c r="T12" i="3"/>
  <c r="R12" i="3"/>
  <c r="Q12" i="3"/>
  <c r="O12" i="3"/>
  <c r="F10" i="3"/>
  <c r="F9" i="3"/>
  <c r="F7" i="3"/>
  <c r="F6" i="3"/>
  <c r="H5" i="4"/>
  <c r="H4" i="4"/>
  <c r="H8" i="4" s="1"/>
  <c r="K8" i="4" s="1"/>
  <c r="H4" i="3"/>
  <c r="H8" i="3" s="1"/>
  <c r="K8" i="3" s="1"/>
  <c r="H5" i="3"/>
  <c r="H155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" i="3"/>
  <c r="H2" i="3"/>
  <c r="H2" i="4"/>
  <c r="H1" i="4"/>
  <c r="B5" i="7"/>
  <c r="B5" i="6"/>
  <c r="B5" i="5"/>
  <c r="K6" i="4" l="1"/>
  <c r="K7" i="4"/>
  <c r="H10" i="4"/>
  <c r="K10" i="4" s="1"/>
  <c r="H9" i="4"/>
  <c r="K9" i="4" s="1"/>
  <c r="H7" i="4"/>
  <c r="H6" i="4"/>
  <c r="H9" i="3"/>
  <c r="K9" i="3" s="1"/>
  <c r="H7" i="3"/>
  <c r="K7" i="3" s="1"/>
  <c r="H6" i="3"/>
  <c r="K6" i="3" s="1"/>
  <c r="H10" i="3"/>
  <c r="K10" i="3" s="1"/>
  <c r="F8" i="7"/>
  <c r="D13" i="3"/>
  <c r="E13" i="3" s="1"/>
  <c r="F7" i="7"/>
  <c r="F8" i="6"/>
  <c r="D12" i="3"/>
  <c r="E12" i="3" s="1"/>
  <c r="F7" i="6"/>
  <c r="F5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5" i="7"/>
  <c r="F4" i="7"/>
  <c r="F58" i="6"/>
  <c r="F57" i="6"/>
  <c r="F56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5" i="6"/>
  <c r="F4" i="6"/>
  <c r="E55" i="4"/>
  <c r="F58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8" i="5"/>
  <c r="F7" i="5"/>
  <c r="F5" i="5"/>
  <c r="F4" i="5"/>
  <c r="I58" i="4"/>
  <c r="F58" i="4"/>
  <c r="I57" i="4"/>
  <c r="F57" i="4"/>
  <c r="I56" i="4"/>
  <c r="F56" i="4"/>
  <c r="I55" i="4"/>
  <c r="F55" i="4"/>
  <c r="K55" i="4" s="1"/>
  <c r="I54" i="4"/>
  <c r="F54" i="4"/>
  <c r="I53" i="4"/>
  <c r="F53" i="4"/>
  <c r="I52" i="4"/>
  <c r="F52" i="4"/>
  <c r="I51" i="4"/>
  <c r="F51" i="4"/>
  <c r="I50" i="4"/>
  <c r="F50" i="4"/>
  <c r="I49" i="4"/>
  <c r="F49" i="4"/>
  <c r="I48" i="4"/>
  <c r="F48" i="4"/>
  <c r="I47" i="4"/>
  <c r="F47" i="4"/>
  <c r="I46" i="4"/>
  <c r="F46" i="4"/>
  <c r="I45" i="4"/>
  <c r="F45" i="4"/>
  <c r="I44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I37" i="4"/>
  <c r="F37" i="4"/>
  <c r="I36" i="4"/>
  <c r="F36" i="4"/>
  <c r="I35" i="4"/>
  <c r="F35" i="4"/>
  <c r="I34" i="4"/>
  <c r="F34" i="4"/>
  <c r="I33" i="4"/>
  <c r="F33" i="4"/>
  <c r="I32" i="4"/>
  <c r="F32" i="4"/>
  <c r="I31" i="4"/>
  <c r="F31" i="4"/>
  <c r="I30" i="4"/>
  <c r="F30" i="4"/>
  <c r="I29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I21" i="4"/>
  <c r="F21" i="4"/>
  <c r="I20" i="4"/>
  <c r="F20" i="4"/>
  <c r="I19" i="4"/>
  <c r="F19" i="4"/>
  <c r="I18" i="4"/>
  <c r="F18" i="4"/>
  <c r="I17" i="4"/>
  <c r="F17" i="4"/>
  <c r="I16" i="4"/>
  <c r="F16" i="4"/>
  <c r="I15" i="4"/>
  <c r="F15" i="4"/>
  <c r="I14" i="4"/>
  <c r="F14" i="4"/>
  <c r="I5" i="4"/>
  <c r="F5" i="4"/>
  <c r="F4" i="4"/>
  <c r="I155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5" i="3"/>
  <c r="E5" i="3"/>
  <c r="E14" i="3"/>
  <c r="K14" i="3" s="1"/>
  <c r="E15" i="3"/>
  <c r="E16" i="3"/>
  <c r="E17" i="3"/>
  <c r="E18" i="3"/>
  <c r="E19" i="3"/>
  <c r="E20" i="3"/>
  <c r="E21" i="3"/>
  <c r="E22" i="3"/>
  <c r="K22" i="3" s="1"/>
  <c r="E23" i="3"/>
  <c r="E24" i="3"/>
  <c r="E25" i="3"/>
  <c r="E26" i="3"/>
  <c r="E27" i="3"/>
  <c r="E28" i="3"/>
  <c r="E29" i="3"/>
  <c r="E30" i="3"/>
  <c r="K30" i="3" s="1"/>
  <c r="E31" i="3"/>
  <c r="E32" i="3"/>
  <c r="E33" i="3"/>
  <c r="E34" i="3"/>
  <c r="E35" i="3"/>
  <c r="E36" i="3"/>
  <c r="E37" i="3"/>
  <c r="E38" i="3"/>
  <c r="K38" i="3" s="1"/>
  <c r="E39" i="3"/>
  <c r="E40" i="3"/>
  <c r="E41" i="3"/>
  <c r="E42" i="3"/>
  <c r="E43" i="3"/>
  <c r="E44" i="3"/>
  <c r="E45" i="3"/>
  <c r="E46" i="3"/>
  <c r="K46" i="3" s="1"/>
  <c r="E47" i="3"/>
  <c r="E48" i="3"/>
  <c r="E49" i="3"/>
  <c r="E50" i="3"/>
  <c r="E51" i="3"/>
  <c r="E52" i="3"/>
  <c r="E53" i="3"/>
  <c r="E54" i="3"/>
  <c r="K54" i="3" s="1"/>
  <c r="E55" i="3"/>
  <c r="E56" i="3"/>
  <c r="E57" i="3"/>
  <c r="E58" i="3"/>
  <c r="E59" i="3"/>
  <c r="E60" i="3"/>
  <c r="E61" i="3"/>
  <c r="E155" i="3"/>
  <c r="K155" i="3" s="1"/>
  <c r="E4" i="3"/>
  <c r="F4" i="3"/>
  <c r="F5" i="3"/>
  <c r="F11" i="3"/>
  <c r="K11" i="3" s="1"/>
  <c r="F12" i="3"/>
  <c r="K12" i="3" s="1"/>
  <c r="F13" i="3"/>
  <c r="K13" i="3" s="1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155" i="3"/>
  <c r="K58" i="4" l="1"/>
  <c r="K52" i="4"/>
  <c r="K4" i="4"/>
  <c r="K50" i="4"/>
  <c r="K27" i="4"/>
  <c r="K20" i="4"/>
  <c r="K28" i="4"/>
  <c r="K37" i="4"/>
  <c r="K41" i="4"/>
  <c r="K45" i="4"/>
  <c r="K54" i="4"/>
  <c r="K23" i="4"/>
  <c r="K35" i="4"/>
  <c r="K43" i="4"/>
  <c r="K26" i="4"/>
  <c r="K61" i="3"/>
  <c r="K53" i="3"/>
  <c r="K45" i="3"/>
  <c r="K37" i="3"/>
  <c r="K29" i="3"/>
  <c r="K21" i="3"/>
  <c r="K59" i="3"/>
  <c r="K51" i="3"/>
  <c r="K43" i="3"/>
  <c r="K57" i="3"/>
  <c r="K49" i="3"/>
  <c r="K41" i="3"/>
  <c r="K33" i="3"/>
  <c r="K25" i="3"/>
  <c r="K17" i="3"/>
  <c r="K52" i="3"/>
  <c r="K28" i="3"/>
  <c r="K35" i="3"/>
  <c r="K27" i="3"/>
  <c r="K19" i="3"/>
  <c r="K58" i="3"/>
  <c r="K50" i="3"/>
  <c r="K42" i="3"/>
  <c r="K34" i="3"/>
  <c r="K26" i="3"/>
  <c r="K18" i="3"/>
  <c r="K44" i="3"/>
  <c r="K20" i="3"/>
  <c r="K4" i="3"/>
  <c r="K56" i="3"/>
  <c r="K48" i="3"/>
  <c r="K40" i="3"/>
  <c r="K32" i="3"/>
  <c r="K24" i="3"/>
  <c r="K16" i="3"/>
  <c r="K60" i="3"/>
  <c r="K36" i="3"/>
  <c r="K5" i="3"/>
  <c r="K55" i="3"/>
  <c r="K47" i="3"/>
  <c r="K39" i="3"/>
  <c r="K31" i="3"/>
  <c r="K23" i="3"/>
  <c r="K15" i="3"/>
  <c r="E44" i="4"/>
  <c r="K44" i="4" s="1"/>
  <c r="E28" i="4"/>
  <c r="E24" i="4"/>
  <c r="K24" i="4" s="1"/>
  <c r="E40" i="4"/>
  <c r="K40" i="4" s="1"/>
  <c r="E56" i="4"/>
  <c r="K56" i="4" s="1"/>
  <c r="E36" i="4"/>
  <c r="K36" i="4" s="1"/>
  <c r="E52" i="4"/>
  <c r="E16" i="4"/>
  <c r="K16" i="4" s="1"/>
  <c r="E32" i="4"/>
  <c r="K32" i="4" s="1"/>
  <c r="E20" i="4"/>
  <c r="E48" i="4"/>
  <c r="K48" i="4" s="1"/>
  <c r="E17" i="4"/>
  <c r="K17" i="4" s="1"/>
  <c r="E29" i="4"/>
  <c r="K29" i="4" s="1"/>
  <c r="E33" i="4"/>
  <c r="K33" i="4" s="1"/>
  <c r="E37" i="4"/>
  <c r="E41" i="4"/>
  <c r="E45" i="4"/>
  <c r="E49" i="4"/>
  <c r="K49" i="4" s="1"/>
  <c r="E53" i="4"/>
  <c r="K53" i="4" s="1"/>
  <c r="E57" i="4"/>
  <c r="K57" i="4" s="1"/>
  <c r="E4" i="4"/>
  <c r="E21" i="4"/>
  <c r="K21" i="4" s="1"/>
  <c r="E14" i="4"/>
  <c r="K14" i="4" s="1"/>
  <c r="E18" i="4"/>
  <c r="K18" i="4" s="1"/>
  <c r="E22" i="4"/>
  <c r="K22" i="4" s="1"/>
  <c r="E26" i="4"/>
  <c r="E30" i="4"/>
  <c r="K30" i="4" s="1"/>
  <c r="E34" i="4"/>
  <c r="K34" i="4" s="1"/>
  <c r="E38" i="4"/>
  <c r="K38" i="4" s="1"/>
  <c r="E42" i="4"/>
  <c r="K42" i="4" s="1"/>
  <c r="E46" i="4"/>
  <c r="K46" i="4" s="1"/>
  <c r="E50" i="4"/>
  <c r="E54" i="4"/>
  <c r="E58" i="4"/>
  <c r="E5" i="4"/>
  <c r="K5" i="4" s="1"/>
  <c r="E25" i="4"/>
  <c r="K25" i="4" s="1"/>
  <c r="E15" i="4"/>
  <c r="K15" i="4" s="1"/>
  <c r="E19" i="4"/>
  <c r="K19" i="4" s="1"/>
  <c r="E23" i="4"/>
  <c r="E27" i="4"/>
  <c r="E31" i="4"/>
  <c r="K31" i="4" s="1"/>
  <c r="E35" i="4"/>
  <c r="E39" i="4"/>
  <c r="K39" i="4" s="1"/>
  <c r="E43" i="4"/>
  <c r="E47" i="4"/>
  <c r="K47" i="4" s="1"/>
  <c r="E51" i="4"/>
  <c r="K51" i="4" s="1"/>
  <c r="D11" i="3" l="1"/>
  <c r="E11" i="3" s="1"/>
</calcChain>
</file>

<file path=xl/sharedStrings.xml><?xml version="1.0" encoding="utf-8"?>
<sst xmlns="http://schemas.openxmlformats.org/spreadsheetml/2006/main" count="342" uniqueCount="43">
  <si>
    <t>常食</t>
  </si>
  <si>
    <t>出汁</t>
  </si>
  <si>
    <t>1人</t>
  </si>
  <si>
    <t>g</t>
  </si>
  <si>
    <t>%</t>
  </si>
  <si>
    <t>薄味</t>
  </si>
  <si>
    <t>ソフト食</t>
  </si>
  <si>
    <t>1人（C. フリーズ分も同様）</t>
  </si>
  <si>
    <t>注文数</t>
  </si>
  <si>
    <t>端数</t>
  </si>
  <si>
    <t>ミキサー食</t>
  </si>
  <si>
    <t>ゼリー食</t>
  </si>
  <si>
    <t>単位袋10</t>
  </si>
  <si>
    <t>単位袋7</t>
  </si>
  <si>
    <t>単位袋5</t>
  </si>
  <si>
    <t>10の端数袋
入数</t>
  </si>
  <si>
    <t>7の端数袋
入数</t>
  </si>
  <si>
    <t>5の端数袋
入数</t>
  </si>
  <si>
    <t>10の1人用</t>
  </si>
  <si>
    <t>7の1人用</t>
  </si>
  <si>
    <t>5の1人用</t>
  </si>
  <si>
    <t>ミキサー合計</t>
  </si>
  <si>
    <t>ゼリー合計</t>
  </si>
  <si>
    <t>ソフト合計</t>
  </si>
  <si>
    <t>人（針刺し用）</t>
  </si>
  <si>
    <t>人</t>
  </si>
  <si>
    <t>人（針刺し用）</t>
    <phoneticPr fontId="3"/>
  </si>
  <si>
    <t>人（保存用）</t>
    <rPh sb="2" eb="4">
      <t xml:space="preserve">ホゾｎ </t>
    </rPh>
    <phoneticPr fontId="3"/>
  </si>
  <si>
    <t>ミキサー合計</t>
    <phoneticPr fontId="3"/>
  </si>
  <si>
    <t>ゼリー合計</t>
    <phoneticPr fontId="3"/>
  </si>
  <si>
    <t>袋数</t>
    <rPh sb="0" eb="1">
      <t>フクロ</t>
    </rPh>
    <rPh sb="1" eb="2">
      <t>スウ</t>
    </rPh>
    <phoneticPr fontId="3"/>
  </si>
  <si>
    <t>人前(針刺し用)</t>
    <rPh sb="0" eb="2">
      <t>ニンマエ</t>
    </rPh>
    <rPh sb="3" eb="5">
      <t>ハリサ</t>
    </rPh>
    <rPh sb="6" eb="7">
      <t>ヨウ</t>
    </rPh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</si>
  <si>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</si>
  <si>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人前(写真用)</t>
    <rPh sb="0" eb="2">
      <t>ニンマエ</t>
    </rPh>
    <rPh sb="3" eb="5">
      <t>シャシン</t>
    </rPh>
    <rPh sb="5" eb="6">
      <t>ヨウ</t>
    </rPh>
    <phoneticPr fontId="3"/>
  </si>
  <si>
    <t>単位袋10</t>
    <phoneticPr fontId="3"/>
  </si>
  <si>
    <t>単位袋1</t>
    <phoneticPr fontId="3"/>
  </si>
  <si>
    <t>袋数</t>
    <rPh sb="0" eb="1">
      <t>フクロ</t>
    </rPh>
    <phoneticPr fontId="3"/>
  </si>
  <si>
    <t>使用する袋</t>
    <rPh sb="0" eb="2">
      <t>シヨウ</t>
    </rPh>
    <rPh sb="4" eb="5">
      <t>フクロ</t>
    </rPh>
    <phoneticPr fontId="3"/>
  </si>
  <si>
    <t>人用</t>
    <rPh sb="0" eb="2">
      <t>ニンヨウ</t>
    </rPh>
    <phoneticPr fontId="3"/>
  </si>
  <si>
    <t>合計</t>
    <rPh sb="0" eb="2">
      <t>ゴウケイ</t>
    </rPh>
    <phoneticPr fontId="3"/>
  </si>
  <si>
    <t>g</t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</si>
  <si>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</si>
  <si>
    <t>人（保存用50g）</t>
    <rPh sb="2" eb="4">
      <t>ホゾン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</si>
</sst>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6"/>
      <color theme="1"/>
      <name val="Meiryo"/>
      <family val="2"/>
      <charset val="128"/>
    </font>
    <font>
      <sz val="10"/>
      <color theme="1"/>
      <name val="Meiryo"/>
      <family val="2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b/>
      <sz val="24"/>
      <color theme="1"/>
      <name val="Meiryo UI"/>
      <family val="3"/>
      <charset val="128"/>
    </font>
    <font>
      <sz val="22"/>
      <color theme="1"/>
      <name val="Meiryo"/>
      <family val="3"/>
      <charset val="128"/>
    </font>
    <font>
      <b/>
      <sz val="24"/>
      <color theme="1"/>
      <name val="Meiry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0" tint="-0.14996795556505021"/>
      </left>
      <right style="hair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hair">
        <color theme="0" tint="-4.9989318521683403E-2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14996795556505021"/>
      </right>
      <top style="thin">
        <color theme="0" tint="-0.2499465926084170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24994659260841701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 tint="-4.9989318521683403E-2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14996795556505021"/>
      </left>
      <right style="hair">
        <color theme="0" tint="-4.9989318521683403E-2"/>
      </right>
      <top style="thin">
        <color theme="0" tint="-0.14996795556505021"/>
      </top>
      <bottom style="thin">
        <color theme="0" tint="-0.24994659260841701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theme="0" tint="-0.14996795556505021"/>
      </top>
      <bottom style="thin">
        <color theme="0" tint="-0.24994659260841701"/>
      </bottom>
      <diagonal/>
    </border>
    <border>
      <left style="hair">
        <color theme="0" tint="-4.9989318521683403E-2"/>
      </left>
      <right style="thin">
        <color theme="0" tint="-0.14996795556505021"/>
      </right>
      <top style="thin">
        <color theme="0" tint="-0.14996795556505021"/>
      </top>
      <bottom style="thin">
        <color theme="0" tint="-0.24994659260841701"/>
      </bottom>
      <diagonal/>
    </border>
    <border>
      <left style="hair">
        <color theme="0" tint="-4.9989318521683403E-2"/>
      </left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auto="1"/>
      </right>
      <top style="double">
        <color auto="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hair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hair">
        <color theme="0" tint="-4.9989318521683403E-2"/>
      </right>
      <top style="thin">
        <color theme="0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24994659260841701"/>
      </right>
      <top style="thin">
        <color theme="0" tint="-0.24994659260841701"/>
      </top>
      <bottom style="thin">
        <color theme="0" tint="-0.1499374370555742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4" borderId="21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  <xf numFmtId="0" fontId="2" fillId="5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5" borderId="36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shrinkToFit="1"/>
    </xf>
    <xf numFmtId="0" fontId="2" fillId="0" borderId="37" xfId="0" applyFont="1" applyBorder="1" applyAlignment="1">
      <alignment horizontal="center" vertical="center" shrinkToFit="1"/>
    </xf>
    <xf numFmtId="0" fontId="2" fillId="0" borderId="38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1" fillId="0" borderId="45" xfId="0" applyFont="1" applyBorder="1" applyAlignment="1">
      <alignment horizontal="center" vertical="center" shrinkToFit="1"/>
    </xf>
    <xf numFmtId="0" fontId="1" fillId="0" borderId="46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1" fontId="6" fillId="0" borderId="0" xfId="0" applyNumberFormat="1" applyFont="1" applyAlignment="1">
      <alignment horizontal="center" vertical="center" shrinkToFit="1"/>
    </xf>
    <xf numFmtId="0" fontId="1" fillId="0" borderId="53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2" fillId="0" borderId="62" xfId="0" applyFont="1" applyBorder="1" applyAlignment="1">
      <alignment horizontal="center" vertical="center" shrinkToFit="1"/>
    </xf>
    <xf numFmtId="0" fontId="2" fillId="0" borderId="63" xfId="0" quotePrefix="1" applyFont="1" applyBorder="1" applyAlignment="1">
      <alignment horizontal="center" vertical="center" shrinkToFit="1"/>
    </xf>
    <xf numFmtId="0" fontId="2" fillId="0" borderId="63" xfId="0" applyFont="1" applyBorder="1" applyAlignment="1">
      <alignment horizontal="center" vertical="center" shrinkToFit="1"/>
    </xf>
    <xf numFmtId="0" fontId="2" fillId="0" borderId="64" xfId="0" quotePrefix="1" applyFont="1" applyBorder="1" applyAlignment="1">
      <alignment horizontal="center" vertical="center" shrinkToFit="1"/>
    </xf>
    <xf numFmtId="0" fontId="2" fillId="0" borderId="65" xfId="0" applyFont="1" applyBorder="1" applyAlignment="1">
      <alignment horizontal="center" vertical="center" shrinkToFit="1"/>
    </xf>
    <xf numFmtId="0" fontId="2" fillId="0" borderId="66" xfId="0" applyFont="1" applyBorder="1" applyAlignment="1">
      <alignment horizontal="center" vertical="center" shrinkToFit="1"/>
    </xf>
    <xf numFmtId="0" fontId="2" fillId="0" borderId="67" xfId="0" applyFont="1" applyBorder="1" applyAlignment="1">
      <alignment horizontal="center" vertical="center" shrinkToFit="1"/>
    </xf>
    <xf numFmtId="0" fontId="2" fillId="6" borderId="62" xfId="0" applyFont="1" applyFill="1" applyBorder="1" applyAlignment="1">
      <alignment horizontal="center" vertical="center"/>
    </xf>
    <xf numFmtId="0" fontId="2" fillId="6" borderId="63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1" fontId="5" fillId="0" borderId="70" xfId="0" applyNumberFormat="1" applyFont="1" applyBorder="1" applyAlignment="1">
      <alignment horizontal="right" vertical="center" shrinkToFit="1"/>
    </xf>
    <xf numFmtId="0" fontId="10" fillId="0" borderId="2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shrinkToFit="1"/>
    </xf>
    <xf numFmtId="0" fontId="14" fillId="2" borderId="11" xfId="0" applyFont="1" applyFill="1" applyBorder="1" applyAlignment="1">
      <alignment horizontal="center" vertical="center" shrinkToFit="1"/>
    </xf>
    <xf numFmtId="1" fontId="15" fillId="2" borderId="44" xfId="0" applyNumberFormat="1" applyFont="1" applyFill="1" applyBorder="1" applyAlignment="1">
      <alignment horizontal="center" vertical="center" shrinkToFit="1"/>
    </xf>
    <xf numFmtId="0" fontId="15" fillId="2" borderId="52" xfId="0" applyFont="1" applyFill="1" applyBorder="1" applyAlignment="1">
      <alignment horizontal="center" vertical="center" shrinkToFit="1"/>
    </xf>
    <xf numFmtId="0" fontId="14" fillId="0" borderId="26" xfId="0" applyFont="1" applyBorder="1" applyAlignment="1">
      <alignment horizontal="left" vertical="center" shrinkToFit="1"/>
    </xf>
    <xf numFmtId="0" fontId="14" fillId="0" borderId="10" xfId="0" applyFont="1" applyBorder="1" applyAlignment="1">
      <alignment vertical="center" shrinkToFit="1"/>
    </xf>
    <xf numFmtId="1" fontId="16" fillId="0" borderId="1" xfId="0" applyNumberFormat="1" applyFont="1" applyBorder="1" applyAlignment="1">
      <alignment vertical="center" shrinkToFit="1"/>
    </xf>
    <xf numFmtId="0" fontId="14" fillId="0" borderId="11" xfId="0" applyFont="1" applyBorder="1" applyAlignment="1">
      <alignment vertical="center" shrinkToFit="1"/>
    </xf>
    <xf numFmtId="1" fontId="16" fillId="0" borderId="12" xfId="0" applyNumberFormat="1" applyFont="1" applyBorder="1" applyAlignment="1">
      <alignment vertical="center" shrinkToFit="1"/>
    </xf>
    <xf numFmtId="0" fontId="14" fillId="0" borderId="25" xfId="0" applyFont="1" applyBorder="1" applyAlignment="1">
      <alignment horizontal="right" vertical="center" shrinkToFit="1"/>
    </xf>
    <xf numFmtId="0" fontId="17" fillId="0" borderId="26" xfId="0" applyFont="1" applyBorder="1" applyAlignment="1">
      <alignment vertical="center"/>
    </xf>
    <xf numFmtId="0" fontId="14" fillId="0" borderId="59" xfId="0" applyFont="1" applyBorder="1" applyAlignment="1">
      <alignment vertical="center" shrinkToFit="1"/>
    </xf>
    <xf numFmtId="1" fontId="16" fillId="0" borderId="51" xfId="0" applyNumberFormat="1" applyFont="1" applyBorder="1" applyAlignment="1">
      <alignment vertical="center" shrinkToFit="1"/>
    </xf>
    <xf numFmtId="0" fontId="14" fillId="0" borderId="22" xfId="0" applyFont="1" applyBorder="1" applyAlignment="1">
      <alignment horizontal="right" vertical="center" shrinkToFit="1"/>
    </xf>
    <xf numFmtId="0" fontId="17" fillId="0" borderId="2" xfId="0" applyFont="1" applyBorder="1" applyAlignment="1">
      <alignment vertical="center"/>
    </xf>
    <xf numFmtId="0" fontId="14" fillId="0" borderId="21" xfId="0" applyFont="1" applyBorder="1" applyAlignment="1">
      <alignment horizontal="right" vertical="center" shrinkToFit="1"/>
    </xf>
    <xf numFmtId="0" fontId="17" fillId="0" borderId="18" xfId="0" applyFont="1" applyBorder="1" applyAlignment="1">
      <alignment vertical="center"/>
    </xf>
    <xf numFmtId="1" fontId="16" fillId="0" borderId="3" xfId="0" applyNumberFormat="1" applyFont="1" applyBorder="1" applyAlignment="1">
      <alignment vertical="center" shrinkToFit="1"/>
    </xf>
    <xf numFmtId="0" fontId="14" fillId="0" borderId="7" xfId="0" applyFont="1" applyBorder="1" applyAlignment="1">
      <alignment vertical="center" shrinkToFit="1"/>
    </xf>
    <xf numFmtId="0" fontId="14" fillId="0" borderId="23" xfId="0" applyFont="1" applyBorder="1" applyAlignment="1">
      <alignment vertical="center" shrinkToFit="1"/>
    </xf>
    <xf numFmtId="0" fontId="14" fillId="0" borderId="4" xfId="0" applyFont="1" applyBorder="1" applyAlignment="1">
      <alignment vertical="center" shrinkToFit="1"/>
    </xf>
    <xf numFmtId="0" fontId="14" fillId="0" borderId="24" xfId="0" applyFont="1" applyBorder="1" applyAlignment="1">
      <alignment vertical="center" shrinkToFit="1"/>
    </xf>
    <xf numFmtId="0" fontId="14" fillId="0" borderId="19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1" fontId="16" fillId="0" borderId="13" xfId="0" applyNumberFormat="1" applyFont="1" applyBorder="1" applyAlignment="1">
      <alignment vertical="center" shrinkToFit="1"/>
    </xf>
    <xf numFmtId="1" fontId="16" fillId="3" borderId="1" xfId="0" applyNumberFormat="1" applyFont="1" applyFill="1" applyBorder="1" applyAlignment="1">
      <alignment vertical="center" shrinkToFit="1"/>
    </xf>
    <xf numFmtId="1" fontId="16" fillId="3" borderId="12" xfId="0" applyNumberFormat="1" applyFont="1" applyFill="1" applyBorder="1" applyAlignment="1">
      <alignment vertical="center" shrinkToFit="1"/>
    </xf>
    <xf numFmtId="1" fontId="16" fillId="3" borderId="51" xfId="0" applyNumberFormat="1" applyFont="1" applyFill="1" applyBorder="1" applyAlignment="1">
      <alignment vertical="center" shrinkToFit="1"/>
    </xf>
    <xf numFmtId="1" fontId="16" fillId="3" borderId="3" xfId="0" applyNumberFormat="1" applyFont="1" applyFill="1" applyBorder="1" applyAlignment="1">
      <alignment vertical="center" shrinkToFit="1"/>
    </xf>
    <xf numFmtId="1" fontId="16" fillId="3" borderId="13" xfId="0" applyNumberFormat="1" applyFont="1" applyFill="1" applyBorder="1" applyAlignment="1">
      <alignment vertical="center" shrinkToFit="1"/>
    </xf>
    <xf numFmtId="0" fontId="14" fillId="0" borderId="71" xfId="0" applyFont="1" applyBorder="1" applyAlignment="1">
      <alignment horizontal="center" vertical="center" shrinkToFit="1"/>
    </xf>
    <xf numFmtId="0" fontId="14" fillId="0" borderId="72" xfId="0" applyFont="1" applyBorder="1" applyAlignment="1">
      <alignment horizontal="center" vertical="center" shrinkToFit="1"/>
    </xf>
    <xf numFmtId="0" fontId="14" fillId="0" borderId="73" xfId="0" applyFont="1" applyBorder="1" applyAlignment="1">
      <alignment horizontal="center" vertical="center" shrinkToFit="1"/>
    </xf>
    <xf numFmtId="0" fontId="14" fillId="0" borderId="74" xfId="0" applyFont="1" applyBorder="1" applyAlignment="1">
      <alignment horizontal="center" vertical="center" shrinkToFit="1"/>
    </xf>
    <xf numFmtId="0" fontId="14" fillId="0" borderId="75" xfId="0" applyFont="1" applyBorder="1" applyAlignment="1">
      <alignment horizontal="center" vertical="center" shrinkToFit="1"/>
    </xf>
    <xf numFmtId="0" fontId="13" fillId="0" borderId="18" xfId="0" applyFont="1" applyBorder="1" applyAlignment="1">
      <alignment horizontal="center" vertical="center" shrinkToFit="1"/>
    </xf>
    <xf numFmtId="0" fontId="13" fillId="0" borderId="26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3" borderId="16" xfId="0" applyFont="1" applyFill="1" applyBorder="1" applyAlignment="1">
      <alignment horizontal="center" vertical="center" shrinkToFit="1"/>
    </xf>
    <xf numFmtId="0" fontId="18" fillId="3" borderId="15" xfId="0" applyFont="1" applyFill="1" applyBorder="1" applyAlignment="1">
      <alignment horizontal="center" vertical="center" shrinkToFit="1"/>
    </xf>
    <xf numFmtId="0" fontId="18" fillId="3" borderId="61" xfId="0" applyFont="1" applyFill="1" applyBorder="1" applyAlignment="1">
      <alignment horizontal="center" vertical="center" shrinkToFit="1"/>
    </xf>
    <xf numFmtId="0" fontId="18" fillId="3" borderId="14" xfId="0" applyFont="1" applyFill="1" applyBorder="1" applyAlignment="1">
      <alignment horizontal="center" vertical="center" shrinkToFit="1"/>
    </xf>
    <xf numFmtId="0" fontId="18" fillId="3" borderId="17" xfId="0" applyFont="1" applyFill="1" applyBorder="1" applyAlignment="1">
      <alignment horizontal="center" vertical="center" shrinkToFit="1"/>
    </xf>
    <xf numFmtId="0" fontId="13" fillId="0" borderId="68" xfId="0" applyFont="1" applyBorder="1" applyAlignment="1">
      <alignment horizontal="center" vertical="center" shrinkToFit="1"/>
    </xf>
    <xf numFmtId="0" fontId="13" fillId="0" borderId="69" xfId="0" applyFont="1" applyBorder="1" applyAlignment="1">
      <alignment horizontal="center" vertical="center" shrinkToFit="1"/>
    </xf>
    <xf numFmtId="0" fontId="18" fillId="3" borderId="16" xfId="0" applyFont="1" applyFill="1" applyBorder="1" applyAlignment="1">
      <alignment horizontal="center" vertical="center" shrinkToFit="1"/>
    </xf>
    <xf numFmtId="0" fontId="13" fillId="3" borderId="14" xfId="0" applyFont="1" applyFill="1" applyBorder="1" applyAlignment="1">
      <alignment horizontal="center" vertical="center" shrinkToFit="1"/>
    </xf>
    <xf numFmtId="0" fontId="13" fillId="3" borderId="17" xfId="0" applyFont="1" applyFill="1" applyBorder="1" applyAlignment="1">
      <alignment horizontal="center" vertical="center" shrinkToFit="1"/>
    </xf>
    <xf numFmtId="0" fontId="13" fillId="0" borderId="53" xfId="0" applyFont="1" applyBorder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54" xfId="0" applyFont="1" applyBorder="1" applyAlignment="1">
      <alignment horizontal="center" vertical="center" shrinkToFit="1"/>
    </xf>
    <xf numFmtId="0" fontId="13" fillId="0" borderId="44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3" fillId="0" borderId="46" xfId="0" applyFont="1" applyBorder="1" applyAlignment="1">
      <alignment horizontal="center" vertical="center" shrinkToFit="1"/>
    </xf>
    <xf numFmtId="0" fontId="14" fillId="4" borderId="11" xfId="0" applyFont="1" applyFill="1" applyBorder="1" applyAlignment="1">
      <alignment horizontal="center" vertical="center" shrinkToFit="1"/>
    </xf>
    <xf numFmtId="1" fontId="15" fillId="4" borderId="44" xfId="0" applyNumberFormat="1" applyFont="1" applyFill="1" applyBorder="1" applyAlignment="1">
      <alignment horizontal="center" vertical="center" shrinkToFit="1"/>
    </xf>
    <xf numFmtId="0" fontId="15" fillId="4" borderId="52" xfId="0" applyFont="1" applyFill="1" applyBorder="1" applyAlignment="1">
      <alignment horizontal="center" vertical="center" shrinkToFit="1"/>
    </xf>
    <xf numFmtId="176" fontId="12" fillId="0" borderId="27" xfId="0" applyNumberFormat="1" applyFont="1" applyBorder="1" applyAlignment="1">
      <alignment horizontal="right" vertical="center" shrinkToFit="1"/>
    </xf>
    <xf numFmtId="1" fontId="12" fillId="0" borderId="27" xfId="0" applyNumberFormat="1" applyFont="1" applyBorder="1" applyAlignment="1">
      <alignment horizontal="right" vertical="center" shrinkToFit="1"/>
    </xf>
    <xf numFmtId="0" fontId="10" fillId="0" borderId="0" xfId="0" applyFont="1" applyAlignment="1">
      <alignment horizontal="center" vertical="center" shrinkToFit="1"/>
    </xf>
    <xf numFmtId="0" fontId="15" fillId="0" borderId="10" xfId="0" applyFont="1" applyBorder="1" applyAlignment="1">
      <alignment vertical="center" shrinkToFit="1"/>
    </xf>
    <xf numFmtId="1" fontId="19" fillId="0" borderId="1" xfId="0" applyNumberFormat="1" applyFont="1" applyBorder="1" applyAlignment="1">
      <alignment horizontal="right" vertical="center" shrinkToFit="1"/>
    </xf>
    <xf numFmtId="0" fontId="15" fillId="0" borderId="47" xfId="0" applyFont="1" applyBorder="1" applyAlignment="1">
      <alignment horizontal="right" vertical="center" shrinkToFit="1"/>
    </xf>
    <xf numFmtId="0" fontId="15" fillId="0" borderId="48" xfId="0" applyFont="1" applyBorder="1" applyAlignment="1">
      <alignment horizontal="left" vertical="center" shrinkToFit="1"/>
    </xf>
    <xf numFmtId="0" fontId="15" fillId="0" borderId="49" xfId="0" applyFont="1" applyBorder="1" applyAlignment="1">
      <alignment horizontal="right" vertical="center" shrinkToFit="1"/>
    </xf>
    <xf numFmtId="1" fontId="19" fillId="0" borderId="50" xfId="0" applyNumberFormat="1" applyFont="1" applyBorder="1" applyAlignment="1">
      <alignment horizontal="right" vertical="center" shrinkToFit="1"/>
    </xf>
    <xf numFmtId="0" fontId="15" fillId="0" borderId="21" xfId="0" applyFont="1" applyBorder="1" applyAlignment="1">
      <alignment horizontal="right" vertical="center" shrinkToFit="1"/>
    </xf>
    <xf numFmtId="0" fontId="15" fillId="0" borderId="18" xfId="0" applyFont="1" applyBorder="1" applyAlignment="1">
      <alignment horizontal="left" vertical="center" shrinkToFit="1"/>
    </xf>
    <xf numFmtId="0" fontId="15" fillId="0" borderId="11" xfId="0" applyFont="1" applyBorder="1" applyAlignment="1">
      <alignment vertical="center" shrinkToFit="1"/>
    </xf>
    <xf numFmtId="1" fontId="19" fillId="0" borderId="51" xfId="0" applyNumberFormat="1" applyFont="1" applyBorder="1" applyAlignment="1">
      <alignment vertical="center" shrinkToFit="1"/>
    </xf>
    <xf numFmtId="0" fontId="15" fillId="0" borderId="23" xfId="0" applyFont="1" applyBorder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5" fillId="0" borderId="7" xfId="0" applyFont="1" applyBorder="1" applyAlignment="1">
      <alignment vertical="center" shrinkToFit="1"/>
    </xf>
    <xf numFmtId="1" fontId="19" fillId="0" borderId="3" xfId="0" applyNumberFormat="1" applyFont="1" applyBorder="1" applyAlignment="1">
      <alignment vertical="center" shrinkToFit="1"/>
    </xf>
    <xf numFmtId="0" fontId="15" fillId="0" borderId="24" xfId="0" applyFont="1" applyBorder="1" applyAlignment="1">
      <alignment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1" fontId="19" fillId="0" borderId="13" xfId="0" applyNumberFormat="1" applyFont="1" applyBorder="1" applyAlignment="1">
      <alignment vertical="center" shrinkToFit="1"/>
    </xf>
    <xf numFmtId="0" fontId="14" fillId="0" borderId="56" xfId="0" applyFont="1" applyBorder="1" applyAlignment="1">
      <alignment horizontal="center" vertical="center" shrinkToFit="1"/>
    </xf>
    <xf numFmtId="0" fontId="14" fillId="0" borderId="57" xfId="0" applyFont="1" applyBorder="1" applyAlignment="1">
      <alignment horizontal="center" vertical="center" shrinkToFit="1"/>
    </xf>
    <xf numFmtId="0" fontId="14" fillId="0" borderId="52" xfId="0" applyFont="1" applyBorder="1" applyAlignment="1">
      <alignment horizontal="center" vertical="center" shrinkToFit="1"/>
    </xf>
    <xf numFmtId="0" fontId="14" fillId="0" borderId="58" xfId="0" applyFont="1" applyBorder="1" applyAlignment="1">
      <alignment horizontal="center" vertical="center" shrinkToFit="1"/>
    </xf>
    <xf numFmtId="0" fontId="15" fillId="0" borderId="49" xfId="0" applyFont="1" applyBorder="1" applyAlignment="1">
      <alignment vertical="center" shrinkToFit="1"/>
    </xf>
    <xf numFmtId="1" fontId="16" fillId="0" borderId="1" xfId="0" applyNumberFormat="1" applyFont="1" applyBorder="1" applyAlignment="1">
      <alignment horizontal="right" vertical="center" shrinkToFit="1"/>
    </xf>
    <xf numFmtId="1" fontId="16" fillId="0" borderId="50" xfId="0" applyNumberFormat="1" applyFont="1" applyBorder="1" applyAlignment="1">
      <alignment horizontal="right" vertical="center" shrinkToFit="1"/>
    </xf>
    <xf numFmtId="0" fontId="14" fillId="2" borderId="11" xfId="0" applyFont="1" applyFill="1" applyBorder="1" applyAlignment="1">
      <alignment horizontal="center" vertical="center"/>
    </xf>
    <xf numFmtId="1" fontId="16" fillId="0" borderId="43" xfId="0" applyNumberFormat="1" applyFont="1" applyBorder="1" applyAlignment="1">
      <alignment vertical="center" shrinkToFit="1"/>
    </xf>
    <xf numFmtId="1" fontId="16" fillId="0" borderId="44" xfId="0" applyNumberFormat="1" applyFont="1" applyBorder="1" applyAlignment="1">
      <alignment vertical="center" shrinkToFit="1"/>
    </xf>
    <xf numFmtId="1" fontId="16" fillId="0" borderId="60" xfId="0" applyNumberFormat="1" applyFont="1" applyBorder="1" applyAlignment="1">
      <alignment vertical="center" shrinkToFit="1"/>
    </xf>
    <xf numFmtId="1" fontId="16" fillId="0" borderId="45" xfId="0" applyNumberFormat="1" applyFont="1" applyBorder="1" applyAlignment="1">
      <alignment vertical="center" shrinkToFit="1"/>
    </xf>
    <xf numFmtId="1" fontId="16" fillId="0" borderId="46" xfId="0" applyNumberFormat="1" applyFont="1" applyBorder="1" applyAlignment="1">
      <alignment vertical="center" shrinkToFit="1"/>
    </xf>
    <xf numFmtId="1" fontId="5" fillId="0" borderId="5" xfId="0" applyNumberFormat="1" applyFont="1" applyBorder="1" applyAlignment="1">
      <alignment horizontal="right" vertical="center" shrinkToFit="1"/>
    </xf>
    <xf numFmtId="0" fontId="15" fillId="2" borderId="76" xfId="0" applyFont="1" applyFill="1" applyBorder="1" applyAlignment="1">
      <alignment horizontal="center" vertical="center" shrinkToFit="1"/>
    </xf>
    <xf numFmtId="0" fontId="14" fillId="0" borderId="77" xfId="0" applyFont="1" applyBorder="1" applyAlignment="1">
      <alignment horizontal="center" vertical="center" shrinkToFit="1"/>
    </xf>
    <xf numFmtId="0" fontId="14" fillId="0" borderId="76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14" fillId="0" borderId="78" xfId="0" applyFont="1" applyBorder="1" applyAlignment="1">
      <alignment horizontal="center" vertical="center" shrinkToFit="1"/>
    </xf>
    <xf numFmtId="0" fontId="14" fillId="0" borderId="79" xfId="0" applyFont="1" applyBorder="1" applyAlignment="1">
      <alignment horizontal="center" vertical="center" shrinkToFit="1"/>
    </xf>
    <xf numFmtId="176" fontId="12" fillId="0" borderId="53" xfId="0" applyNumberFormat="1" applyFont="1" applyBorder="1" applyAlignment="1">
      <alignment horizontal="right" vertical="center" shrinkToFit="1"/>
    </xf>
    <xf numFmtId="0" fontId="13" fillId="0" borderId="15" xfId="0" applyFont="1" applyBorder="1" applyAlignment="1">
      <alignment horizontal="center" vertical="center" shrinkToFit="1"/>
    </xf>
    <xf numFmtId="0" fontId="13" fillId="0" borderId="61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1" fontId="15" fillId="2" borderId="44" xfId="0" applyNumberFormat="1" applyFont="1" applyFill="1" applyBorder="1" applyAlignment="1">
      <alignment horizontal="center" vertical="center" shrinkToFit="1"/>
    </xf>
    <xf numFmtId="1" fontId="15" fillId="2" borderId="15" xfId="0" applyNumberFormat="1" applyFont="1" applyFill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" fontId="15" fillId="2" borderId="12" xfId="0" applyNumberFormat="1" applyFont="1" applyFill="1" applyBorder="1" applyAlignment="1">
      <alignment horizontal="center" vertical="center" shrinkToFit="1"/>
    </xf>
    <xf numFmtId="1" fontId="15" fillId="2" borderId="18" xfId="0" applyNumberFormat="1" applyFont="1" applyFill="1" applyBorder="1" applyAlignment="1">
      <alignment horizontal="center" vertical="center" shrinkToFit="1"/>
    </xf>
    <xf numFmtId="0" fontId="16" fillId="0" borderId="25" xfId="0" applyFont="1" applyBorder="1" applyAlignment="1">
      <alignment horizontal="center" shrinkToFit="1"/>
    </xf>
    <xf numFmtId="0" fontId="16" fillId="0" borderId="26" xfId="0" applyFont="1" applyBorder="1" applyAlignment="1">
      <alignment horizontal="center" shrinkToFit="1"/>
    </xf>
    <xf numFmtId="0" fontId="14" fillId="0" borderId="25" xfId="0" applyFont="1" applyBorder="1" applyAlignment="1">
      <alignment horizontal="left" vertical="center" shrinkToFit="1"/>
    </xf>
    <xf numFmtId="0" fontId="14" fillId="0" borderId="26" xfId="0" applyFont="1" applyBorder="1" applyAlignment="1">
      <alignment horizontal="left" vertical="center" shrinkToFit="1"/>
    </xf>
    <xf numFmtId="0" fontId="14" fillId="0" borderId="21" xfId="0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center" vertical="center" shrinkToFit="1"/>
    </xf>
    <xf numFmtId="1" fontId="15" fillId="4" borderId="44" xfId="0" applyNumberFormat="1" applyFont="1" applyFill="1" applyBorder="1" applyAlignment="1">
      <alignment horizontal="center" vertical="center" shrinkToFit="1"/>
    </xf>
    <xf numFmtId="1" fontId="15" fillId="4" borderId="15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" fontId="15" fillId="4" borderId="12" xfId="0" applyNumberFormat="1" applyFont="1" applyFill="1" applyBorder="1" applyAlignment="1">
      <alignment horizontal="center" vertical="center" shrinkToFit="1"/>
    </xf>
    <xf numFmtId="1" fontId="15" fillId="4" borderId="18" xfId="0" applyNumberFormat="1" applyFont="1" applyFill="1" applyBorder="1" applyAlignment="1">
      <alignment horizontal="center" vertical="center" shrinkToFit="1"/>
    </xf>
    <xf numFmtId="0" fontId="19" fillId="0" borderId="22" xfId="0" applyFont="1" applyBorder="1" applyAlignment="1">
      <alignment horizontal="center" shrinkToFit="1"/>
    </xf>
    <xf numFmtId="0" fontId="19" fillId="0" borderId="2" xfId="0" applyFont="1" applyBorder="1" applyAlignment="1">
      <alignment horizontal="center" shrinkToFit="1"/>
    </xf>
    <xf numFmtId="0" fontId="19" fillId="0" borderId="22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Z168"/>
  <sheetViews>
    <sheetView showGridLines="0" tabSelected="1" view="pageBreakPreview" zoomScale="60" zoomScaleNormal="100" workbookViewId="0">
      <selection activeCell="B9" sqref="B9"/>
    </sheetView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7" customWidth="1"/>
    <col min="7" max="7" width="5.6640625" style="7" hidden="1" customWidth="1"/>
    <col min="8" max="8" width="11.6640625" style="5" customWidth="1"/>
    <col min="9" max="9" width="5.6640625" style="7" customWidth="1"/>
    <col min="10" max="10" width="8.44140625" style="7" customWidth="1"/>
    <col min="11" max="11" width="11.6640625" style="5" customWidth="1"/>
    <col min="12" max="12" width="5.6640625" style="7" customWidth="1"/>
    <col min="13" max="13" width="2.88671875" style="4" customWidth="1"/>
    <col min="14" max="23" width="10.88671875" style="1" customWidth="1"/>
    <col min="24" max="26" width="14" style="1" customWidth="1"/>
    <col min="27" max="16384" width="13.109375" style="3"/>
  </cols>
  <sheetData>
    <row r="1" spans="2:26" ht="48" customHeight="1" thickBot="1">
      <c r="B1" s="179" t="s">
        <v>0</v>
      </c>
      <c r="C1" s="164"/>
      <c r="D1" s="164"/>
      <c r="E1" s="164"/>
      <c r="F1" s="164"/>
      <c r="G1" s="58"/>
      <c r="H1" s="164">
        <f>G1</f>
        <v>0</v>
      </c>
      <c r="I1" s="164"/>
      <c r="J1" s="42"/>
      <c r="K1" s="164"/>
      <c r="L1" s="164"/>
    </row>
    <row r="2" spans="2:26" ht="50.1" customHeight="1">
      <c r="B2" s="169"/>
      <c r="C2" s="170"/>
      <c r="D2" s="170"/>
      <c r="E2" s="118"/>
      <c r="F2" s="104" t="s">
        <v>3</v>
      </c>
      <c r="G2" s="44"/>
      <c r="H2" s="119" t="str">
        <f>IF($G$2="","",G2)</f>
        <v/>
      </c>
      <c r="I2" s="105" t="s">
        <v>4</v>
      </c>
      <c r="J2" s="152"/>
      <c r="K2" s="159"/>
      <c r="L2" s="105"/>
      <c r="N2" s="1" t="s">
        <v>37</v>
      </c>
      <c r="O2" s="1">
        <v>10</v>
      </c>
      <c r="P2" s="1" t="s">
        <v>38</v>
      </c>
    </row>
    <row r="3" spans="2:26" s="4" customFormat="1" ht="36" customHeight="1" thickBot="1">
      <c r="B3" s="8"/>
      <c r="C3" s="9"/>
      <c r="D3" s="61" t="s">
        <v>9</v>
      </c>
      <c r="E3" s="171" t="s">
        <v>0</v>
      </c>
      <c r="F3" s="172"/>
      <c r="G3" s="62"/>
      <c r="H3" s="171" t="s">
        <v>1</v>
      </c>
      <c r="I3" s="166"/>
      <c r="J3" s="153" t="s">
        <v>36</v>
      </c>
      <c r="K3" s="165" t="s">
        <v>39</v>
      </c>
      <c r="L3" s="16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 ht="36" customHeight="1" thickTop="1">
      <c r="B4" s="175" t="s">
        <v>7</v>
      </c>
      <c r="C4" s="176"/>
      <c r="D4" s="65">
        <v>1</v>
      </c>
      <c r="E4" s="66">
        <f>D4*$E$2</f>
        <v>0</v>
      </c>
      <c r="F4" s="59" t="str">
        <f>$F$2</f>
        <v>g</v>
      </c>
      <c r="G4" s="38"/>
      <c r="H4" s="85" t="str">
        <f>IF($G$3="", "", E4*$G$3%)</f>
        <v/>
      </c>
      <c r="I4" s="99" t="s">
        <v>3</v>
      </c>
      <c r="J4" s="154"/>
      <c r="K4" s="147">
        <f>IF(F4="g", IF(I4="g", IFERROR(E4+H4, 0), 0), 0)</f>
        <v>0</v>
      </c>
      <c r="L4" s="60" t="s">
        <v>40</v>
      </c>
      <c r="N4" s="51"/>
      <c r="O4" s="52">
        <f>SUM(O6:O10)</f>
        <v>0</v>
      </c>
      <c r="P4" s="52">
        <f>SUM(P6:P10)</f>
        <v>0</v>
      </c>
      <c r="Q4" s="53">
        <f>SUM(Q6:Q10)</f>
        <v>0</v>
      </c>
    </row>
    <row r="5" spans="2:26" ht="36" customHeight="1" thickBot="1">
      <c r="B5" s="177" t="str">
        <f>D5&amp;"人（C. フリーズ分も同様）"</f>
        <v>10人（C. フリーズ分も同様）</v>
      </c>
      <c r="C5" s="178"/>
      <c r="D5" s="67">
        <f>O2</f>
        <v>10</v>
      </c>
      <c r="E5" s="68">
        <f>D5*$E$2</f>
        <v>0</v>
      </c>
      <c r="F5" s="95" t="str">
        <f t="shared" ref="F5:F155" si="0">$F$2</f>
        <v>g</v>
      </c>
      <c r="G5" s="39"/>
      <c r="H5" s="86" t="str">
        <f>IF($G$3="", "", E5*$G$3%)</f>
        <v/>
      </c>
      <c r="I5" s="100" t="str">
        <f>$I$4</f>
        <v>g</v>
      </c>
      <c r="J5" s="155"/>
      <c r="K5" s="147">
        <f t="shared" ref="K5:K155" si="1">IF(F5="g", IF(I5="g", IFERROR(E5+H5, 0), 0), 0)</f>
        <v>0</v>
      </c>
      <c r="L5" s="160" t="s">
        <v>3</v>
      </c>
      <c r="N5" s="54" t="s">
        <v>8</v>
      </c>
      <c r="O5" s="55" t="s">
        <v>34</v>
      </c>
      <c r="P5" s="55" t="s">
        <v>14</v>
      </c>
      <c r="Q5" s="56" t="s">
        <v>35</v>
      </c>
    </row>
    <row r="6" spans="2:26" ht="36" customHeight="1" thickTop="1">
      <c r="B6" s="69">
        <f>O2</f>
        <v>10</v>
      </c>
      <c r="C6" s="70" t="s">
        <v>31</v>
      </c>
      <c r="D6" s="71">
        <v>0</v>
      </c>
      <c r="E6" s="72">
        <f>$E$2*B6</f>
        <v>0</v>
      </c>
      <c r="F6" s="96" t="str">
        <f t="shared" si="0"/>
        <v>g</v>
      </c>
      <c r="G6" s="46"/>
      <c r="H6" s="87" t="str">
        <f>IF($H$4="", "", B6*$H$4)</f>
        <v/>
      </c>
      <c r="I6" s="101" t="s">
        <v>3</v>
      </c>
      <c r="J6" s="156">
        <f>IF($O$2=10, O6, P6)</f>
        <v>0</v>
      </c>
      <c r="K6" s="149">
        <f t="shared" si="1"/>
        <v>0</v>
      </c>
      <c r="L6" s="161" t="s">
        <v>3</v>
      </c>
      <c r="N6" s="47"/>
      <c r="O6" s="48"/>
      <c r="P6" s="49"/>
      <c r="Q6" s="50"/>
      <c r="R6" s="3"/>
      <c r="S6" s="3"/>
      <c r="T6" s="3"/>
      <c r="U6" s="3"/>
      <c r="V6" s="3"/>
      <c r="W6" s="3"/>
      <c r="X6" s="3"/>
      <c r="Y6" s="3"/>
      <c r="Z6" s="3"/>
    </row>
    <row r="7" spans="2:26" ht="36" customHeight="1">
      <c r="B7" s="73">
        <f>O2</f>
        <v>10</v>
      </c>
      <c r="C7" s="74" t="s">
        <v>32</v>
      </c>
      <c r="D7" s="65">
        <v>0</v>
      </c>
      <c r="E7" s="66">
        <f>$E$2*B7</f>
        <v>0</v>
      </c>
      <c r="F7" s="59" t="str">
        <f t="shared" si="0"/>
        <v>g</v>
      </c>
      <c r="G7" s="38"/>
      <c r="H7" s="85" t="str">
        <f t="shared" ref="H7:H10" si="2">IF($H$4="", "", B7*$H$4)</f>
        <v/>
      </c>
      <c r="I7" s="99" t="s">
        <v>3</v>
      </c>
      <c r="J7" s="157">
        <f>IF($O$2=10, O7, P7)</f>
        <v>0</v>
      </c>
      <c r="K7" s="147">
        <f t="shared" si="1"/>
        <v>0</v>
      </c>
      <c r="L7" s="60" t="s">
        <v>3</v>
      </c>
      <c r="N7" s="47"/>
      <c r="O7" s="48"/>
      <c r="P7" s="49"/>
      <c r="Q7" s="50"/>
      <c r="R7" s="3"/>
      <c r="S7" s="3"/>
      <c r="T7" s="3"/>
      <c r="U7" s="3"/>
      <c r="V7" s="3"/>
      <c r="W7" s="3"/>
      <c r="X7" s="3"/>
      <c r="Y7" s="3"/>
      <c r="Z7" s="3"/>
    </row>
    <row r="8" spans="2:26" ht="36" customHeight="1">
      <c r="B8" s="73">
        <v>1</v>
      </c>
      <c r="C8" s="74" t="s">
        <v>41</v>
      </c>
      <c r="D8" s="65">
        <v>0</v>
      </c>
      <c r="E8" s="66">
        <v>50</v>
      </c>
      <c r="F8" s="59" t="str">
        <f t="shared" si="0"/>
        <v>g</v>
      </c>
      <c r="G8" s="38"/>
      <c r="H8" s="85" t="str">
        <f t="shared" ref="H8" si="3">IF($H$4="", "", B8*$H$4)</f>
        <v/>
      </c>
      <c r="I8" s="99" t="s">
        <v>3</v>
      </c>
      <c r="J8" s="157"/>
      <c r="K8" s="147">
        <f t="shared" ref="K8" si="4">IF(F8="g", IF(I8="g", IFERROR(E8+H8, 0), 0), 0)</f>
        <v>0</v>
      </c>
      <c r="L8" s="60" t="s">
        <v>3</v>
      </c>
      <c r="N8" s="47"/>
      <c r="O8" s="49"/>
      <c r="P8" s="49"/>
      <c r="Q8" s="50"/>
      <c r="R8" s="3"/>
      <c r="S8" s="3"/>
      <c r="T8" s="3"/>
      <c r="U8" s="3"/>
      <c r="V8" s="3"/>
      <c r="W8" s="3"/>
      <c r="X8" s="3"/>
      <c r="Y8" s="3"/>
      <c r="Z8" s="3"/>
    </row>
    <row r="9" spans="2:26" ht="36" customHeight="1">
      <c r="B9" s="73">
        <v>1</v>
      </c>
      <c r="C9" s="74" t="s">
        <v>32</v>
      </c>
      <c r="D9" s="65">
        <v>0</v>
      </c>
      <c r="E9" s="66">
        <f>$E$2*B9</f>
        <v>0</v>
      </c>
      <c r="F9" s="59" t="str">
        <f t="shared" si="0"/>
        <v>g</v>
      </c>
      <c r="G9" s="38"/>
      <c r="H9" s="85" t="str">
        <f t="shared" si="2"/>
        <v/>
      </c>
      <c r="I9" s="99" t="s">
        <v>3</v>
      </c>
      <c r="J9" s="157"/>
      <c r="K9" s="147">
        <f t="shared" si="1"/>
        <v>0</v>
      </c>
      <c r="L9" s="60" t="s">
        <v>3</v>
      </c>
      <c r="N9" s="47"/>
      <c r="O9" s="49"/>
      <c r="P9" s="49"/>
      <c r="Q9" s="50"/>
      <c r="R9" s="3"/>
      <c r="S9" s="3"/>
      <c r="T9" s="3"/>
      <c r="U9" s="3"/>
      <c r="V9" s="3"/>
      <c r="W9" s="3"/>
      <c r="X9" s="3"/>
      <c r="Y9" s="3"/>
      <c r="Z9" s="3"/>
    </row>
    <row r="10" spans="2:26" ht="36" customHeight="1" thickBot="1">
      <c r="B10" s="75">
        <v>1</v>
      </c>
      <c r="C10" s="76" t="s">
        <v>33</v>
      </c>
      <c r="D10" s="67">
        <v>0</v>
      </c>
      <c r="E10" s="68">
        <f>$E$2*B10</f>
        <v>0</v>
      </c>
      <c r="F10" s="95" t="str">
        <f t="shared" si="0"/>
        <v>g</v>
      </c>
      <c r="G10" s="39"/>
      <c r="H10" s="86" t="str">
        <f t="shared" si="2"/>
        <v/>
      </c>
      <c r="I10" s="100" t="s">
        <v>3</v>
      </c>
      <c r="J10" s="155"/>
      <c r="K10" s="148">
        <f t="shared" si="1"/>
        <v>0</v>
      </c>
      <c r="L10" s="160" t="s">
        <v>3</v>
      </c>
      <c r="N10" s="47"/>
      <c r="O10" s="49"/>
      <c r="P10" s="49"/>
      <c r="Q10" s="50"/>
      <c r="R10" s="3"/>
      <c r="S10" s="3"/>
      <c r="T10" s="3"/>
      <c r="U10" s="3"/>
      <c r="V10" s="3"/>
      <c r="W10" s="3"/>
      <c r="X10" s="3"/>
      <c r="Y10" s="3"/>
      <c r="Z10" s="3"/>
    </row>
    <row r="11" spans="2:26" ht="36" customHeight="1" thickTop="1">
      <c r="B11" s="173" t="s">
        <v>23</v>
      </c>
      <c r="C11" s="174"/>
      <c r="D11" s="65">
        <f>ソフト!D8</f>
        <v>0</v>
      </c>
      <c r="E11" s="66">
        <f>$E$2*D11</f>
        <v>0</v>
      </c>
      <c r="F11" s="59" t="str">
        <f t="shared" si="0"/>
        <v>g</v>
      </c>
      <c r="G11" s="38"/>
      <c r="H11" s="85"/>
      <c r="I11" s="99"/>
      <c r="J11" s="156"/>
      <c r="K11" s="147">
        <f t="shared" si="1"/>
        <v>0</v>
      </c>
      <c r="L11" s="60" t="s">
        <v>3</v>
      </c>
    </row>
    <row r="12" spans="2:26" ht="36" customHeight="1">
      <c r="B12" s="167" t="s">
        <v>21</v>
      </c>
      <c r="C12" s="168"/>
      <c r="D12" s="65">
        <f>ミキサー!D8</f>
        <v>0</v>
      </c>
      <c r="E12" s="77">
        <f>$E$2*D12</f>
        <v>0</v>
      </c>
      <c r="F12" s="97" t="str">
        <f t="shared" si="0"/>
        <v>g</v>
      </c>
      <c r="G12" s="40"/>
      <c r="H12" s="88"/>
      <c r="I12" s="102"/>
      <c r="J12" s="157"/>
      <c r="K12" s="150">
        <f t="shared" si="1"/>
        <v>0</v>
      </c>
      <c r="L12" s="162" t="s">
        <v>3</v>
      </c>
      <c r="N12" s="19"/>
      <c r="O12" s="20">
        <f>SUM(O14:O155)</f>
        <v>0</v>
      </c>
      <c r="P12" s="21"/>
      <c r="Q12" s="22">
        <f>SUM(Q14:Q155)</f>
        <v>0</v>
      </c>
      <c r="R12" s="20">
        <f>SUM(R14:R155)</f>
        <v>0</v>
      </c>
      <c r="S12" s="21"/>
      <c r="T12" s="22">
        <f>SUM(T14:T155)</f>
        <v>0</v>
      </c>
      <c r="U12" s="20">
        <f>SUM(U14:U155)</f>
        <v>0</v>
      </c>
      <c r="V12" s="21"/>
      <c r="W12" s="23">
        <f>SUM(W14:W155)</f>
        <v>0</v>
      </c>
    </row>
    <row r="13" spans="2:26" ht="36" customHeight="1">
      <c r="B13" s="167" t="s">
        <v>22</v>
      </c>
      <c r="C13" s="168"/>
      <c r="D13" s="78">
        <f>ゼリー!D8</f>
        <v>0</v>
      </c>
      <c r="E13" s="77">
        <f>$E$2*D13</f>
        <v>0</v>
      </c>
      <c r="F13" s="97" t="str">
        <f t="shared" si="0"/>
        <v>g</v>
      </c>
      <c r="G13" s="40"/>
      <c r="H13" s="88"/>
      <c r="I13" s="102"/>
      <c r="J13" s="157"/>
      <c r="K13" s="150">
        <f t="shared" si="1"/>
        <v>0</v>
      </c>
      <c r="L13" s="162" t="s">
        <v>3</v>
      </c>
      <c r="N13" s="36" t="s">
        <v>8</v>
      </c>
      <c r="O13" s="33" t="s">
        <v>12</v>
      </c>
      <c r="P13" s="34" t="s">
        <v>15</v>
      </c>
      <c r="Q13" s="35" t="s">
        <v>18</v>
      </c>
      <c r="R13" s="33" t="s">
        <v>13</v>
      </c>
      <c r="S13" s="34" t="s">
        <v>16</v>
      </c>
      <c r="T13" s="35" t="s">
        <v>19</v>
      </c>
      <c r="U13" s="33" t="s">
        <v>14</v>
      </c>
      <c r="V13" s="34" t="s">
        <v>17</v>
      </c>
      <c r="W13" s="37" t="s">
        <v>20</v>
      </c>
    </row>
    <row r="14" spans="2:26" ht="36" customHeight="1">
      <c r="B14" s="79"/>
      <c r="C14" s="80"/>
      <c r="D14" s="78">
        <f>IF($O$2=10,$P14, $V14)</f>
        <v>0</v>
      </c>
      <c r="E14" s="77">
        <f t="shared" ref="E14:E45" si="5">D14*$E$2</f>
        <v>0</v>
      </c>
      <c r="F14" s="97" t="str">
        <f t="shared" si="0"/>
        <v>g</v>
      </c>
      <c r="G14" s="40"/>
      <c r="H14" s="88" t="str">
        <f>IF($G$3="", "", E14*$G$3%)</f>
        <v/>
      </c>
      <c r="I14" s="102" t="str">
        <f t="shared" ref="I14:I155" si="6">$I$4</f>
        <v>g</v>
      </c>
      <c r="J14" s="157"/>
      <c r="K14" s="150">
        <f t="shared" si="1"/>
        <v>0</v>
      </c>
      <c r="L14" s="162" t="s">
        <v>3</v>
      </c>
      <c r="N14" s="26"/>
      <c r="O14" s="13"/>
      <c r="P14" s="14"/>
      <c r="Q14" s="15"/>
      <c r="R14" s="13"/>
      <c r="S14" s="14"/>
      <c r="T14" s="15"/>
      <c r="U14" s="13"/>
      <c r="V14" s="14"/>
      <c r="W14" s="27"/>
    </row>
    <row r="15" spans="2:26" ht="36" customHeight="1">
      <c r="B15" s="79"/>
      <c r="C15" s="80"/>
      <c r="D15" s="78">
        <f t="shared" ref="D15:D155" si="7">IF($O$2=10,$P15, $V15)</f>
        <v>0</v>
      </c>
      <c r="E15" s="77">
        <f t="shared" si="5"/>
        <v>0</v>
      </c>
      <c r="F15" s="97" t="str">
        <f t="shared" si="0"/>
        <v>g</v>
      </c>
      <c r="G15" s="40"/>
      <c r="H15" s="88" t="str">
        <f t="shared" ref="H15:H155" si="8">IF($G$3="", "", E15*$G$3%)</f>
        <v/>
      </c>
      <c r="I15" s="102" t="str">
        <f t="shared" si="6"/>
        <v>g</v>
      </c>
      <c r="J15" s="157"/>
      <c r="K15" s="150">
        <f t="shared" si="1"/>
        <v>0</v>
      </c>
      <c r="L15" s="162" t="s">
        <v>3</v>
      </c>
      <c r="N15" s="26"/>
      <c r="O15" s="13"/>
      <c r="P15" s="14"/>
      <c r="Q15" s="15"/>
      <c r="R15" s="13"/>
      <c r="S15" s="14"/>
      <c r="T15" s="15"/>
      <c r="U15" s="13"/>
      <c r="V15" s="14"/>
      <c r="W15" s="27"/>
    </row>
    <row r="16" spans="2:26" ht="36" customHeight="1">
      <c r="B16" s="79"/>
      <c r="C16" s="80"/>
      <c r="D16" s="78">
        <f t="shared" si="7"/>
        <v>0</v>
      </c>
      <c r="E16" s="77">
        <f t="shared" si="5"/>
        <v>0</v>
      </c>
      <c r="F16" s="97" t="str">
        <f t="shared" si="0"/>
        <v>g</v>
      </c>
      <c r="G16" s="40"/>
      <c r="H16" s="88" t="str">
        <f t="shared" si="8"/>
        <v/>
      </c>
      <c r="I16" s="102" t="str">
        <f t="shared" si="6"/>
        <v>g</v>
      </c>
      <c r="J16" s="157"/>
      <c r="K16" s="150">
        <f t="shared" si="1"/>
        <v>0</v>
      </c>
      <c r="L16" s="162" t="s">
        <v>3</v>
      </c>
      <c r="N16" s="26"/>
      <c r="O16" s="13"/>
      <c r="P16" s="14"/>
      <c r="Q16" s="15"/>
      <c r="R16" s="13"/>
      <c r="S16" s="14"/>
      <c r="T16" s="15"/>
      <c r="U16" s="13"/>
      <c r="V16" s="14"/>
      <c r="W16" s="27"/>
    </row>
    <row r="17" spans="2:23" ht="36" customHeight="1">
      <c r="B17" s="79"/>
      <c r="C17" s="80"/>
      <c r="D17" s="78">
        <f t="shared" si="7"/>
        <v>0</v>
      </c>
      <c r="E17" s="77">
        <f t="shared" si="5"/>
        <v>0</v>
      </c>
      <c r="F17" s="97" t="str">
        <f t="shared" si="0"/>
        <v>g</v>
      </c>
      <c r="G17" s="40"/>
      <c r="H17" s="88" t="str">
        <f t="shared" si="8"/>
        <v/>
      </c>
      <c r="I17" s="102" t="str">
        <f t="shared" si="6"/>
        <v>g</v>
      </c>
      <c r="J17" s="157"/>
      <c r="K17" s="150">
        <f t="shared" si="1"/>
        <v>0</v>
      </c>
      <c r="L17" s="162" t="s">
        <v>3</v>
      </c>
      <c r="N17" s="26"/>
      <c r="O17" s="13"/>
      <c r="P17" s="14"/>
      <c r="Q17" s="15"/>
      <c r="R17" s="13"/>
      <c r="S17" s="14"/>
      <c r="T17" s="15"/>
      <c r="U17" s="13"/>
      <c r="V17" s="14"/>
      <c r="W17" s="27"/>
    </row>
    <row r="18" spans="2:23" ht="36" customHeight="1">
      <c r="B18" s="79"/>
      <c r="C18" s="80"/>
      <c r="D18" s="78">
        <f t="shared" si="7"/>
        <v>0</v>
      </c>
      <c r="E18" s="77">
        <f t="shared" si="5"/>
        <v>0</v>
      </c>
      <c r="F18" s="97" t="str">
        <f t="shared" si="0"/>
        <v>g</v>
      </c>
      <c r="G18" s="40"/>
      <c r="H18" s="88" t="str">
        <f t="shared" si="8"/>
        <v/>
      </c>
      <c r="I18" s="102" t="str">
        <f t="shared" si="6"/>
        <v>g</v>
      </c>
      <c r="J18" s="157"/>
      <c r="K18" s="150">
        <f t="shared" si="1"/>
        <v>0</v>
      </c>
      <c r="L18" s="162" t="s">
        <v>3</v>
      </c>
      <c r="N18" s="26"/>
      <c r="O18" s="13"/>
      <c r="P18" s="14"/>
      <c r="Q18" s="15"/>
      <c r="R18" s="13"/>
      <c r="S18" s="14"/>
      <c r="T18" s="15"/>
      <c r="U18" s="13"/>
      <c r="V18" s="14"/>
      <c r="W18" s="27"/>
    </row>
    <row r="19" spans="2:23" ht="36" customHeight="1">
      <c r="B19" s="79"/>
      <c r="C19" s="80"/>
      <c r="D19" s="78">
        <f t="shared" si="7"/>
        <v>0</v>
      </c>
      <c r="E19" s="77">
        <f t="shared" si="5"/>
        <v>0</v>
      </c>
      <c r="F19" s="97" t="str">
        <f t="shared" si="0"/>
        <v>g</v>
      </c>
      <c r="G19" s="40"/>
      <c r="H19" s="88" t="str">
        <f t="shared" si="8"/>
        <v/>
      </c>
      <c r="I19" s="102" t="str">
        <f t="shared" si="6"/>
        <v>g</v>
      </c>
      <c r="J19" s="157"/>
      <c r="K19" s="150">
        <f t="shared" si="1"/>
        <v>0</v>
      </c>
      <c r="L19" s="162" t="s">
        <v>3</v>
      </c>
      <c r="N19" s="26"/>
      <c r="O19" s="13"/>
      <c r="P19" s="14"/>
      <c r="Q19" s="15"/>
      <c r="R19" s="13"/>
      <c r="S19" s="14"/>
      <c r="T19" s="15"/>
      <c r="U19" s="13"/>
      <c r="V19" s="14"/>
      <c r="W19" s="27"/>
    </row>
    <row r="20" spans="2:23" ht="36" customHeight="1">
      <c r="B20" s="79"/>
      <c r="C20" s="80"/>
      <c r="D20" s="78">
        <f t="shared" si="7"/>
        <v>0</v>
      </c>
      <c r="E20" s="77">
        <f t="shared" si="5"/>
        <v>0</v>
      </c>
      <c r="F20" s="97" t="str">
        <f t="shared" si="0"/>
        <v>g</v>
      </c>
      <c r="G20" s="40"/>
      <c r="H20" s="88" t="str">
        <f t="shared" si="8"/>
        <v/>
      </c>
      <c r="I20" s="102" t="str">
        <f t="shared" si="6"/>
        <v>g</v>
      </c>
      <c r="J20" s="157"/>
      <c r="K20" s="150">
        <f t="shared" si="1"/>
        <v>0</v>
      </c>
      <c r="L20" s="162" t="s">
        <v>3</v>
      </c>
      <c r="N20" s="26"/>
      <c r="O20" s="13"/>
      <c r="P20" s="14"/>
      <c r="Q20" s="15"/>
      <c r="R20" s="13"/>
      <c r="S20" s="14"/>
      <c r="T20" s="15"/>
      <c r="U20" s="13"/>
      <c r="V20" s="14"/>
      <c r="W20" s="27"/>
    </row>
    <row r="21" spans="2:23" ht="36" customHeight="1">
      <c r="B21" s="79"/>
      <c r="C21" s="80"/>
      <c r="D21" s="78">
        <f t="shared" si="7"/>
        <v>0</v>
      </c>
      <c r="E21" s="77">
        <f t="shared" si="5"/>
        <v>0</v>
      </c>
      <c r="F21" s="97" t="str">
        <f t="shared" si="0"/>
        <v>g</v>
      </c>
      <c r="G21" s="40"/>
      <c r="H21" s="88" t="str">
        <f t="shared" si="8"/>
        <v/>
      </c>
      <c r="I21" s="102" t="str">
        <f t="shared" si="6"/>
        <v>g</v>
      </c>
      <c r="J21" s="157"/>
      <c r="K21" s="150">
        <f t="shared" si="1"/>
        <v>0</v>
      </c>
      <c r="L21" s="162" t="s">
        <v>3</v>
      </c>
      <c r="N21" s="26"/>
      <c r="O21" s="13"/>
      <c r="P21" s="14"/>
      <c r="Q21" s="15"/>
      <c r="R21" s="13"/>
      <c r="S21" s="14"/>
      <c r="T21" s="15"/>
      <c r="U21" s="13"/>
      <c r="V21" s="14"/>
      <c r="W21" s="27"/>
    </row>
    <row r="22" spans="2:23" ht="36" customHeight="1">
      <c r="B22" s="79"/>
      <c r="C22" s="80"/>
      <c r="D22" s="78">
        <f t="shared" si="7"/>
        <v>0</v>
      </c>
      <c r="E22" s="77">
        <f t="shared" si="5"/>
        <v>0</v>
      </c>
      <c r="F22" s="97" t="str">
        <f t="shared" si="0"/>
        <v>g</v>
      </c>
      <c r="G22" s="40"/>
      <c r="H22" s="88" t="str">
        <f t="shared" si="8"/>
        <v/>
      </c>
      <c r="I22" s="102" t="str">
        <f t="shared" si="6"/>
        <v>g</v>
      </c>
      <c r="J22" s="157"/>
      <c r="K22" s="150">
        <f t="shared" si="1"/>
        <v>0</v>
      </c>
      <c r="L22" s="162" t="s">
        <v>3</v>
      </c>
      <c r="N22" s="26"/>
      <c r="O22" s="13"/>
      <c r="P22" s="14"/>
      <c r="Q22" s="15"/>
      <c r="R22" s="13"/>
      <c r="S22" s="14"/>
      <c r="T22" s="15"/>
      <c r="U22" s="13"/>
      <c r="V22" s="14"/>
      <c r="W22" s="27"/>
    </row>
    <row r="23" spans="2:23" ht="36" customHeight="1">
      <c r="B23" s="79"/>
      <c r="C23" s="80"/>
      <c r="D23" s="78">
        <f t="shared" si="7"/>
        <v>0</v>
      </c>
      <c r="E23" s="77">
        <f t="shared" si="5"/>
        <v>0</v>
      </c>
      <c r="F23" s="97" t="str">
        <f t="shared" si="0"/>
        <v>g</v>
      </c>
      <c r="G23" s="40"/>
      <c r="H23" s="88" t="str">
        <f t="shared" si="8"/>
        <v/>
      </c>
      <c r="I23" s="102" t="str">
        <f t="shared" si="6"/>
        <v>g</v>
      </c>
      <c r="J23" s="157"/>
      <c r="K23" s="150">
        <f t="shared" si="1"/>
        <v>0</v>
      </c>
      <c r="L23" s="162" t="s">
        <v>3</v>
      </c>
      <c r="N23" s="26"/>
      <c r="O23" s="13"/>
      <c r="P23" s="14"/>
      <c r="Q23" s="15"/>
      <c r="R23" s="13"/>
      <c r="S23" s="14"/>
      <c r="T23" s="15"/>
      <c r="U23" s="13"/>
      <c r="V23" s="14"/>
      <c r="W23" s="27"/>
    </row>
    <row r="24" spans="2:23" ht="36" customHeight="1">
      <c r="B24" s="79"/>
      <c r="C24" s="80"/>
      <c r="D24" s="78">
        <f t="shared" si="7"/>
        <v>0</v>
      </c>
      <c r="E24" s="77">
        <f t="shared" si="5"/>
        <v>0</v>
      </c>
      <c r="F24" s="97" t="str">
        <f t="shared" si="0"/>
        <v>g</v>
      </c>
      <c r="G24" s="40"/>
      <c r="H24" s="88" t="str">
        <f t="shared" si="8"/>
        <v/>
      </c>
      <c r="I24" s="102" t="str">
        <f t="shared" si="6"/>
        <v>g</v>
      </c>
      <c r="J24" s="157"/>
      <c r="K24" s="150">
        <f t="shared" si="1"/>
        <v>0</v>
      </c>
      <c r="L24" s="162" t="s">
        <v>3</v>
      </c>
      <c r="N24" s="26"/>
      <c r="O24" s="13"/>
      <c r="P24" s="14"/>
      <c r="Q24" s="15"/>
      <c r="R24" s="13"/>
      <c r="S24" s="14"/>
      <c r="T24" s="15"/>
      <c r="U24" s="13"/>
      <c r="V24" s="14"/>
      <c r="W24" s="27"/>
    </row>
    <row r="25" spans="2:23" ht="36" customHeight="1">
      <c r="B25" s="79"/>
      <c r="C25" s="80"/>
      <c r="D25" s="78">
        <f t="shared" si="7"/>
        <v>0</v>
      </c>
      <c r="E25" s="77">
        <f t="shared" si="5"/>
        <v>0</v>
      </c>
      <c r="F25" s="97" t="str">
        <f t="shared" si="0"/>
        <v>g</v>
      </c>
      <c r="G25" s="40"/>
      <c r="H25" s="88" t="str">
        <f t="shared" si="8"/>
        <v/>
      </c>
      <c r="I25" s="102" t="str">
        <f t="shared" si="6"/>
        <v>g</v>
      </c>
      <c r="J25" s="157"/>
      <c r="K25" s="150">
        <f t="shared" si="1"/>
        <v>0</v>
      </c>
      <c r="L25" s="162" t="s">
        <v>3</v>
      </c>
      <c r="N25" s="26"/>
      <c r="O25" s="13"/>
      <c r="P25" s="14"/>
      <c r="Q25" s="15"/>
      <c r="R25" s="13"/>
      <c r="S25" s="14"/>
      <c r="T25" s="15"/>
      <c r="U25" s="13"/>
      <c r="V25" s="14"/>
      <c r="W25" s="27"/>
    </row>
    <row r="26" spans="2:23" ht="36" customHeight="1">
      <c r="B26" s="79"/>
      <c r="C26" s="80"/>
      <c r="D26" s="78">
        <f t="shared" si="7"/>
        <v>0</v>
      </c>
      <c r="E26" s="77">
        <f t="shared" si="5"/>
        <v>0</v>
      </c>
      <c r="F26" s="97" t="str">
        <f t="shared" si="0"/>
        <v>g</v>
      </c>
      <c r="G26" s="40"/>
      <c r="H26" s="88" t="str">
        <f t="shared" si="8"/>
        <v/>
      </c>
      <c r="I26" s="102" t="str">
        <f t="shared" si="6"/>
        <v>g</v>
      </c>
      <c r="J26" s="157"/>
      <c r="K26" s="150">
        <f t="shared" si="1"/>
        <v>0</v>
      </c>
      <c r="L26" s="162" t="s">
        <v>3</v>
      </c>
      <c r="N26" s="26"/>
      <c r="O26" s="13"/>
      <c r="P26" s="14"/>
      <c r="Q26" s="15"/>
      <c r="R26" s="13"/>
      <c r="S26" s="14"/>
      <c r="T26" s="15"/>
      <c r="U26" s="13"/>
      <c r="V26" s="14"/>
      <c r="W26" s="27"/>
    </row>
    <row r="27" spans="2:23" ht="36" customHeight="1">
      <c r="B27" s="79"/>
      <c r="C27" s="80"/>
      <c r="D27" s="78">
        <f t="shared" si="7"/>
        <v>0</v>
      </c>
      <c r="E27" s="77">
        <f t="shared" si="5"/>
        <v>0</v>
      </c>
      <c r="F27" s="97" t="str">
        <f t="shared" si="0"/>
        <v>g</v>
      </c>
      <c r="G27" s="40"/>
      <c r="H27" s="88" t="str">
        <f t="shared" si="8"/>
        <v/>
      </c>
      <c r="I27" s="102" t="str">
        <f t="shared" si="6"/>
        <v>g</v>
      </c>
      <c r="J27" s="157"/>
      <c r="K27" s="150">
        <f t="shared" si="1"/>
        <v>0</v>
      </c>
      <c r="L27" s="162" t="s">
        <v>3</v>
      </c>
      <c r="N27" s="26"/>
      <c r="O27" s="13"/>
      <c r="P27" s="14"/>
      <c r="Q27" s="15"/>
      <c r="R27" s="13"/>
      <c r="S27" s="14"/>
      <c r="T27" s="15"/>
      <c r="U27" s="13"/>
      <c r="V27" s="14"/>
      <c r="W27" s="27"/>
    </row>
    <row r="28" spans="2:23" ht="36" customHeight="1">
      <c r="B28" s="79"/>
      <c r="C28" s="80"/>
      <c r="D28" s="78">
        <f t="shared" si="7"/>
        <v>0</v>
      </c>
      <c r="E28" s="77">
        <f t="shared" si="5"/>
        <v>0</v>
      </c>
      <c r="F28" s="97" t="str">
        <f t="shared" si="0"/>
        <v>g</v>
      </c>
      <c r="G28" s="40"/>
      <c r="H28" s="88" t="str">
        <f t="shared" si="8"/>
        <v/>
      </c>
      <c r="I28" s="102" t="str">
        <f t="shared" si="6"/>
        <v>g</v>
      </c>
      <c r="J28" s="157"/>
      <c r="K28" s="150">
        <f t="shared" si="1"/>
        <v>0</v>
      </c>
      <c r="L28" s="162" t="s">
        <v>3</v>
      </c>
      <c r="N28" s="26"/>
      <c r="O28" s="13"/>
      <c r="P28" s="14"/>
      <c r="Q28" s="15"/>
      <c r="R28" s="13"/>
      <c r="S28" s="14"/>
      <c r="T28" s="15"/>
      <c r="U28" s="13"/>
      <c r="V28" s="14"/>
      <c r="W28" s="27"/>
    </row>
    <row r="29" spans="2:23" ht="36" customHeight="1">
      <c r="B29" s="79"/>
      <c r="C29" s="80"/>
      <c r="D29" s="78">
        <f t="shared" si="7"/>
        <v>0</v>
      </c>
      <c r="E29" s="77">
        <f t="shared" si="5"/>
        <v>0</v>
      </c>
      <c r="F29" s="97" t="str">
        <f t="shared" si="0"/>
        <v>g</v>
      </c>
      <c r="G29" s="40"/>
      <c r="H29" s="88" t="str">
        <f t="shared" si="8"/>
        <v/>
      </c>
      <c r="I29" s="102" t="str">
        <f t="shared" si="6"/>
        <v>g</v>
      </c>
      <c r="J29" s="157"/>
      <c r="K29" s="150">
        <f t="shared" si="1"/>
        <v>0</v>
      </c>
      <c r="L29" s="162" t="s">
        <v>3</v>
      </c>
      <c r="N29" s="26"/>
      <c r="O29" s="13"/>
      <c r="P29" s="14"/>
      <c r="Q29" s="15"/>
      <c r="R29" s="13"/>
      <c r="S29" s="14"/>
      <c r="T29" s="15"/>
      <c r="U29" s="13"/>
      <c r="V29" s="14"/>
      <c r="W29" s="27"/>
    </row>
    <row r="30" spans="2:23" ht="36" customHeight="1">
      <c r="B30" s="79"/>
      <c r="C30" s="80"/>
      <c r="D30" s="78">
        <f t="shared" si="7"/>
        <v>0</v>
      </c>
      <c r="E30" s="77">
        <f t="shared" si="5"/>
        <v>0</v>
      </c>
      <c r="F30" s="97" t="str">
        <f t="shared" si="0"/>
        <v>g</v>
      </c>
      <c r="G30" s="40"/>
      <c r="H30" s="88" t="str">
        <f t="shared" si="8"/>
        <v/>
      </c>
      <c r="I30" s="102" t="str">
        <f t="shared" si="6"/>
        <v>g</v>
      </c>
      <c r="J30" s="157"/>
      <c r="K30" s="150">
        <f t="shared" si="1"/>
        <v>0</v>
      </c>
      <c r="L30" s="162" t="s">
        <v>3</v>
      </c>
      <c r="N30" s="26"/>
      <c r="O30" s="13"/>
      <c r="P30" s="14"/>
      <c r="Q30" s="15"/>
      <c r="R30" s="13"/>
      <c r="S30" s="14"/>
      <c r="T30" s="15"/>
      <c r="U30" s="13"/>
      <c r="V30" s="14"/>
      <c r="W30" s="27"/>
    </row>
    <row r="31" spans="2:23" ht="36" customHeight="1">
      <c r="B31" s="79"/>
      <c r="C31" s="80"/>
      <c r="D31" s="78">
        <f t="shared" si="7"/>
        <v>0</v>
      </c>
      <c r="E31" s="77">
        <f t="shared" si="5"/>
        <v>0</v>
      </c>
      <c r="F31" s="97" t="str">
        <f t="shared" si="0"/>
        <v>g</v>
      </c>
      <c r="G31" s="40"/>
      <c r="H31" s="88" t="str">
        <f t="shared" si="8"/>
        <v/>
      </c>
      <c r="I31" s="102" t="str">
        <f t="shared" si="6"/>
        <v>g</v>
      </c>
      <c r="J31" s="157"/>
      <c r="K31" s="150">
        <f t="shared" si="1"/>
        <v>0</v>
      </c>
      <c r="L31" s="162" t="s">
        <v>3</v>
      </c>
      <c r="N31" s="26"/>
      <c r="O31" s="13"/>
      <c r="P31" s="14"/>
      <c r="Q31" s="15"/>
      <c r="R31" s="13"/>
      <c r="S31" s="14"/>
      <c r="T31" s="15"/>
      <c r="U31" s="13"/>
      <c r="V31" s="14"/>
      <c r="W31" s="27"/>
    </row>
    <row r="32" spans="2:23" ht="36" customHeight="1">
      <c r="B32" s="79"/>
      <c r="C32" s="80"/>
      <c r="D32" s="78">
        <f t="shared" si="7"/>
        <v>0</v>
      </c>
      <c r="E32" s="77">
        <f t="shared" si="5"/>
        <v>0</v>
      </c>
      <c r="F32" s="97" t="str">
        <f t="shared" si="0"/>
        <v>g</v>
      </c>
      <c r="G32" s="40"/>
      <c r="H32" s="88" t="str">
        <f t="shared" si="8"/>
        <v/>
      </c>
      <c r="I32" s="102" t="str">
        <f t="shared" si="6"/>
        <v>g</v>
      </c>
      <c r="J32" s="157"/>
      <c r="K32" s="150">
        <f t="shared" si="1"/>
        <v>0</v>
      </c>
      <c r="L32" s="162" t="s">
        <v>3</v>
      </c>
      <c r="N32" s="26"/>
      <c r="O32" s="13"/>
      <c r="P32" s="14"/>
      <c r="Q32" s="15"/>
      <c r="R32" s="13"/>
      <c r="S32" s="14"/>
      <c r="T32" s="15"/>
      <c r="U32" s="13"/>
      <c r="V32" s="14"/>
      <c r="W32" s="27"/>
    </row>
    <row r="33" spans="2:23" ht="36" customHeight="1">
      <c r="B33" s="79"/>
      <c r="C33" s="80"/>
      <c r="D33" s="78">
        <f t="shared" si="7"/>
        <v>0</v>
      </c>
      <c r="E33" s="77">
        <f t="shared" si="5"/>
        <v>0</v>
      </c>
      <c r="F33" s="97" t="str">
        <f t="shared" si="0"/>
        <v>g</v>
      </c>
      <c r="G33" s="40"/>
      <c r="H33" s="88" t="str">
        <f t="shared" si="8"/>
        <v/>
      </c>
      <c r="I33" s="102" t="str">
        <f t="shared" si="6"/>
        <v>g</v>
      </c>
      <c r="J33" s="157"/>
      <c r="K33" s="150">
        <f t="shared" si="1"/>
        <v>0</v>
      </c>
      <c r="L33" s="162" t="s">
        <v>3</v>
      </c>
      <c r="N33" s="26"/>
      <c r="O33" s="13"/>
      <c r="P33" s="14"/>
      <c r="Q33" s="15"/>
      <c r="R33" s="13"/>
      <c r="S33" s="14"/>
      <c r="T33" s="15"/>
      <c r="U33" s="13"/>
      <c r="V33" s="14"/>
      <c r="W33" s="27"/>
    </row>
    <row r="34" spans="2:23" ht="36" hidden="1" customHeight="1">
      <c r="B34" s="79"/>
      <c r="C34" s="80"/>
      <c r="D34" s="78">
        <f t="shared" si="7"/>
        <v>0</v>
      </c>
      <c r="E34" s="77">
        <f t="shared" si="5"/>
        <v>0</v>
      </c>
      <c r="F34" s="97" t="str">
        <f t="shared" si="0"/>
        <v>g</v>
      </c>
      <c r="G34" s="40"/>
      <c r="H34" s="88" t="str">
        <f t="shared" si="8"/>
        <v/>
      </c>
      <c r="I34" s="102" t="str">
        <f t="shared" si="6"/>
        <v>g</v>
      </c>
      <c r="J34" s="157"/>
      <c r="K34" s="150">
        <f t="shared" si="1"/>
        <v>0</v>
      </c>
      <c r="L34" s="162" t="s">
        <v>3</v>
      </c>
      <c r="N34" s="26"/>
      <c r="O34" s="13"/>
      <c r="P34" s="14"/>
      <c r="Q34" s="15"/>
      <c r="R34" s="13"/>
      <c r="S34" s="14"/>
      <c r="T34" s="15"/>
      <c r="U34" s="13"/>
      <c r="V34" s="14"/>
      <c r="W34" s="27"/>
    </row>
    <row r="35" spans="2:23" ht="36" hidden="1" customHeight="1">
      <c r="B35" s="79"/>
      <c r="C35" s="80"/>
      <c r="D35" s="78">
        <f t="shared" si="7"/>
        <v>0</v>
      </c>
      <c r="E35" s="77">
        <f t="shared" si="5"/>
        <v>0</v>
      </c>
      <c r="F35" s="97" t="str">
        <f t="shared" si="0"/>
        <v>g</v>
      </c>
      <c r="G35" s="40"/>
      <c r="H35" s="88" t="str">
        <f t="shared" si="8"/>
        <v/>
      </c>
      <c r="I35" s="102" t="str">
        <f t="shared" si="6"/>
        <v>g</v>
      </c>
      <c r="J35" s="157"/>
      <c r="K35" s="150">
        <f t="shared" si="1"/>
        <v>0</v>
      </c>
      <c r="L35" s="162" t="s">
        <v>3</v>
      </c>
      <c r="N35" s="26"/>
      <c r="O35" s="13"/>
      <c r="P35" s="14"/>
      <c r="Q35" s="15"/>
      <c r="R35" s="13"/>
      <c r="S35" s="14"/>
      <c r="T35" s="15"/>
      <c r="U35" s="13"/>
      <c r="V35" s="14"/>
      <c r="W35" s="27"/>
    </row>
    <row r="36" spans="2:23" ht="36" hidden="1" customHeight="1">
      <c r="B36" s="79"/>
      <c r="C36" s="80"/>
      <c r="D36" s="78">
        <f t="shared" si="7"/>
        <v>0</v>
      </c>
      <c r="E36" s="77">
        <f t="shared" si="5"/>
        <v>0</v>
      </c>
      <c r="F36" s="97" t="str">
        <f t="shared" si="0"/>
        <v>g</v>
      </c>
      <c r="G36" s="40"/>
      <c r="H36" s="88" t="str">
        <f t="shared" si="8"/>
        <v/>
      </c>
      <c r="I36" s="102" t="str">
        <f t="shared" si="6"/>
        <v>g</v>
      </c>
      <c r="J36" s="157"/>
      <c r="K36" s="150">
        <f t="shared" si="1"/>
        <v>0</v>
      </c>
      <c r="L36" s="162" t="s">
        <v>3</v>
      </c>
      <c r="N36" s="26"/>
      <c r="O36" s="13"/>
      <c r="P36" s="14"/>
      <c r="Q36" s="15"/>
      <c r="R36" s="13"/>
      <c r="S36" s="14"/>
      <c r="T36" s="15"/>
      <c r="U36" s="13"/>
      <c r="V36" s="14"/>
      <c r="W36" s="27"/>
    </row>
    <row r="37" spans="2:23" ht="36" hidden="1" customHeight="1">
      <c r="B37" s="79"/>
      <c r="C37" s="80"/>
      <c r="D37" s="78">
        <f t="shared" si="7"/>
        <v>0</v>
      </c>
      <c r="E37" s="77">
        <f t="shared" si="5"/>
        <v>0</v>
      </c>
      <c r="F37" s="97" t="str">
        <f t="shared" si="0"/>
        <v>g</v>
      </c>
      <c r="G37" s="40"/>
      <c r="H37" s="88" t="str">
        <f t="shared" si="8"/>
        <v/>
      </c>
      <c r="I37" s="102" t="str">
        <f t="shared" si="6"/>
        <v>g</v>
      </c>
      <c r="J37" s="157"/>
      <c r="K37" s="150">
        <f t="shared" si="1"/>
        <v>0</v>
      </c>
      <c r="L37" s="162" t="s">
        <v>3</v>
      </c>
      <c r="N37" s="26"/>
      <c r="O37" s="13"/>
      <c r="P37" s="14"/>
      <c r="Q37" s="15"/>
      <c r="R37" s="13"/>
      <c r="S37" s="14"/>
      <c r="T37" s="15"/>
      <c r="U37" s="13"/>
      <c r="V37" s="14"/>
      <c r="W37" s="27"/>
    </row>
    <row r="38" spans="2:23" ht="36" hidden="1" customHeight="1">
      <c r="B38" s="79"/>
      <c r="C38" s="80"/>
      <c r="D38" s="78">
        <f t="shared" si="7"/>
        <v>0</v>
      </c>
      <c r="E38" s="77">
        <f t="shared" si="5"/>
        <v>0</v>
      </c>
      <c r="F38" s="97" t="str">
        <f t="shared" si="0"/>
        <v>g</v>
      </c>
      <c r="G38" s="40"/>
      <c r="H38" s="88" t="str">
        <f t="shared" si="8"/>
        <v/>
      </c>
      <c r="I38" s="102" t="str">
        <f t="shared" si="6"/>
        <v>g</v>
      </c>
      <c r="J38" s="157"/>
      <c r="K38" s="150">
        <f t="shared" si="1"/>
        <v>0</v>
      </c>
      <c r="L38" s="162" t="s">
        <v>3</v>
      </c>
      <c r="N38" s="26"/>
      <c r="O38" s="13"/>
      <c r="P38" s="14"/>
      <c r="Q38" s="15"/>
      <c r="R38" s="13"/>
      <c r="S38" s="14"/>
      <c r="T38" s="15"/>
      <c r="U38" s="13"/>
      <c r="V38" s="14"/>
      <c r="W38" s="27"/>
    </row>
    <row r="39" spans="2:23" ht="36" hidden="1" customHeight="1">
      <c r="B39" s="79"/>
      <c r="C39" s="80"/>
      <c r="D39" s="78">
        <f t="shared" si="7"/>
        <v>0</v>
      </c>
      <c r="E39" s="77">
        <f t="shared" si="5"/>
        <v>0</v>
      </c>
      <c r="F39" s="97" t="str">
        <f t="shared" si="0"/>
        <v>g</v>
      </c>
      <c r="G39" s="40"/>
      <c r="H39" s="88" t="str">
        <f t="shared" si="8"/>
        <v/>
      </c>
      <c r="I39" s="102" t="str">
        <f t="shared" si="6"/>
        <v>g</v>
      </c>
      <c r="J39" s="157"/>
      <c r="K39" s="150">
        <f t="shared" si="1"/>
        <v>0</v>
      </c>
      <c r="L39" s="162" t="s">
        <v>3</v>
      </c>
      <c r="N39" s="26"/>
      <c r="O39" s="13"/>
      <c r="P39" s="14"/>
      <c r="Q39" s="15"/>
      <c r="R39" s="13"/>
      <c r="S39" s="14"/>
      <c r="T39" s="15"/>
      <c r="U39" s="13"/>
      <c r="V39" s="14"/>
      <c r="W39" s="27"/>
    </row>
    <row r="40" spans="2:23" ht="36" hidden="1" customHeight="1">
      <c r="B40" s="79"/>
      <c r="C40" s="80"/>
      <c r="D40" s="78">
        <f t="shared" si="7"/>
        <v>0</v>
      </c>
      <c r="E40" s="77">
        <f t="shared" si="5"/>
        <v>0</v>
      </c>
      <c r="F40" s="97" t="str">
        <f t="shared" si="0"/>
        <v>g</v>
      </c>
      <c r="G40" s="40"/>
      <c r="H40" s="88" t="str">
        <f t="shared" si="8"/>
        <v/>
      </c>
      <c r="I40" s="102" t="str">
        <f t="shared" si="6"/>
        <v>g</v>
      </c>
      <c r="J40" s="157"/>
      <c r="K40" s="150">
        <f t="shared" si="1"/>
        <v>0</v>
      </c>
      <c r="L40" s="162" t="s">
        <v>3</v>
      </c>
      <c r="N40" s="26"/>
      <c r="O40" s="13"/>
      <c r="P40" s="14"/>
      <c r="Q40" s="15"/>
      <c r="R40" s="13"/>
      <c r="S40" s="14"/>
      <c r="T40" s="15"/>
      <c r="U40" s="13"/>
      <c r="V40" s="14"/>
      <c r="W40" s="27"/>
    </row>
    <row r="41" spans="2:23" ht="36" hidden="1" customHeight="1">
      <c r="B41" s="79"/>
      <c r="C41" s="80"/>
      <c r="D41" s="78">
        <f t="shared" si="7"/>
        <v>0</v>
      </c>
      <c r="E41" s="77">
        <f t="shared" si="5"/>
        <v>0</v>
      </c>
      <c r="F41" s="97" t="str">
        <f t="shared" si="0"/>
        <v>g</v>
      </c>
      <c r="G41" s="40"/>
      <c r="H41" s="88" t="str">
        <f t="shared" si="8"/>
        <v/>
      </c>
      <c r="I41" s="102" t="str">
        <f t="shared" si="6"/>
        <v>g</v>
      </c>
      <c r="J41" s="157"/>
      <c r="K41" s="150">
        <f t="shared" si="1"/>
        <v>0</v>
      </c>
      <c r="L41" s="162" t="s">
        <v>3</v>
      </c>
      <c r="N41" s="26"/>
      <c r="O41" s="13"/>
      <c r="P41" s="14"/>
      <c r="Q41" s="15"/>
      <c r="R41" s="13"/>
      <c r="S41" s="14"/>
      <c r="T41" s="15"/>
      <c r="U41" s="13"/>
      <c r="V41" s="14"/>
      <c r="W41" s="27"/>
    </row>
    <row r="42" spans="2:23" ht="36" hidden="1" customHeight="1">
      <c r="B42" s="79"/>
      <c r="C42" s="80"/>
      <c r="D42" s="78">
        <f t="shared" si="7"/>
        <v>0</v>
      </c>
      <c r="E42" s="77">
        <f t="shared" si="5"/>
        <v>0</v>
      </c>
      <c r="F42" s="97" t="str">
        <f t="shared" si="0"/>
        <v>g</v>
      </c>
      <c r="G42" s="40"/>
      <c r="H42" s="88" t="str">
        <f t="shared" si="8"/>
        <v/>
      </c>
      <c r="I42" s="102" t="str">
        <f t="shared" si="6"/>
        <v>g</v>
      </c>
      <c r="J42" s="157"/>
      <c r="K42" s="150">
        <f t="shared" si="1"/>
        <v>0</v>
      </c>
      <c r="L42" s="162" t="s">
        <v>3</v>
      </c>
      <c r="N42" s="26"/>
      <c r="O42" s="13"/>
      <c r="P42" s="14"/>
      <c r="Q42" s="15"/>
      <c r="R42" s="13"/>
      <c r="S42" s="14"/>
      <c r="T42" s="15"/>
      <c r="U42" s="13"/>
      <c r="V42" s="14"/>
      <c r="W42" s="27"/>
    </row>
    <row r="43" spans="2:23" ht="36" hidden="1" customHeight="1">
      <c r="B43" s="79"/>
      <c r="C43" s="80"/>
      <c r="D43" s="78">
        <f t="shared" si="7"/>
        <v>0</v>
      </c>
      <c r="E43" s="77">
        <f t="shared" si="5"/>
        <v>0</v>
      </c>
      <c r="F43" s="97" t="str">
        <f t="shared" si="0"/>
        <v>g</v>
      </c>
      <c r="G43" s="40"/>
      <c r="H43" s="88" t="str">
        <f t="shared" si="8"/>
        <v/>
      </c>
      <c r="I43" s="102" t="str">
        <f t="shared" si="6"/>
        <v>g</v>
      </c>
      <c r="J43" s="157"/>
      <c r="K43" s="150">
        <f t="shared" si="1"/>
        <v>0</v>
      </c>
      <c r="L43" s="162" t="s">
        <v>3</v>
      </c>
      <c r="N43" s="26"/>
      <c r="O43" s="13"/>
      <c r="P43" s="14"/>
      <c r="Q43" s="15"/>
      <c r="R43" s="13"/>
      <c r="S43" s="14"/>
      <c r="T43" s="15"/>
      <c r="U43" s="13"/>
      <c r="V43" s="14"/>
      <c r="W43" s="27"/>
    </row>
    <row r="44" spans="2:23" ht="36" hidden="1" customHeight="1">
      <c r="B44" s="79"/>
      <c r="C44" s="80"/>
      <c r="D44" s="78">
        <f t="shared" si="7"/>
        <v>0</v>
      </c>
      <c r="E44" s="77">
        <f t="shared" si="5"/>
        <v>0</v>
      </c>
      <c r="F44" s="97" t="str">
        <f t="shared" si="0"/>
        <v>g</v>
      </c>
      <c r="G44" s="40"/>
      <c r="H44" s="88" t="str">
        <f t="shared" si="8"/>
        <v/>
      </c>
      <c r="I44" s="102" t="str">
        <f t="shared" si="6"/>
        <v>g</v>
      </c>
      <c r="J44" s="157"/>
      <c r="K44" s="150">
        <f t="shared" si="1"/>
        <v>0</v>
      </c>
      <c r="L44" s="162" t="s">
        <v>3</v>
      </c>
      <c r="N44" s="26"/>
      <c r="O44" s="13"/>
      <c r="P44" s="14"/>
      <c r="Q44" s="15"/>
      <c r="R44" s="13"/>
      <c r="S44" s="14"/>
      <c r="T44" s="15"/>
      <c r="U44" s="13"/>
      <c r="V44" s="14"/>
      <c r="W44" s="27"/>
    </row>
    <row r="45" spans="2:23" ht="36" hidden="1" customHeight="1">
      <c r="B45" s="79"/>
      <c r="C45" s="80"/>
      <c r="D45" s="78">
        <f t="shared" si="7"/>
        <v>0</v>
      </c>
      <c r="E45" s="77">
        <f t="shared" si="5"/>
        <v>0</v>
      </c>
      <c r="F45" s="97" t="str">
        <f t="shared" si="0"/>
        <v>g</v>
      </c>
      <c r="G45" s="40"/>
      <c r="H45" s="88" t="str">
        <f t="shared" si="8"/>
        <v/>
      </c>
      <c r="I45" s="102" t="str">
        <f t="shared" si="6"/>
        <v>g</v>
      </c>
      <c r="J45" s="157"/>
      <c r="K45" s="150">
        <f t="shared" si="1"/>
        <v>0</v>
      </c>
      <c r="L45" s="162" t="s">
        <v>3</v>
      </c>
      <c r="N45" s="26"/>
      <c r="O45" s="13"/>
      <c r="P45" s="14"/>
      <c r="Q45" s="15"/>
      <c r="R45" s="13"/>
      <c r="S45" s="14"/>
      <c r="T45" s="15"/>
      <c r="U45" s="13"/>
      <c r="V45" s="14"/>
      <c r="W45" s="27"/>
    </row>
    <row r="46" spans="2:23" ht="36" hidden="1" customHeight="1">
      <c r="B46" s="79"/>
      <c r="C46" s="80"/>
      <c r="D46" s="78">
        <f t="shared" si="7"/>
        <v>0</v>
      </c>
      <c r="E46" s="77">
        <f t="shared" ref="E46:E155" si="9">D46*$E$2</f>
        <v>0</v>
      </c>
      <c r="F46" s="97" t="str">
        <f t="shared" si="0"/>
        <v>g</v>
      </c>
      <c r="G46" s="40"/>
      <c r="H46" s="88" t="str">
        <f t="shared" si="8"/>
        <v/>
      </c>
      <c r="I46" s="102" t="str">
        <f t="shared" si="6"/>
        <v>g</v>
      </c>
      <c r="J46" s="157"/>
      <c r="K46" s="150">
        <f t="shared" si="1"/>
        <v>0</v>
      </c>
      <c r="L46" s="162" t="s">
        <v>3</v>
      </c>
      <c r="N46" s="26"/>
      <c r="O46" s="13"/>
      <c r="P46" s="14"/>
      <c r="Q46" s="15"/>
      <c r="R46" s="13"/>
      <c r="S46" s="14"/>
      <c r="T46" s="15"/>
      <c r="U46" s="13"/>
      <c r="V46" s="14"/>
      <c r="W46" s="27"/>
    </row>
    <row r="47" spans="2:23" ht="36" hidden="1" customHeight="1">
      <c r="B47" s="79"/>
      <c r="C47" s="80"/>
      <c r="D47" s="78">
        <f t="shared" si="7"/>
        <v>0</v>
      </c>
      <c r="E47" s="77">
        <f t="shared" si="9"/>
        <v>0</v>
      </c>
      <c r="F47" s="97" t="str">
        <f t="shared" si="0"/>
        <v>g</v>
      </c>
      <c r="G47" s="40"/>
      <c r="H47" s="88" t="str">
        <f t="shared" si="8"/>
        <v/>
      </c>
      <c r="I47" s="102" t="str">
        <f t="shared" si="6"/>
        <v>g</v>
      </c>
      <c r="J47" s="157"/>
      <c r="K47" s="150">
        <f t="shared" si="1"/>
        <v>0</v>
      </c>
      <c r="L47" s="162" t="s">
        <v>3</v>
      </c>
      <c r="N47" s="26"/>
      <c r="O47" s="13"/>
      <c r="P47" s="14"/>
      <c r="Q47" s="15"/>
      <c r="R47" s="13"/>
      <c r="S47" s="14"/>
      <c r="T47" s="15"/>
      <c r="U47" s="13"/>
      <c r="V47" s="14"/>
      <c r="W47" s="27"/>
    </row>
    <row r="48" spans="2:23" ht="36" hidden="1" customHeight="1">
      <c r="B48" s="79"/>
      <c r="C48" s="80"/>
      <c r="D48" s="78">
        <f t="shared" si="7"/>
        <v>0</v>
      </c>
      <c r="E48" s="77">
        <f t="shared" si="9"/>
        <v>0</v>
      </c>
      <c r="F48" s="97" t="str">
        <f t="shared" si="0"/>
        <v>g</v>
      </c>
      <c r="G48" s="40"/>
      <c r="H48" s="88" t="str">
        <f t="shared" si="8"/>
        <v/>
      </c>
      <c r="I48" s="102" t="str">
        <f t="shared" si="6"/>
        <v>g</v>
      </c>
      <c r="J48" s="157"/>
      <c r="K48" s="150">
        <f t="shared" si="1"/>
        <v>0</v>
      </c>
      <c r="L48" s="162" t="s">
        <v>3</v>
      </c>
      <c r="N48" s="26"/>
      <c r="O48" s="13"/>
      <c r="P48" s="14"/>
      <c r="Q48" s="15"/>
      <c r="R48" s="13"/>
      <c r="S48" s="14"/>
      <c r="T48" s="15"/>
      <c r="U48" s="13"/>
      <c r="V48" s="14"/>
      <c r="W48" s="27"/>
    </row>
    <row r="49" spans="2:23" ht="36" hidden="1" customHeight="1">
      <c r="B49" s="79"/>
      <c r="C49" s="80"/>
      <c r="D49" s="78">
        <f t="shared" si="7"/>
        <v>0</v>
      </c>
      <c r="E49" s="77">
        <f t="shared" si="9"/>
        <v>0</v>
      </c>
      <c r="F49" s="97" t="str">
        <f t="shared" si="0"/>
        <v>g</v>
      </c>
      <c r="G49" s="40"/>
      <c r="H49" s="88" t="str">
        <f t="shared" si="8"/>
        <v/>
      </c>
      <c r="I49" s="102" t="str">
        <f t="shared" si="6"/>
        <v>g</v>
      </c>
      <c r="J49" s="157"/>
      <c r="K49" s="150">
        <f t="shared" si="1"/>
        <v>0</v>
      </c>
      <c r="L49" s="162" t="s">
        <v>3</v>
      </c>
      <c r="N49" s="26"/>
      <c r="O49" s="13"/>
      <c r="P49" s="14"/>
      <c r="Q49" s="15"/>
      <c r="R49" s="13"/>
      <c r="S49" s="14"/>
      <c r="T49" s="15"/>
      <c r="U49" s="13"/>
      <c r="V49" s="14"/>
      <c r="W49" s="27"/>
    </row>
    <row r="50" spans="2:23" ht="36" hidden="1" customHeight="1">
      <c r="B50" s="79"/>
      <c r="C50" s="80"/>
      <c r="D50" s="78">
        <f t="shared" si="7"/>
        <v>0</v>
      </c>
      <c r="E50" s="77">
        <f t="shared" si="9"/>
        <v>0</v>
      </c>
      <c r="F50" s="97" t="str">
        <f t="shared" si="0"/>
        <v>g</v>
      </c>
      <c r="G50" s="40"/>
      <c r="H50" s="88" t="str">
        <f t="shared" si="8"/>
        <v/>
      </c>
      <c r="I50" s="102" t="str">
        <f t="shared" si="6"/>
        <v>g</v>
      </c>
      <c r="J50" s="157"/>
      <c r="K50" s="150">
        <f t="shared" si="1"/>
        <v>0</v>
      </c>
      <c r="L50" s="162" t="s">
        <v>3</v>
      </c>
      <c r="N50" s="26"/>
      <c r="O50" s="13"/>
      <c r="P50" s="14"/>
      <c r="Q50" s="15"/>
      <c r="R50" s="13"/>
      <c r="S50" s="14"/>
      <c r="T50" s="15"/>
      <c r="U50" s="13"/>
      <c r="V50" s="14"/>
      <c r="W50" s="27"/>
    </row>
    <row r="51" spans="2:23" ht="36" hidden="1" customHeight="1">
      <c r="B51" s="79"/>
      <c r="C51" s="80"/>
      <c r="D51" s="78">
        <f t="shared" si="7"/>
        <v>0</v>
      </c>
      <c r="E51" s="77">
        <f t="shared" si="9"/>
        <v>0</v>
      </c>
      <c r="F51" s="97" t="str">
        <f t="shared" si="0"/>
        <v>g</v>
      </c>
      <c r="G51" s="40"/>
      <c r="H51" s="88" t="str">
        <f t="shared" si="8"/>
        <v/>
      </c>
      <c r="I51" s="102" t="str">
        <f t="shared" si="6"/>
        <v>g</v>
      </c>
      <c r="J51" s="157"/>
      <c r="K51" s="150">
        <f t="shared" si="1"/>
        <v>0</v>
      </c>
      <c r="L51" s="162" t="s">
        <v>3</v>
      </c>
      <c r="N51" s="26"/>
      <c r="O51" s="13"/>
      <c r="P51" s="14"/>
      <c r="Q51" s="15"/>
      <c r="R51" s="13"/>
      <c r="S51" s="14"/>
      <c r="T51" s="15"/>
      <c r="U51" s="13"/>
      <c r="V51" s="14"/>
      <c r="W51" s="27"/>
    </row>
    <row r="52" spans="2:23" ht="36" hidden="1" customHeight="1">
      <c r="B52" s="79"/>
      <c r="C52" s="80"/>
      <c r="D52" s="78">
        <f t="shared" si="7"/>
        <v>0</v>
      </c>
      <c r="E52" s="77">
        <f t="shared" si="9"/>
        <v>0</v>
      </c>
      <c r="F52" s="97" t="str">
        <f t="shared" si="0"/>
        <v>g</v>
      </c>
      <c r="G52" s="40"/>
      <c r="H52" s="88" t="str">
        <f t="shared" si="8"/>
        <v/>
      </c>
      <c r="I52" s="102" t="str">
        <f t="shared" si="6"/>
        <v>g</v>
      </c>
      <c r="J52" s="157"/>
      <c r="K52" s="150">
        <f t="shared" si="1"/>
        <v>0</v>
      </c>
      <c r="L52" s="162" t="s">
        <v>3</v>
      </c>
      <c r="N52" s="26"/>
      <c r="O52" s="13"/>
      <c r="P52" s="14"/>
      <c r="Q52" s="15"/>
      <c r="R52" s="13"/>
      <c r="S52" s="14"/>
      <c r="T52" s="15"/>
      <c r="U52" s="13"/>
      <c r="V52" s="14"/>
      <c r="W52" s="27"/>
    </row>
    <row r="53" spans="2:23" ht="36" hidden="1" customHeight="1">
      <c r="B53" s="79"/>
      <c r="C53" s="80"/>
      <c r="D53" s="78">
        <f t="shared" si="7"/>
        <v>0</v>
      </c>
      <c r="E53" s="77">
        <f t="shared" si="9"/>
        <v>0</v>
      </c>
      <c r="F53" s="97" t="str">
        <f t="shared" si="0"/>
        <v>g</v>
      </c>
      <c r="G53" s="40"/>
      <c r="H53" s="88" t="str">
        <f t="shared" si="8"/>
        <v/>
      </c>
      <c r="I53" s="102" t="str">
        <f t="shared" si="6"/>
        <v>g</v>
      </c>
      <c r="J53" s="157"/>
      <c r="K53" s="150">
        <f t="shared" si="1"/>
        <v>0</v>
      </c>
      <c r="L53" s="162" t="s">
        <v>3</v>
      </c>
      <c r="N53" s="26"/>
      <c r="O53" s="13"/>
      <c r="P53" s="14"/>
      <c r="Q53" s="15"/>
      <c r="R53" s="13"/>
      <c r="S53" s="14"/>
      <c r="T53" s="15"/>
      <c r="U53" s="13"/>
      <c r="V53" s="14"/>
      <c r="W53" s="27"/>
    </row>
    <row r="54" spans="2:23" ht="36" hidden="1" customHeight="1">
      <c r="B54" s="79"/>
      <c r="C54" s="80"/>
      <c r="D54" s="78">
        <f t="shared" si="7"/>
        <v>0</v>
      </c>
      <c r="E54" s="77">
        <f t="shared" si="9"/>
        <v>0</v>
      </c>
      <c r="F54" s="97" t="str">
        <f t="shared" si="0"/>
        <v>g</v>
      </c>
      <c r="G54" s="40"/>
      <c r="H54" s="88" t="str">
        <f t="shared" si="8"/>
        <v/>
      </c>
      <c r="I54" s="102" t="str">
        <f t="shared" si="6"/>
        <v>g</v>
      </c>
      <c r="J54" s="157"/>
      <c r="K54" s="150">
        <f t="shared" si="1"/>
        <v>0</v>
      </c>
      <c r="L54" s="162" t="s">
        <v>3</v>
      </c>
      <c r="N54" s="26"/>
      <c r="O54" s="13"/>
      <c r="P54" s="14"/>
      <c r="Q54" s="15"/>
      <c r="R54" s="13"/>
      <c r="S54" s="14"/>
      <c r="T54" s="15"/>
      <c r="U54" s="13"/>
      <c r="V54" s="14"/>
      <c r="W54" s="27"/>
    </row>
    <row r="55" spans="2:23" ht="36" hidden="1" customHeight="1">
      <c r="B55" s="79"/>
      <c r="C55" s="80"/>
      <c r="D55" s="78">
        <f t="shared" si="7"/>
        <v>0</v>
      </c>
      <c r="E55" s="77">
        <f t="shared" si="9"/>
        <v>0</v>
      </c>
      <c r="F55" s="97" t="str">
        <f t="shared" si="0"/>
        <v>g</v>
      </c>
      <c r="G55" s="40"/>
      <c r="H55" s="88" t="str">
        <f t="shared" si="8"/>
        <v/>
      </c>
      <c r="I55" s="102" t="str">
        <f t="shared" si="6"/>
        <v>g</v>
      </c>
      <c r="J55" s="157"/>
      <c r="K55" s="150">
        <f t="shared" si="1"/>
        <v>0</v>
      </c>
      <c r="L55" s="162" t="s">
        <v>3</v>
      </c>
      <c r="N55" s="26"/>
      <c r="O55" s="13"/>
      <c r="P55" s="14"/>
      <c r="Q55" s="15"/>
      <c r="R55" s="13"/>
      <c r="S55" s="14"/>
      <c r="T55" s="15"/>
      <c r="U55" s="13"/>
      <c r="V55" s="14"/>
      <c r="W55" s="27"/>
    </row>
    <row r="56" spans="2:23" ht="36" hidden="1" customHeight="1">
      <c r="B56" s="79"/>
      <c r="C56" s="80"/>
      <c r="D56" s="78">
        <f t="shared" si="7"/>
        <v>0</v>
      </c>
      <c r="E56" s="77">
        <f t="shared" si="9"/>
        <v>0</v>
      </c>
      <c r="F56" s="97" t="str">
        <f t="shared" si="0"/>
        <v>g</v>
      </c>
      <c r="G56" s="40"/>
      <c r="H56" s="88" t="str">
        <f t="shared" si="8"/>
        <v/>
      </c>
      <c r="I56" s="102" t="str">
        <f t="shared" si="6"/>
        <v>g</v>
      </c>
      <c r="J56" s="157"/>
      <c r="K56" s="150">
        <f t="shared" si="1"/>
        <v>0</v>
      </c>
      <c r="L56" s="162" t="s">
        <v>3</v>
      </c>
      <c r="N56" s="26"/>
      <c r="O56" s="13"/>
      <c r="P56" s="14"/>
      <c r="Q56" s="15"/>
      <c r="R56" s="13"/>
      <c r="S56" s="14"/>
      <c r="T56" s="15"/>
      <c r="U56" s="13"/>
      <c r="V56" s="14"/>
      <c r="W56" s="27"/>
    </row>
    <row r="57" spans="2:23" ht="36" hidden="1" customHeight="1">
      <c r="B57" s="79"/>
      <c r="C57" s="80"/>
      <c r="D57" s="78">
        <f t="shared" si="7"/>
        <v>0</v>
      </c>
      <c r="E57" s="77">
        <f t="shared" si="9"/>
        <v>0</v>
      </c>
      <c r="F57" s="97" t="str">
        <f t="shared" si="0"/>
        <v>g</v>
      </c>
      <c r="G57" s="40"/>
      <c r="H57" s="88" t="str">
        <f t="shared" si="8"/>
        <v/>
      </c>
      <c r="I57" s="102" t="str">
        <f t="shared" si="6"/>
        <v>g</v>
      </c>
      <c r="J57" s="157"/>
      <c r="K57" s="150">
        <f t="shared" si="1"/>
        <v>0</v>
      </c>
      <c r="L57" s="162" t="s">
        <v>3</v>
      </c>
      <c r="N57" s="26"/>
      <c r="O57" s="13"/>
      <c r="P57" s="14"/>
      <c r="Q57" s="15"/>
      <c r="R57" s="13"/>
      <c r="S57" s="14"/>
      <c r="T57" s="15"/>
      <c r="U57" s="13"/>
      <c r="V57" s="14"/>
      <c r="W57" s="27"/>
    </row>
    <row r="58" spans="2:23" ht="36" hidden="1" customHeight="1">
      <c r="B58" s="79"/>
      <c r="C58" s="80"/>
      <c r="D58" s="78">
        <f t="shared" si="7"/>
        <v>0</v>
      </c>
      <c r="E58" s="77">
        <f t="shared" si="9"/>
        <v>0</v>
      </c>
      <c r="F58" s="97" t="str">
        <f t="shared" si="0"/>
        <v>g</v>
      </c>
      <c r="G58" s="40"/>
      <c r="H58" s="88" t="str">
        <f t="shared" si="8"/>
        <v/>
      </c>
      <c r="I58" s="102" t="str">
        <f t="shared" si="6"/>
        <v>g</v>
      </c>
      <c r="J58" s="157"/>
      <c r="K58" s="150">
        <f t="shared" si="1"/>
        <v>0</v>
      </c>
      <c r="L58" s="162" t="s">
        <v>3</v>
      </c>
      <c r="N58" s="26"/>
      <c r="O58" s="13"/>
      <c r="P58" s="14"/>
      <c r="Q58" s="15"/>
      <c r="R58" s="13"/>
      <c r="S58" s="14"/>
      <c r="T58" s="15"/>
      <c r="U58" s="13"/>
      <c r="V58" s="14"/>
      <c r="W58" s="27"/>
    </row>
    <row r="59" spans="2:23" ht="36" hidden="1" customHeight="1">
      <c r="B59" s="79"/>
      <c r="C59" s="80"/>
      <c r="D59" s="78">
        <f t="shared" si="7"/>
        <v>0</v>
      </c>
      <c r="E59" s="77">
        <f t="shared" si="9"/>
        <v>0</v>
      </c>
      <c r="F59" s="97" t="str">
        <f t="shared" si="0"/>
        <v>g</v>
      </c>
      <c r="G59" s="40"/>
      <c r="H59" s="88" t="str">
        <f t="shared" si="8"/>
        <v/>
      </c>
      <c r="I59" s="102" t="str">
        <f t="shared" si="6"/>
        <v>g</v>
      </c>
      <c r="J59" s="157"/>
      <c r="K59" s="150">
        <f t="shared" si="1"/>
        <v>0</v>
      </c>
      <c r="L59" s="162" t="s">
        <v>3</v>
      </c>
      <c r="N59" s="26"/>
      <c r="O59" s="13"/>
      <c r="P59" s="14"/>
      <c r="Q59" s="15"/>
      <c r="R59" s="13"/>
      <c r="S59" s="14"/>
      <c r="T59" s="15"/>
      <c r="U59" s="13"/>
      <c r="V59" s="14"/>
      <c r="W59" s="27"/>
    </row>
    <row r="60" spans="2:23" ht="36" hidden="1" customHeight="1">
      <c r="B60" s="79"/>
      <c r="C60" s="80"/>
      <c r="D60" s="78">
        <f t="shared" si="7"/>
        <v>0</v>
      </c>
      <c r="E60" s="77">
        <f t="shared" si="9"/>
        <v>0</v>
      </c>
      <c r="F60" s="97" t="str">
        <f t="shared" si="0"/>
        <v>g</v>
      </c>
      <c r="G60" s="40"/>
      <c r="H60" s="88" t="str">
        <f t="shared" si="8"/>
        <v/>
      </c>
      <c r="I60" s="102" t="str">
        <f t="shared" si="6"/>
        <v>g</v>
      </c>
      <c r="J60" s="157"/>
      <c r="K60" s="150">
        <f t="shared" si="1"/>
        <v>0</v>
      </c>
      <c r="L60" s="162" t="s">
        <v>3</v>
      </c>
      <c r="N60" s="26"/>
      <c r="O60" s="13"/>
      <c r="P60" s="14"/>
      <c r="Q60" s="15"/>
      <c r="R60" s="13"/>
      <c r="S60" s="14"/>
      <c r="T60" s="15"/>
      <c r="U60" s="13"/>
      <c r="V60" s="14"/>
      <c r="W60" s="27"/>
    </row>
    <row r="61" spans="2:23" ht="36" hidden="1" customHeight="1">
      <c r="B61" s="79"/>
      <c r="C61" s="80"/>
      <c r="D61" s="78">
        <f t="shared" si="7"/>
        <v>0</v>
      </c>
      <c r="E61" s="77">
        <f t="shared" si="9"/>
        <v>0</v>
      </c>
      <c r="F61" s="97" t="str">
        <f t="shared" si="0"/>
        <v>g</v>
      </c>
      <c r="G61" s="40"/>
      <c r="H61" s="88" t="str">
        <f t="shared" si="8"/>
        <v/>
      </c>
      <c r="I61" s="102" t="str">
        <f t="shared" si="6"/>
        <v>g</v>
      </c>
      <c r="J61" s="157"/>
      <c r="K61" s="150">
        <f t="shared" si="1"/>
        <v>0</v>
      </c>
      <c r="L61" s="162" t="s">
        <v>3</v>
      </c>
      <c r="N61" s="26"/>
      <c r="O61" s="13"/>
      <c r="P61" s="14"/>
      <c r="Q61" s="15"/>
      <c r="R61" s="13"/>
      <c r="S61" s="14"/>
      <c r="T61" s="15"/>
      <c r="U61" s="13"/>
      <c r="V61" s="14"/>
      <c r="W61" s="27"/>
    </row>
    <row r="62" spans="2:23" ht="36" hidden="1" customHeight="1">
      <c r="B62" s="79"/>
      <c r="C62" s="80"/>
      <c r="D62" s="78">
        <f t="shared" si="7"/>
        <v>0</v>
      </c>
      <c r="E62" s="77">
        <f t="shared" si="9"/>
        <v>0</v>
      </c>
      <c r="F62" s="97" t="str">
        <f t="shared" si="0"/>
        <v>g</v>
      </c>
      <c r="G62" s="40"/>
      <c r="H62" s="88" t="str">
        <f t="shared" ref="H62:H121" si="10">IF($G$3="", "", E62*$G$3%)</f>
        <v/>
      </c>
      <c r="I62" s="102" t="str">
        <f t="shared" si="6"/>
        <v>g</v>
      </c>
      <c r="J62" s="157"/>
      <c r="K62" s="150">
        <f t="shared" ref="K62:K121" si="11">IF(F62="g", IF(I62="g", IFERROR(E62+H62, 0), 0), 0)</f>
        <v>0</v>
      </c>
      <c r="L62" s="162" t="s">
        <v>3</v>
      </c>
      <c r="N62" s="26"/>
      <c r="O62" s="13"/>
      <c r="P62" s="14"/>
      <c r="Q62" s="15"/>
      <c r="R62" s="13"/>
      <c r="S62" s="14"/>
      <c r="T62" s="15"/>
      <c r="U62" s="13"/>
      <c r="V62" s="14"/>
      <c r="W62" s="27"/>
    </row>
    <row r="63" spans="2:23" ht="36" hidden="1" customHeight="1">
      <c r="B63" s="79"/>
      <c r="C63" s="80"/>
      <c r="D63" s="78">
        <f t="shared" si="7"/>
        <v>0</v>
      </c>
      <c r="E63" s="77">
        <f t="shared" si="9"/>
        <v>0</v>
      </c>
      <c r="F63" s="97" t="str">
        <f t="shared" si="0"/>
        <v>g</v>
      </c>
      <c r="G63" s="40"/>
      <c r="H63" s="88" t="str">
        <f t="shared" si="10"/>
        <v/>
      </c>
      <c r="I63" s="102" t="str">
        <f t="shared" si="6"/>
        <v>g</v>
      </c>
      <c r="J63" s="157"/>
      <c r="K63" s="150">
        <f t="shared" si="11"/>
        <v>0</v>
      </c>
      <c r="L63" s="162" t="s">
        <v>3</v>
      </c>
      <c r="N63" s="26"/>
      <c r="O63" s="13"/>
      <c r="P63" s="14"/>
      <c r="Q63" s="15"/>
      <c r="R63" s="13"/>
      <c r="S63" s="14"/>
      <c r="T63" s="15"/>
      <c r="U63" s="13"/>
      <c r="V63" s="14"/>
      <c r="W63" s="27"/>
    </row>
    <row r="64" spans="2:23" ht="36" hidden="1" customHeight="1">
      <c r="B64" s="79"/>
      <c r="C64" s="80"/>
      <c r="D64" s="78">
        <f t="shared" si="7"/>
        <v>0</v>
      </c>
      <c r="E64" s="77">
        <f t="shared" si="9"/>
        <v>0</v>
      </c>
      <c r="F64" s="97" t="str">
        <f t="shared" si="0"/>
        <v>g</v>
      </c>
      <c r="G64" s="40"/>
      <c r="H64" s="88" t="str">
        <f t="shared" si="10"/>
        <v/>
      </c>
      <c r="I64" s="102" t="str">
        <f t="shared" si="6"/>
        <v>g</v>
      </c>
      <c r="J64" s="157"/>
      <c r="K64" s="150">
        <f t="shared" si="11"/>
        <v>0</v>
      </c>
      <c r="L64" s="162" t="s">
        <v>3</v>
      </c>
      <c r="N64" s="26"/>
      <c r="O64" s="13"/>
      <c r="P64" s="14"/>
      <c r="Q64" s="15"/>
      <c r="R64" s="13"/>
      <c r="S64" s="14"/>
      <c r="T64" s="15"/>
      <c r="U64" s="13"/>
      <c r="V64" s="14"/>
      <c r="W64" s="27"/>
    </row>
    <row r="65" spans="2:23" ht="36" hidden="1" customHeight="1">
      <c r="B65" s="79"/>
      <c r="C65" s="80"/>
      <c r="D65" s="78">
        <f t="shared" si="7"/>
        <v>0</v>
      </c>
      <c r="E65" s="77">
        <f t="shared" si="9"/>
        <v>0</v>
      </c>
      <c r="F65" s="97" t="str">
        <f t="shared" si="0"/>
        <v>g</v>
      </c>
      <c r="G65" s="40"/>
      <c r="H65" s="88" t="str">
        <f t="shared" si="10"/>
        <v/>
      </c>
      <c r="I65" s="102" t="str">
        <f t="shared" si="6"/>
        <v>g</v>
      </c>
      <c r="J65" s="157"/>
      <c r="K65" s="150">
        <f t="shared" si="11"/>
        <v>0</v>
      </c>
      <c r="L65" s="162" t="s">
        <v>3</v>
      </c>
      <c r="N65" s="26"/>
      <c r="O65" s="13"/>
      <c r="P65" s="14"/>
      <c r="Q65" s="15"/>
      <c r="R65" s="13"/>
      <c r="S65" s="14"/>
      <c r="T65" s="15"/>
      <c r="U65" s="13"/>
      <c r="V65" s="14"/>
      <c r="W65" s="27"/>
    </row>
    <row r="66" spans="2:23" ht="36" hidden="1" customHeight="1">
      <c r="B66" s="79"/>
      <c r="C66" s="80"/>
      <c r="D66" s="78">
        <f t="shared" si="7"/>
        <v>0</v>
      </c>
      <c r="E66" s="77">
        <f t="shared" si="9"/>
        <v>0</v>
      </c>
      <c r="F66" s="97" t="str">
        <f t="shared" si="0"/>
        <v>g</v>
      </c>
      <c r="G66" s="40"/>
      <c r="H66" s="88" t="str">
        <f t="shared" si="10"/>
        <v/>
      </c>
      <c r="I66" s="102" t="str">
        <f t="shared" si="6"/>
        <v>g</v>
      </c>
      <c r="J66" s="157"/>
      <c r="K66" s="150">
        <f t="shared" si="11"/>
        <v>0</v>
      </c>
      <c r="L66" s="162" t="s">
        <v>3</v>
      </c>
      <c r="N66" s="26"/>
      <c r="O66" s="13"/>
      <c r="P66" s="14"/>
      <c r="Q66" s="15"/>
      <c r="R66" s="13"/>
      <c r="S66" s="14"/>
      <c r="T66" s="15"/>
      <c r="U66" s="13"/>
      <c r="V66" s="14"/>
      <c r="W66" s="27"/>
    </row>
    <row r="67" spans="2:23" ht="36" hidden="1" customHeight="1">
      <c r="B67" s="79"/>
      <c r="C67" s="80"/>
      <c r="D67" s="78">
        <f t="shared" si="7"/>
        <v>0</v>
      </c>
      <c r="E67" s="77">
        <f t="shared" si="9"/>
        <v>0</v>
      </c>
      <c r="F67" s="97" t="str">
        <f t="shared" si="0"/>
        <v>g</v>
      </c>
      <c r="G67" s="40"/>
      <c r="H67" s="88" t="str">
        <f t="shared" si="10"/>
        <v/>
      </c>
      <c r="I67" s="102" t="str">
        <f t="shared" si="6"/>
        <v>g</v>
      </c>
      <c r="J67" s="157"/>
      <c r="K67" s="150">
        <f t="shared" si="11"/>
        <v>0</v>
      </c>
      <c r="L67" s="162" t="s">
        <v>3</v>
      </c>
      <c r="N67" s="26"/>
      <c r="O67" s="13"/>
      <c r="P67" s="14"/>
      <c r="Q67" s="15"/>
      <c r="R67" s="13"/>
      <c r="S67" s="14"/>
      <c r="T67" s="15"/>
      <c r="U67" s="13"/>
      <c r="V67" s="14"/>
      <c r="W67" s="27"/>
    </row>
    <row r="68" spans="2:23" ht="36" hidden="1" customHeight="1">
      <c r="B68" s="79"/>
      <c r="C68" s="80"/>
      <c r="D68" s="78">
        <f t="shared" si="7"/>
        <v>0</v>
      </c>
      <c r="E68" s="77">
        <f t="shared" si="9"/>
        <v>0</v>
      </c>
      <c r="F68" s="97" t="str">
        <f t="shared" si="0"/>
        <v>g</v>
      </c>
      <c r="G68" s="40"/>
      <c r="H68" s="88" t="str">
        <f t="shared" si="10"/>
        <v/>
      </c>
      <c r="I68" s="102" t="str">
        <f t="shared" si="6"/>
        <v>g</v>
      </c>
      <c r="J68" s="157"/>
      <c r="K68" s="150">
        <f t="shared" si="11"/>
        <v>0</v>
      </c>
      <c r="L68" s="162" t="s">
        <v>3</v>
      </c>
      <c r="N68" s="26"/>
      <c r="O68" s="13"/>
      <c r="P68" s="14"/>
      <c r="Q68" s="15"/>
      <c r="R68" s="13"/>
      <c r="S68" s="14"/>
      <c r="T68" s="15"/>
      <c r="U68" s="13"/>
      <c r="V68" s="14"/>
      <c r="W68" s="27"/>
    </row>
    <row r="69" spans="2:23" ht="36" hidden="1" customHeight="1">
      <c r="B69" s="79"/>
      <c r="C69" s="80"/>
      <c r="D69" s="78">
        <f t="shared" si="7"/>
        <v>0</v>
      </c>
      <c r="E69" s="77">
        <f t="shared" si="9"/>
        <v>0</v>
      </c>
      <c r="F69" s="97" t="str">
        <f t="shared" si="0"/>
        <v>g</v>
      </c>
      <c r="G69" s="40"/>
      <c r="H69" s="88" t="str">
        <f t="shared" si="10"/>
        <v/>
      </c>
      <c r="I69" s="102" t="str">
        <f t="shared" si="6"/>
        <v>g</v>
      </c>
      <c r="J69" s="157"/>
      <c r="K69" s="150">
        <f t="shared" si="11"/>
        <v>0</v>
      </c>
      <c r="L69" s="162" t="s">
        <v>3</v>
      </c>
      <c r="N69" s="26"/>
      <c r="O69" s="13"/>
      <c r="P69" s="14"/>
      <c r="Q69" s="15"/>
      <c r="R69" s="13"/>
      <c r="S69" s="14"/>
      <c r="T69" s="15"/>
      <c r="U69" s="13"/>
      <c r="V69" s="14"/>
      <c r="W69" s="27"/>
    </row>
    <row r="70" spans="2:23" ht="36" hidden="1" customHeight="1">
      <c r="B70" s="79"/>
      <c r="C70" s="80"/>
      <c r="D70" s="78">
        <f t="shared" si="7"/>
        <v>0</v>
      </c>
      <c r="E70" s="77">
        <f t="shared" si="9"/>
        <v>0</v>
      </c>
      <c r="F70" s="97" t="str">
        <f t="shared" si="0"/>
        <v>g</v>
      </c>
      <c r="G70" s="40"/>
      <c r="H70" s="88" t="str">
        <f t="shared" si="10"/>
        <v/>
      </c>
      <c r="I70" s="102" t="str">
        <f t="shared" si="6"/>
        <v>g</v>
      </c>
      <c r="J70" s="157"/>
      <c r="K70" s="150">
        <f t="shared" si="11"/>
        <v>0</v>
      </c>
      <c r="L70" s="162" t="s">
        <v>3</v>
      </c>
      <c r="N70" s="26"/>
      <c r="O70" s="13"/>
      <c r="P70" s="14"/>
      <c r="Q70" s="15"/>
      <c r="R70" s="13"/>
      <c r="S70" s="14"/>
      <c r="T70" s="15"/>
      <c r="U70" s="13"/>
      <c r="V70" s="14"/>
      <c r="W70" s="27"/>
    </row>
    <row r="71" spans="2:23" ht="36" hidden="1" customHeight="1">
      <c r="B71" s="79"/>
      <c r="C71" s="80"/>
      <c r="D71" s="78">
        <f t="shared" si="7"/>
        <v>0</v>
      </c>
      <c r="E71" s="77">
        <f t="shared" si="9"/>
        <v>0</v>
      </c>
      <c r="F71" s="97" t="str">
        <f t="shared" si="0"/>
        <v>g</v>
      </c>
      <c r="G71" s="40"/>
      <c r="H71" s="88" t="str">
        <f t="shared" si="10"/>
        <v/>
      </c>
      <c r="I71" s="102" t="str">
        <f t="shared" si="6"/>
        <v>g</v>
      </c>
      <c r="J71" s="157"/>
      <c r="K71" s="150">
        <f t="shared" si="11"/>
        <v>0</v>
      </c>
      <c r="L71" s="162" t="s">
        <v>3</v>
      </c>
      <c r="N71" s="26"/>
      <c r="O71" s="13"/>
      <c r="P71" s="14"/>
      <c r="Q71" s="15"/>
      <c r="R71" s="13"/>
      <c r="S71" s="14"/>
      <c r="T71" s="15"/>
      <c r="U71" s="13"/>
      <c r="V71" s="14"/>
      <c r="W71" s="27"/>
    </row>
    <row r="72" spans="2:23" ht="36" hidden="1" customHeight="1">
      <c r="B72" s="79"/>
      <c r="C72" s="80"/>
      <c r="D72" s="78">
        <f t="shared" si="7"/>
        <v>0</v>
      </c>
      <c r="E72" s="77">
        <f t="shared" si="9"/>
        <v>0</v>
      </c>
      <c r="F72" s="97" t="str">
        <f t="shared" si="0"/>
        <v>g</v>
      </c>
      <c r="G72" s="40"/>
      <c r="H72" s="88" t="str">
        <f t="shared" si="10"/>
        <v/>
      </c>
      <c r="I72" s="102" t="str">
        <f t="shared" si="6"/>
        <v>g</v>
      </c>
      <c r="J72" s="157"/>
      <c r="K72" s="150">
        <f t="shared" si="11"/>
        <v>0</v>
      </c>
      <c r="L72" s="162" t="s">
        <v>3</v>
      </c>
      <c r="N72" s="26"/>
      <c r="O72" s="13"/>
      <c r="P72" s="14"/>
      <c r="Q72" s="15"/>
      <c r="R72" s="13"/>
      <c r="S72" s="14"/>
      <c r="T72" s="15"/>
      <c r="U72" s="13"/>
      <c r="V72" s="14"/>
      <c r="W72" s="27"/>
    </row>
    <row r="73" spans="2:23" ht="36" hidden="1" customHeight="1">
      <c r="B73" s="79"/>
      <c r="C73" s="80"/>
      <c r="D73" s="78">
        <f t="shared" si="7"/>
        <v>0</v>
      </c>
      <c r="E73" s="77">
        <f t="shared" si="9"/>
        <v>0</v>
      </c>
      <c r="F73" s="97" t="str">
        <f t="shared" si="0"/>
        <v>g</v>
      </c>
      <c r="G73" s="40"/>
      <c r="H73" s="88" t="str">
        <f t="shared" si="10"/>
        <v/>
      </c>
      <c r="I73" s="102" t="str">
        <f t="shared" si="6"/>
        <v>g</v>
      </c>
      <c r="J73" s="157"/>
      <c r="K73" s="150">
        <f t="shared" si="11"/>
        <v>0</v>
      </c>
      <c r="L73" s="162" t="s">
        <v>3</v>
      </c>
      <c r="N73" s="26"/>
      <c r="O73" s="13"/>
      <c r="P73" s="14"/>
      <c r="Q73" s="15"/>
      <c r="R73" s="13"/>
      <c r="S73" s="14"/>
      <c r="T73" s="15"/>
      <c r="U73" s="13"/>
      <c r="V73" s="14"/>
      <c r="W73" s="27"/>
    </row>
    <row r="74" spans="2:23" ht="36" hidden="1" customHeight="1">
      <c r="B74" s="79"/>
      <c r="C74" s="80"/>
      <c r="D74" s="78">
        <f t="shared" si="7"/>
        <v>0</v>
      </c>
      <c r="E74" s="77">
        <f t="shared" si="9"/>
        <v>0</v>
      </c>
      <c r="F74" s="97" t="str">
        <f t="shared" si="0"/>
        <v>g</v>
      </c>
      <c r="G74" s="40"/>
      <c r="H74" s="88" t="str">
        <f t="shared" si="10"/>
        <v/>
      </c>
      <c r="I74" s="102" t="str">
        <f t="shared" si="6"/>
        <v>g</v>
      </c>
      <c r="J74" s="157"/>
      <c r="K74" s="150">
        <f t="shared" si="11"/>
        <v>0</v>
      </c>
      <c r="L74" s="162" t="s">
        <v>3</v>
      </c>
      <c r="N74" s="26"/>
      <c r="O74" s="13"/>
      <c r="P74" s="14"/>
      <c r="Q74" s="15"/>
      <c r="R74" s="13"/>
      <c r="S74" s="14"/>
      <c r="T74" s="15"/>
      <c r="U74" s="13"/>
      <c r="V74" s="14"/>
      <c r="W74" s="27"/>
    </row>
    <row r="75" spans="2:23" ht="36" hidden="1" customHeight="1">
      <c r="B75" s="79"/>
      <c r="C75" s="80"/>
      <c r="D75" s="78">
        <f t="shared" si="7"/>
        <v>0</v>
      </c>
      <c r="E75" s="77">
        <f t="shared" si="9"/>
        <v>0</v>
      </c>
      <c r="F75" s="97" t="str">
        <f t="shared" si="0"/>
        <v>g</v>
      </c>
      <c r="G75" s="40"/>
      <c r="H75" s="88" t="str">
        <f t="shared" si="10"/>
        <v/>
      </c>
      <c r="I75" s="102" t="str">
        <f t="shared" si="6"/>
        <v>g</v>
      </c>
      <c r="J75" s="157"/>
      <c r="K75" s="150">
        <f t="shared" si="11"/>
        <v>0</v>
      </c>
      <c r="L75" s="162" t="s">
        <v>3</v>
      </c>
      <c r="N75" s="26"/>
      <c r="O75" s="13"/>
      <c r="P75" s="14"/>
      <c r="Q75" s="15"/>
      <c r="R75" s="13"/>
      <c r="S75" s="14"/>
      <c r="T75" s="15"/>
      <c r="U75" s="13"/>
      <c r="V75" s="14"/>
      <c r="W75" s="27"/>
    </row>
    <row r="76" spans="2:23" ht="36" hidden="1" customHeight="1">
      <c r="B76" s="79"/>
      <c r="C76" s="80"/>
      <c r="D76" s="78">
        <f t="shared" si="7"/>
        <v>0</v>
      </c>
      <c r="E76" s="77">
        <f t="shared" si="9"/>
        <v>0</v>
      </c>
      <c r="F76" s="97" t="str">
        <f t="shared" si="0"/>
        <v>g</v>
      </c>
      <c r="G76" s="40"/>
      <c r="H76" s="88" t="str">
        <f t="shared" si="10"/>
        <v/>
      </c>
      <c r="I76" s="102" t="str">
        <f t="shared" si="6"/>
        <v>g</v>
      </c>
      <c r="J76" s="157"/>
      <c r="K76" s="150">
        <f t="shared" si="11"/>
        <v>0</v>
      </c>
      <c r="L76" s="162" t="s">
        <v>3</v>
      </c>
      <c r="N76" s="26"/>
      <c r="O76" s="13"/>
      <c r="P76" s="14"/>
      <c r="Q76" s="15"/>
      <c r="R76" s="13"/>
      <c r="S76" s="14"/>
      <c r="T76" s="15"/>
      <c r="U76" s="13"/>
      <c r="V76" s="14"/>
      <c r="W76" s="27"/>
    </row>
    <row r="77" spans="2:23" ht="36" hidden="1" customHeight="1">
      <c r="B77" s="79"/>
      <c r="C77" s="80"/>
      <c r="D77" s="78">
        <f t="shared" si="7"/>
        <v>0</v>
      </c>
      <c r="E77" s="77">
        <f t="shared" si="9"/>
        <v>0</v>
      </c>
      <c r="F77" s="97" t="str">
        <f t="shared" si="0"/>
        <v>g</v>
      </c>
      <c r="G77" s="40"/>
      <c r="H77" s="88" t="str">
        <f t="shared" si="10"/>
        <v/>
      </c>
      <c r="I77" s="102" t="str">
        <f t="shared" si="6"/>
        <v>g</v>
      </c>
      <c r="J77" s="157"/>
      <c r="K77" s="150">
        <f t="shared" si="11"/>
        <v>0</v>
      </c>
      <c r="L77" s="162" t="s">
        <v>3</v>
      </c>
      <c r="N77" s="26"/>
      <c r="O77" s="13"/>
      <c r="P77" s="14"/>
      <c r="Q77" s="15"/>
      <c r="R77" s="13"/>
      <c r="S77" s="14"/>
      <c r="T77" s="15"/>
      <c r="U77" s="13"/>
      <c r="V77" s="14"/>
      <c r="W77" s="27"/>
    </row>
    <row r="78" spans="2:23" ht="36" hidden="1" customHeight="1">
      <c r="B78" s="79"/>
      <c r="C78" s="80"/>
      <c r="D78" s="78">
        <f t="shared" si="7"/>
        <v>0</v>
      </c>
      <c r="E78" s="77">
        <f t="shared" si="9"/>
        <v>0</v>
      </c>
      <c r="F78" s="97" t="str">
        <f t="shared" si="0"/>
        <v>g</v>
      </c>
      <c r="G78" s="40"/>
      <c r="H78" s="88" t="str">
        <f t="shared" si="10"/>
        <v/>
      </c>
      <c r="I78" s="102" t="str">
        <f t="shared" si="6"/>
        <v>g</v>
      </c>
      <c r="J78" s="157"/>
      <c r="K78" s="150">
        <f t="shared" si="11"/>
        <v>0</v>
      </c>
      <c r="L78" s="162" t="s">
        <v>3</v>
      </c>
      <c r="N78" s="26"/>
      <c r="O78" s="13"/>
      <c r="P78" s="14"/>
      <c r="Q78" s="15"/>
      <c r="R78" s="13"/>
      <c r="S78" s="14"/>
      <c r="T78" s="15"/>
      <c r="U78" s="13"/>
      <c r="V78" s="14"/>
      <c r="W78" s="27"/>
    </row>
    <row r="79" spans="2:23" ht="36" hidden="1" customHeight="1">
      <c r="B79" s="79"/>
      <c r="C79" s="80"/>
      <c r="D79" s="78">
        <f t="shared" si="7"/>
        <v>0</v>
      </c>
      <c r="E79" s="77">
        <f t="shared" ref="E79:E138" si="12">D79*$E$2</f>
        <v>0</v>
      </c>
      <c r="F79" s="97" t="str">
        <f t="shared" si="0"/>
        <v>g</v>
      </c>
      <c r="G79" s="40"/>
      <c r="H79" s="88" t="str">
        <f t="shared" si="10"/>
        <v/>
      </c>
      <c r="I79" s="102" t="str">
        <f t="shared" si="6"/>
        <v>g</v>
      </c>
      <c r="J79" s="157"/>
      <c r="K79" s="150">
        <f t="shared" si="11"/>
        <v>0</v>
      </c>
      <c r="L79" s="162" t="s">
        <v>3</v>
      </c>
      <c r="N79" s="26"/>
      <c r="O79" s="13"/>
      <c r="P79" s="14"/>
      <c r="Q79" s="15"/>
      <c r="R79" s="13"/>
      <c r="S79" s="14"/>
      <c r="T79" s="15"/>
      <c r="U79" s="13"/>
      <c r="V79" s="14"/>
      <c r="W79" s="27"/>
    </row>
    <row r="80" spans="2:23" ht="36" hidden="1" customHeight="1">
      <c r="B80" s="79"/>
      <c r="C80" s="80"/>
      <c r="D80" s="78">
        <f t="shared" si="7"/>
        <v>0</v>
      </c>
      <c r="E80" s="77">
        <f t="shared" si="12"/>
        <v>0</v>
      </c>
      <c r="F80" s="97" t="str">
        <f t="shared" si="0"/>
        <v>g</v>
      </c>
      <c r="G80" s="40"/>
      <c r="H80" s="88" t="str">
        <f t="shared" si="10"/>
        <v/>
      </c>
      <c r="I80" s="102" t="str">
        <f t="shared" si="6"/>
        <v>g</v>
      </c>
      <c r="J80" s="157"/>
      <c r="K80" s="150">
        <f t="shared" si="11"/>
        <v>0</v>
      </c>
      <c r="L80" s="162" t="s">
        <v>3</v>
      </c>
      <c r="N80" s="26"/>
      <c r="O80" s="13"/>
      <c r="P80" s="14"/>
      <c r="Q80" s="15"/>
      <c r="R80" s="13"/>
      <c r="S80" s="14"/>
      <c r="T80" s="15"/>
      <c r="U80" s="13"/>
      <c r="V80" s="14"/>
      <c r="W80" s="27"/>
    </row>
    <row r="81" spans="2:23" ht="36" hidden="1" customHeight="1">
      <c r="B81" s="79"/>
      <c r="C81" s="80"/>
      <c r="D81" s="78">
        <f t="shared" si="7"/>
        <v>0</v>
      </c>
      <c r="E81" s="77">
        <f t="shared" si="12"/>
        <v>0</v>
      </c>
      <c r="F81" s="97" t="str">
        <f t="shared" si="0"/>
        <v>g</v>
      </c>
      <c r="G81" s="40"/>
      <c r="H81" s="88" t="str">
        <f t="shared" si="10"/>
        <v/>
      </c>
      <c r="I81" s="102" t="str">
        <f t="shared" si="6"/>
        <v>g</v>
      </c>
      <c r="J81" s="157"/>
      <c r="K81" s="150">
        <f t="shared" si="11"/>
        <v>0</v>
      </c>
      <c r="L81" s="162" t="s">
        <v>3</v>
      </c>
      <c r="N81" s="26"/>
      <c r="O81" s="13"/>
      <c r="P81" s="14"/>
      <c r="Q81" s="15"/>
      <c r="R81" s="13"/>
      <c r="S81" s="14"/>
      <c r="T81" s="15"/>
      <c r="U81" s="13"/>
      <c r="V81" s="14"/>
      <c r="W81" s="27"/>
    </row>
    <row r="82" spans="2:23" ht="36" hidden="1" customHeight="1">
      <c r="B82" s="79"/>
      <c r="C82" s="80"/>
      <c r="D82" s="78">
        <f t="shared" si="7"/>
        <v>0</v>
      </c>
      <c r="E82" s="77">
        <f t="shared" si="12"/>
        <v>0</v>
      </c>
      <c r="F82" s="97" t="str">
        <f t="shared" si="0"/>
        <v>g</v>
      </c>
      <c r="G82" s="40"/>
      <c r="H82" s="88" t="str">
        <f t="shared" si="10"/>
        <v/>
      </c>
      <c r="I82" s="102" t="str">
        <f t="shared" si="6"/>
        <v>g</v>
      </c>
      <c r="J82" s="157"/>
      <c r="K82" s="150">
        <f t="shared" si="11"/>
        <v>0</v>
      </c>
      <c r="L82" s="162" t="s">
        <v>3</v>
      </c>
      <c r="N82" s="26"/>
      <c r="O82" s="13"/>
      <c r="P82" s="14"/>
      <c r="Q82" s="15"/>
      <c r="R82" s="13"/>
      <c r="S82" s="14"/>
      <c r="T82" s="15"/>
      <c r="U82" s="13"/>
      <c r="V82" s="14"/>
      <c r="W82" s="27"/>
    </row>
    <row r="83" spans="2:23" ht="36" hidden="1" customHeight="1">
      <c r="B83" s="79"/>
      <c r="C83" s="80"/>
      <c r="D83" s="78">
        <f t="shared" si="7"/>
        <v>0</v>
      </c>
      <c r="E83" s="77">
        <f t="shared" si="12"/>
        <v>0</v>
      </c>
      <c r="F83" s="97" t="str">
        <f t="shared" si="0"/>
        <v>g</v>
      </c>
      <c r="G83" s="40"/>
      <c r="H83" s="88" t="str">
        <f t="shared" si="10"/>
        <v/>
      </c>
      <c r="I83" s="102" t="str">
        <f t="shared" si="6"/>
        <v>g</v>
      </c>
      <c r="J83" s="157"/>
      <c r="K83" s="150">
        <f t="shared" si="11"/>
        <v>0</v>
      </c>
      <c r="L83" s="162" t="s">
        <v>3</v>
      </c>
      <c r="N83" s="26"/>
      <c r="O83" s="13"/>
      <c r="P83" s="14"/>
      <c r="Q83" s="15"/>
      <c r="R83" s="13"/>
      <c r="S83" s="14"/>
      <c r="T83" s="15"/>
      <c r="U83" s="13"/>
      <c r="V83" s="14"/>
      <c r="W83" s="27"/>
    </row>
    <row r="84" spans="2:23" ht="36" hidden="1" customHeight="1">
      <c r="B84" s="79"/>
      <c r="C84" s="80"/>
      <c r="D84" s="78">
        <f t="shared" si="7"/>
        <v>0</v>
      </c>
      <c r="E84" s="77">
        <f t="shared" si="12"/>
        <v>0</v>
      </c>
      <c r="F84" s="97" t="str">
        <f t="shared" si="0"/>
        <v>g</v>
      </c>
      <c r="G84" s="40"/>
      <c r="H84" s="88" t="str">
        <f t="shared" si="10"/>
        <v/>
      </c>
      <c r="I84" s="102" t="str">
        <f t="shared" si="6"/>
        <v>g</v>
      </c>
      <c r="J84" s="157"/>
      <c r="K84" s="150">
        <f t="shared" si="11"/>
        <v>0</v>
      </c>
      <c r="L84" s="162" t="s">
        <v>3</v>
      </c>
      <c r="N84" s="26"/>
      <c r="O84" s="13"/>
      <c r="P84" s="14"/>
      <c r="Q84" s="15"/>
      <c r="R84" s="13"/>
      <c r="S84" s="14"/>
      <c r="T84" s="15"/>
      <c r="U84" s="13"/>
      <c r="V84" s="14"/>
      <c r="W84" s="27"/>
    </row>
    <row r="85" spans="2:23" ht="36" hidden="1" customHeight="1">
      <c r="B85" s="79"/>
      <c r="C85" s="80"/>
      <c r="D85" s="78">
        <f t="shared" si="7"/>
        <v>0</v>
      </c>
      <c r="E85" s="77">
        <f t="shared" si="12"/>
        <v>0</v>
      </c>
      <c r="F85" s="97" t="str">
        <f t="shared" si="0"/>
        <v>g</v>
      </c>
      <c r="G85" s="40"/>
      <c r="H85" s="88" t="str">
        <f t="shared" si="10"/>
        <v/>
      </c>
      <c r="I85" s="102" t="str">
        <f t="shared" si="6"/>
        <v>g</v>
      </c>
      <c r="J85" s="157"/>
      <c r="K85" s="150">
        <f t="shared" si="11"/>
        <v>0</v>
      </c>
      <c r="L85" s="162" t="s">
        <v>3</v>
      </c>
      <c r="N85" s="26"/>
      <c r="O85" s="13"/>
      <c r="P85" s="14"/>
      <c r="Q85" s="15"/>
      <c r="R85" s="13"/>
      <c r="S85" s="14"/>
      <c r="T85" s="15"/>
      <c r="U85" s="13"/>
      <c r="V85" s="14"/>
      <c r="W85" s="27"/>
    </row>
    <row r="86" spans="2:23" ht="36" hidden="1" customHeight="1">
      <c r="B86" s="79"/>
      <c r="C86" s="80"/>
      <c r="D86" s="78">
        <f t="shared" si="7"/>
        <v>0</v>
      </c>
      <c r="E86" s="77">
        <f t="shared" si="12"/>
        <v>0</v>
      </c>
      <c r="F86" s="97" t="str">
        <f t="shared" si="0"/>
        <v>g</v>
      </c>
      <c r="G86" s="40"/>
      <c r="H86" s="88" t="str">
        <f t="shared" si="10"/>
        <v/>
      </c>
      <c r="I86" s="102" t="str">
        <f t="shared" si="6"/>
        <v>g</v>
      </c>
      <c r="J86" s="157"/>
      <c r="K86" s="150">
        <f t="shared" si="11"/>
        <v>0</v>
      </c>
      <c r="L86" s="162" t="s">
        <v>3</v>
      </c>
      <c r="N86" s="26"/>
      <c r="O86" s="13"/>
      <c r="P86" s="14"/>
      <c r="Q86" s="15"/>
      <c r="R86" s="13"/>
      <c r="S86" s="14"/>
      <c r="T86" s="15"/>
      <c r="U86" s="13"/>
      <c r="V86" s="14"/>
      <c r="W86" s="27"/>
    </row>
    <row r="87" spans="2:23" ht="36" hidden="1" customHeight="1">
      <c r="B87" s="79"/>
      <c r="C87" s="80"/>
      <c r="D87" s="78">
        <f t="shared" si="7"/>
        <v>0</v>
      </c>
      <c r="E87" s="77">
        <f t="shared" si="12"/>
        <v>0</v>
      </c>
      <c r="F87" s="97" t="str">
        <f t="shared" si="0"/>
        <v>g</v>
      </c>
      <c r="G87" s="40"/>
      <c r="H87" s="88" t="str">
        <f t="shared" si="10"/>
        <v/>
      </c>
      <c r="I87" s="102" t="str">
        <f t="shared" si="6"/>
        <v>g</v>
      </c>
      <c r="J87" s="157"/>
      <c r="K87" s="150">
        <f t="shared" si="11"/>
        <v>0</v>
      </c>
      <c r="L87" s="162" t="s">
        <v>3</v>
      </c>
      <c r="N87" s="26"/>
      <c r="O87" s="13"/>
      <c r="P87" s="14"/>
      <c r="Q87" s="15"/>
      <c r="R87" s="13"/>
      <c r="S87" s="14"/>
      <c r="T87" s="15"/>
      <c r="U87" s="13"/>
      <c r="V87" s="14"/>
      <c r="W87" s="27"/>
    </row>
    <row r="88" spans="2:23" ht="36" hidden="1" customHeight="1">
      <c r="B88" s="79"/>
      <c r="C88" s="80"/>
      <c r="D88" s="78">
        <f t="shared" si="7"/>
        <v>0</v>
      </c>
      <c r="E88" s="77">
        <f t="shared" si="12"/>
        <v>0</v>
      </c>
      <c r="F88" s="97" t="str">
        <f t="shared" si="0"/>
        <v>g</v>
      </c>
      <c r="G88" s="40"/>
      <c r="H88" s="88" t="str">
        <f t="shared" si="10"/>
        <v/>
      </c>
      <c r="I88" s="102" t="str">
        <f t="shared" si="6"/>
        <v>g</v>
      </c>
      <c r="J88" s="157"/>
      <c r="K88" s="150">
        <f t="shared" si="11"/>
        <v>0</v>
      </c>
      <c r="L88" s="162" t="s">
        <v>3</v>
      </c>
      <c r="N88" s="26"/>
      <c r="O88" s="13"/>
      <c r="P88" s="14"/>
      <c r="Q88" s="15"/>
      <c r="R88" s="13"/>
      <c r="S88" s="14"/>
      <c r="T88" s="15"/>
      <c r="U88" s="13"/>
      <c r="V88" s="14"/>
      <c r="W88" s="27"/>
    </row>
    <row r="89" spans="2:23" ht="36" hidden="1" customHeight="1">
      <c r="B89" s="79"/>
      <c r="C89" s="80"/>
      <c r="D89" s="78">
        <f t="shared" si="7"/>
        <v>0</v>
      </c>
      <c r="E89" s="77">
        <f t="shared" si="12"/>
        <v>0</v>
      </c>
      <c r="F89" s="97" t="str">
        <f t="shared" si="0"/>
        <v>g</v>
      </c>
      <c r="G89" s="40"/>
      <c r="H89" s="88" t="str">
        <f t="shared" si="10"/>
        <v/>
      </c>
      <c r="I89" s="102" t="str">
        <f t="shared" si="6"/>
        <v>g</v>
      </c>
      <c r="J89" s="157"/>
      <c r="K89" s="150">
        <f t="shared" si="11"/>
        <v>0</v>
      </c>
      <c r="L89" s="162" t="s">
        <v>3</v>
      </c>
      <c r="N89" s="26"/>
      <c r="O89" s="13"/>
      <c r="P89" s="14"/>
      <c r="Q89" s="15"/>
      <c r="R89" s="13"/>
      <c r="S89" s="14"/>
      <c r="T89" s="15"/>
      <c r="U89" s="13"/>
      <c r="V89" s="14"/>
      <c r="W89" s="27"/>
    </row>
    <row r="90" spans="2:23" ht="36" hidden="1" customHeight="1">
      <c r="B90" s="79"/>
      <c r="C90" s="80"/>
      <c r="D90" s="78">
        <f t="shared" si="7"/>
        <v>0</v>
      </c>
      <c r="E90" s="77">
        <f t="shared" si="12"/>
        <v>0</v>
      </c>
      <c r="F90" s="97" t="str">
        <f t="shared" si="0"/>
        <v>g</v>
      </c>
      <c r="G90" s="40"/>
      <c r="H90" s="88" t="str">
        <f t="shared" si="10"/>
        <v/>
      </c>
      <c r="I90" s="102" t="str">
        <f t="shared" si="6"/>
        <v>g</v>
      </c>
      <c r="J90" s="157"/>
      <c r="K90" s="150">
        <f t="shared" si="11"/>
        <v>0</v>
      </c>
      <c r="L90" s="162" t="s">
        <v>3</v>
      </c>
      <c r="N90" s="26"/>
      <c r="O90" s="13"/>
      <c r="P90" s="14"/>
      <c r="Q90" s="15"/>
      <c r="R90" s="13"/>
      <c r="S90" s="14"/>
      <c r="T90" s="15"/>
      <c r="U90" s="13"/>
      <c r="V90" s="14"/>
      <c r="W90" s="27"/>
    </row>
    <row r="91" spans="2:23" ht="36" hidden="1" customHeight="1">
      <c r="B91" s="79"/>
      <c r="C91" s="80"/>
      <c r="D91" s="78">
        <f t="shared" si="7"/>
        <v>0</v>
      </c>
      <c r="E91" s="77">
        <f t="shared" si="12"/>
        <v>0</v>
      </c>
      <c r="F91" s="97" t="str">
        <f t="shared" si="0"/>
        <v>g</v>
      </c>
      <c r="G91" s="40"/>
      <c r="H91" s="88" t="str">
        <f t="shared" si="10"/>
        <v/>
      </c>
      <c r="I91" s="102" t="str">
        <f t="shared" si="6"/>
        <v>g</v>
      </c>
      <c r="J91" s="157"/>
      <c r="K91" s="150">
        <f t="shared" si="11"/>
        <v>0</v>
      </c>
      <c r="L91" s="162" t="s">
        <v>3</v>
      </c>
      <c r="N91" s="26"/>
      <c r="O91" s="13"/>
      <c r="P91" s="14"/>
      <c r="Q91" s="15"/>
      <c r="R91" s="13"/>
      <c r="S91" s="14"/>
      <c r="T91" s="15"/>
      <c r="U91" s="13"/>
      <c r="V91" s="14"/>
      <c r="W91" s="27"/>
    </row>
    <row r="92" spans="2:23" ht="36" hidden="1" customHeight="1">
      <c r="B92" s="79"/>
      <c r="C92" s="80"/>
      <c r="D92" s="78">
        <f t="shared" si="7"/>
        <v>0</v>
      </c>
      <c r="E92" s="77">
        <f t="shared" si="12"/>
        <v>0</v>
      </c>
      <c r="F92" s="97" t="str">
        <f t="shared" si="0"/>
        <v>g</v>
      </c>
      <c r="G92" s="40"/>
      <c r="H92" s="88" t="str">
        <f t="shared" si="10"/>
        <v/>
      </c>
      <c r="I92" s="102" t="str">
        <f t="shared" si="6"/>
        <v>g</v>
      </c>
      <c r="J92" s="157"/>
      <c r="K92" s="150">
        <f t="shared" si="11"/>
        <v>0</v>
      </c>
      <c r="L92" s="162" t="s">
        <v>3</v>
      </c>
      <c r="N92" s="26"/>
      <c r="O92" s="13"/>
      <c r="P92" s="14"/>
      <c r="Q92" s="15"/>
      <c r="R92" s="13"/>
      <c r="S92" s="14"/>
      <c r="T92" s="15"/>
      <c r="U92" s="13"/>
      <c r="V92" s="14"/>
      <c r="W92" s="27"/>
    </row>
    <row r="93" spans="2:23" ht="36" hidden="1" customHeight="1">
      <c r="B93" s="79"/>
      <c r="C93" s="80"/>
      <c r="D93" s="78">
        <f t="shared" si="7"/>
        <v>0</v>
      </c>
      <c r="E93" s="77">
        <f t="shared" si="12"/>
        <v>0</v>
      </c>
      <c r="F93" s="97" t="str">
        <f t="shared" si="0"/>
        <v>g</v>
      </c>
      <c r="G93" s="40"/>
      <c r="H93" s="88" t="str">
        <f t="shared" si="10"/>
        <v/>
      </c>
      <c r="I93" s="102" t="str">
        <f t="shared" si="6"/>
        <v>g</v>
      </c>
      <c r="J93" s="157"/>
      <c r="K93" s="150">
        <f t="shared" si="11"/>
        <v>0</v>
      </c>
      <c r="L93" s="162" t="s">
        <v>3</v>
      </c>
      <c r="N93" s="26"/>
      <c r="O93" s="13"/>
      <c r="P93" s="14"/>
      <c r="Q93" s="15"/>
      <c r="R93" s="13"/>
      <c r="S93" s="14"/>
      <c r="T93" s="15"/>
      <c r="U93" s="13"/>
      <c r="V93" s="14"/>
      <c r="W93" s="27"/>
    </row>
    <row r="94" spans="2:23" ht="36" hidden="1" customHeight="1">
      <c r="B94" s="79"/>
      <c r="C94" s="80"/>
      <c r="D94" s="78">
        <f t="shared" si="7"/>
        <v>0</v>
      </c>
      <c r="E94" s="77">
        <f t="shared" si="12"/>
        <v>0</v>
      </c>
      <c r="F94" s="97" t="str">
        <f t="shared" si="0"/>
        <v>g</v>
      </c>
      <c r="G94" s="40"/>
      <c r="H94" s="88" t="str">
        <f t="shared" si="10"/>
        <v/>
      </c>
      <c r="I94" s="102" t="str">
        <f t="shared" si="6"/>
        <v>g</v>
      </c>
      <c r="J94" s="157"/>
      <c r="K94" s="150">
        <f t="shared" si="11"/>
        <v>0</v>
      </c>
      <c r="L94" s="162" t="s">
        <v>3</v>
      </c>
      <c r="N94" s="26"/>
      <c r="O94" s="13"/>
      <c r="P94" s="14"/>
      <c r="Q94" s="15"/>
      <c r="R94" s="13"/>
      <c r="S94" s="14"/>
      <c r="T94" s="15"/>
      <c r="U94" s="13"/>
      <c r="V94" s="14"/>
      <c r="W94" s="27"/>
    </row>
    <row r="95" spans="2:23" ht="36" hidden="1" customHeight="1">
      <c r="B95" s="79"/>
      <c r="C95" s="80"/>
      <c r="D95" s="78">
        <f t="shared" si="7"/>
        <v>0</v>
      </c>
      <c r="E95" s="77">
        <f t="shared" si="12"/>
        <v>0</v>
      </c>
      <c r="F95" s="97" t="str">
        <f t="shared" si="0"/>
        <v>g</v>
      </c>
      <c r="G95" s="40"/>
      <c r="H95" s="88" t="str">
        <f t="shared" si="10"/>
        <v/>
      </c>
      <c r="I95" s="102" t="str">
        <f t="shared" si="6"/>
        <v>g</v>
      </c>
      <c r="J95" s="157"/>
      <c r="K95" s="150">
        <f t="shared" si="11"/>
        <v>0</v>
      </c>
      <c r="L95" s="162" t="s">
        <v>3</v>
      </c>
      <c r="N95" s="26"/>
      <c r="O95" s="13"/>
      <c r="P95" s="14"/>
      <c r="Q95" s="15"/>
      <c r="R95" s="13"/>
      <c r="S95" s="14"/>
      <c r="T95" s="15"/>
      <c r="U95" s="13"/>
      <c r="V95" s="14"/>
      <c r="W95" s="27"/>
    </row>
    <row r="96" spans="2:23" ht="36" hidden="1" customHeight="1">
      <c r="B96" s="79"/>
      <c r="C96" s="80"/>
      <c r="D96" s="78">
        <f t="shared" si="7"/>
        <v>0</v>
      </c>
      <c r="E96" s="77">
        <f t="shared" si="12"/>
        <v>0</v>
      </c>
      <c r="F96" s="97" t="str">
        <f t="shared" si="0"/>
        <v>g</v>
      </c>
      <c r="G96" s="40"/>
      <c r="H96" s="88" t="str">
        <f t="shared" si="10"/>
        <v/>
      </c>
      <c r="I96" s="102" t="str">
        <f t="shared" si="6"/>
        <v>g</v>
      </c>
      <c r="J96" s="157"/>
      <c r="K96" s="150">
        <f t="shared" si="11"/>
        <v>0</v>
      </c>
      <c r="L96" s="162" t="s">
        <v>3</v>
      </c>
      <c r="N96" s="26"/>
      <c r="O96" s="13"/>
      <c r="P96" s="14"/>
      <c r="Q96" s="15"/>
      <c r="R96" s="13"/>
      <c r="S96" s="14"/>
      <c r="T96" s="15"/>
      <c r="U96" s="13"/>
      <c r="V96" s="14"/>
      <c r="W96" s="27"/>
    </row>
    <row r="97" spans="2:23" ht="36" hidden="1" customHeight="1">
      <c r="B97" s="79"/>
      <c r="C97" s="80"/>
      <c r="D97" s="78">
        <f t="shared" si="7"/>
        <v>0</v>
      </c>
      <c r="E97" s="77">
        <f t="shared" si="12"/>
        <v>0</v>
      </c>
      <c r="F97" s="97" t="str">
        <f t="shared" si="0"/>
        <v>g</v>
      </c>
      <c r="G97" s="40"/>
      <c r="H97" s="88" t="str">
        <f t="shared" si="10"/>
        <v/>
      </c>
      <c r="I97" s="102" t="str">
        <f t="shared" si="6"/>
        <v>g</v>
      </c>
      <c r="J97" s="157"/>
      <c r="K97" s="150">
        <f t="shared" si="11"/>
        <v>0</v>
      </c>
      <c r="L97" s="162" t="s">
        <v>3</v>
      </c>
      <c r="N97" s="26"/>
      <c r="O97" s="13"/>
      <c r="P97" s="14"/>
      <c r="Q97" s="15"/>
      <c r="R97" s="13"/>
      <c r="S97" s="14"/>
      <c r="T97" s="15"/>
      <c r="U97" s="13"/>
      <c r="V97" s="14"/>
      <c r="W97" s="27"/>
    </row>
    <row r="98" spans="2:23" ht="36" hidden="1" customHeight="1">
      <c r="B98" s="79"/>
      <c r="C98" s="80"/>
      <c r="D98" s="78">
        <f t="shared" si="7"/>
        <v>0</v>
      </c>
      <c r="E98" s="77">
        <f t="shared" si="12"/>
        <v>0</v>
      </c>
      <c r="F98" s="97" t="str">
        <f t="shared" si="0"/>
        <v>g</v>
      </c>
      <c r="G98" s="40"/>
      <c r="H98" s="88" t="str">
        <f t="shared" si="10"/>
        <v/>
      </c>
      <c r="I98" s="102" t="str">
        <f t="shared" si="6"/>
        <v>g</v>
      </c>
      <c r="J98" s="157"/>
      <c r="K98" s="150">
        <f t="shared" si="11"/>
        <v>0</v>
      </c>
      <c r="L98" s="162" t="s">
        <v>3</v>
      </c>
      <c r="N98" s="26"/>
      <c r="O98" s="13"/>
      <c r="P98" s="14"/>
      <c r="Q98" s="15"/>
      <c r="R98" s="13"/>
      <c r="S98" s="14"/>
      <c r="T98" s="15"/>
      <c r="U98" s="13"/>
      <c r="V98" s="14"/>
      <c r="W98" s="27"/>
    </row>
    <row r="99" spans="2:23" ht="36" hidden="1" customHeight="1">
      <c r="B99" s="79"/>
      <c r="C99" s="80"/>
      <c r="D99" s="78">
        <f t="shared" si="7"/>
        <v>0</v>
      </c>
      <c r="E99" s="77">
        <f t="shared" si="12"/>
        <v>0</v>
      </c>
      <c r="F99" s="97" t="str">
        <f t="shared" si="0"/>
        <v>g</v>
      </c>
      <c r="G99" s="40"/>
      <c r="H99" s="88" t="str">
        <f t="shared" si="10"/>
        <v/>
      </c>
      <c r="I99" s="102" t="str">
        <f t="shared" si="6"/>
        <v>g</v>
      </c>
      <c r="J99" s="157"/>
      <c r="K99" s="150">
        <f t="shared" si="11"/>
        <v>0</v>
      </c>
      <c r="L99" s="162" t="s">
        <v>3</v>
      </c>
      <c r="N99" s="26"/>
      <c r="O99" s="13"/>
      <c r="P99" s="14"/>
      <c r="Q99" s="15"/>
      <c r="R99" s="13"/>
      <c r="S99" s="14"/>
      <c r="T99" s="15"/>
      <c r="U99" s="13"/>
      <c r="V99" s="14"/>
      <c r="W99" s="27"/>
    </row>
    <row r="100" spans="2:23" ht="36" hidden="1" customHeight="1">
      <c r="B100" s="79"/>
      <c r="C100" s="80"/>
      <c r="D100" s="78">
        <f t="shared" si="7"/>
        <v>0</v>
      </c>
      <c r="E100" s="77">
        <f t="shared" si="12"/>
        <v>0</v>
      </c>
      <c r="F100" s="97" t="str">
        <f t="shared" si="0"/>
        <v>g</v>
      </c>
      <c r="G100" s="40"/>
      <c r="H100" s="88" t="str">
        <f t="shared" si="10"/>
        <v/>
      </c>
      <c r="I100" s="102" t="str">
        <f t="shared" si="6"/>
        <v>g</v>
      </c>
      <c r="J100" s="157"/>
      <c r="K100" s="150">
        <f t="shared" si="11"/>
        <v>0</v>
      </c>
      <c r="L100" s="162" t="s">
        <v>3</v>
      </c>
      <c r="N100" s="26"/>
      <c r="O100" s="13"/>
      <c r="P100" s="14"/>
      <c r="Q100" s="15"/>
      <c r="R100" s="13"/>
      <c r="S100" s="14"/>
      <c r="T100" s="15"/>
      <c r="U100" s="13"/>
      <c r="V100" s="14"/>
      <c r="W100" s="27"/>
    </row>
    <row r="101" spans="2:23" ht="36" hidden="1" customHeight="1">
      <c r="B101" s="79"/>
      <c r="C101" s="80"/>
      <c r="D101" s="78">
        <f t="shared" si="7"/>
        <v>0</v>
      </c>
      <c r="E101" s="77">
        <f t="shared" si="12"/>
        <v>0</v>
      </c>
      <c r="F101" s="97" t="str">
        <f t="shared" si="0"/>
        <v>g</v>
      </c>
      <c r="G101" s="40"/>
      <c r="H101" s="88" t="str">
        <f t="shared" si="10"/>
        <v/>
      </c>
      <c r="I101" s="102" t="str">
        <f t="shared" si="6"/>
        <v>g</v>
      </c>
      <c r="J101" s="157"/>
      <c r="K101" s="150">
        <f t="shared" si="11"/>
        <v>0</v>
      </c>
      <c r="L101" s="162" t="s">
        <v>3</v>
      </c>
      <c r="N101" s="26"/>
      <c r="O101" s="13"/>
      <c r="P101" s="14"/>
      <c r="Q101" s="15"/>
      <c r="R101" s="13"/>
      <c r="S101" s="14"/>
      <c r="T101" s="15"/>
      <c r="U101" s="13"/>
      <c r="V101" s="14"/>
      <c r="W101" s="27"/>
    </row>
    <row r="102" spans="2:23" ht="36" hidden="1" customHeight="1">
      <c r="B102" s="79"/>
      <c r="C102" s="80"/>
      <c r="D102" s="78">
        <f t="shared" si="7"/>
        <v>0</v>
      </c>
      <c r="E102" s="77">
        <f t="shared" si="12"/>
        <v>0</v>
      </c>
      <c r="F102" s="97" t="str">
        <f t="shared" si="0"/>
        <v>g</v>
      </c>
      <c r="G102" s="40"/>
      <c r="H102" s="88" t="str">
        <f t="shared" si="10"/>
        <v/>
      </c>
      <c r="I102" s="102" t="str">
        <f t="shared" si="6"/>
        <v>g</v>
      </c>
      <c r="J102" s="157"/>
      <c r="K102" s="150">
        <f t="shared" si="11"/>
        <v>0</v>
      </c>
      <c r="L102" s="162" t="s">
        <v>3</v>
      </c>
      <c r="N102" s="26"/>
      <c r="O102" s="13"/>
      <c r="P102" s="14"/>
      <c r="Q102" s="15"/>
      <c r="R102" s="13"/>
      <c r="S102" s="14"/>
      <c r="T102" s="15"/>
      <c r="U102" s="13"/>
      <c r="V102" s="14"/>
      <c r="W102" s="27"/>
    </row>
    <row r="103" spans="2:23" ht="36" hidden="1" customHeight="1">
      <c r="B103" s="79"/>
      <c r="C103" s="80"/>
      <c r="D103" s="78">
        <f t="shared" si="7"/>
        <v>0</v>
      </c>
      <c r="E103" s="77">
        <f t="shared" si="12"/>
        <v>0</v>
      </c>
      <c r="F103" s="97" t="str">
        <f t="shared" si="0"/>
        <v>g</v>
      </c>
      <c r="G103" s="40"/>
      <c r="H103" s="88" t="str">
        <f t="shared" si="10"/>
        <v/>
      </c>
      <c r="I103" s="102" t="str">
        <f t="shared" si="6"/>
        <v>g</v>
      </c>
      <c r="J103" s="157"/>
      <c r="K103" s="150">
        <f t="shared" si="11"/>
        <v>0</v>
      </c>
      <c r="L103" s="162" t="s">
        <v>3</v>
      </c>
      <c r="N103" s="26"/>
      <c r="O103" s="13"/>
      <c r="P103" s="14"/>
      <c r="Q103" s="15"/>
      <c r="R103" s="13"/>
      <c r="S103" s="14"/>
      <c r="T103" s="15"/>
      <c r="U103" s="13"/>
      <c r="V103" s="14"/>
      <c r="W103" s="27"/>
    </row>
    <row r="104" spans="2:23" ht="36" hidden="1" customHeight="1">
      <c r="B104" s="79"/>
      <c r="C104" s="80"/>
      <c r="D104" s="78">
        <f t="shared" si="7"/>
        <v>0</v>
      </c>
      <c r="E104" s="77">
        <f t="shared" si="12"/>
        <v>0</v>
      </c>
      <c r="F104" s="97" t="str">
        <f t="shared" si="0"/>
        <v>g</v>
      </c>
      <c r="G104" s="40"/>
      <c r="H104" s="88" t="str">
        <f t="shared" si="10"/>
        <v/>
      </c>
      <c r="I104" s="102" t="str">
        <f t="shared" si="6"/>
        <v>g</v>
      </c>
      <c r="J104" s="157"/>
      <c r="K104" s="150">
        <f t="shared" si="11"/>
        <v>0</v>
      </c>
      <c r="L104" s="162" t="s">
        <v>3</v>
      </c>
      <c r="N104" s="26"/>
      <c r="O104" s="13"/>
      <c r="P104" s="14"/>
      <c r="Q104" s="15"/>
      <c r="R104" s="13"/>
      <c r="S104" s="14"/>
      <c r="T104" s="15"/>
      <c r="U104" s="13"/>
      <c r="V104" s="14"/>
      <c r="W104" s="27"/>
    </row>
    <row r="105" spans="2:23" ht="36" hidden="1" customHeight="1">
      <c r="B105" s="79"/>
      <c r="C105" s="80"/>
      <c r="D105" s="78">
        <f t="shared" si="7"/>
        <v>0</v>
      </c>
      <c r="E105" s="77">
        <f t="shared" si="12"/>
        <v>0</v>
      </c>
      <c r="F105" s="97" t="str">
        <f t="shared" si="0"/>
        <v>g</v>
      </c>
      <c r="G105" s="40"/>
      <c r="H105" s="88" t="str">
        <f t="shared" si="10"/>
        <v/>
      </c>
      <c r="I105" s="102" t="str">
        <f t="shared" si="6"/>
        <v>g</v>
      </c>
      <c r="J105" s="157"/>
      <c r="K105" s="150">
        <f t="shared" si="11"/>
        <v>0</v>
      </c>
      <c r="L105" s="162" t="s">
        <v>3</v>
      </c>
      <c r="N105" s="26"/>
      <c r="O105" s="13"/>
      <c r="P105" s="14"/>
      <c r="Q105" s="15"/>
      <c r="R105" s="13"/>
      <c r="S105" s="14"/>
      <c r="T105" s="15"/>
      <c r="U105" s="13"/>
      <c r="V105" s="14"/>
      <c r="W105" s="27"/>
    </row>
    <row r="106" spans="2:23" ht="36" hidden="1" customHeight="1">
      <c r="B106" s="79"/>
      <c r="C106" s="80"/>
      <c r="D106" s="78">
        <f t="shared" si="7"/>
        <v>0</v>
      </c>
      <c r="E106" s="77">
        <f t="shared" si="12"/>
        <v>0</v>
      </c>
      <c r="F106" s="97" t="str">
        <f t="shared" si="0"/>
        <v>g</v>
      </c>
      <c r="G106" s="40"/>
      <c r="H106" s="88" t="str">
        <f t="shared" si="10"/>
        <v/>
      </c>
      <c r="I106" s="102" t="str">
        <f t="shared" si="6"/>
        <v>g</v>
      </c>
      <c r="J106" s="157"/>
      <c r="K106" s="150">
        <f t="shared" si="11"/>
        <v>0</v>
      </c>
      <c r="L106" s="162" t="s">
        <v>3</v>
      </c>
      <c r="N106" s="26"/>
      <c r="O106" s="13"/>
      <c r="P106" s="14"/>
      <c r="Q106" s="15"/>
      <c r="R106" s="13"/>
      <c r="S106" s="14"/>
      <c r="T106" s="15"/>
      <c r="U106" s="13"/>
      <c r="V106" s="14"/>
      <c r="W106" s="27"/>
    </row>
    <row r="107" spans="2:23" ht="36" hidden="1" customHeight="1">
      <c r="B107" s="79"/>
      <c r="C107" s="80"/>
      <c r="D107" s="78">
        <f t="shared" si="7"/>
        <v>0</v>
      </c>
      <c r="E107" s="77">
        <f t="shared" si="12"/>
        <v>0</v>
      </c>
      <c r="F107" s="97" t="str">
        <f t="shared" si="0"/>
        <v>g</v>
      </c>
      <c r="G107" s="40"/>
      <c r="H107" s="88" t="str">
        <f t="shared" si="10"/>
        <v/>
      </c>
      <c r="I107" s="102" t="str">
        <f t="shared" si="6"/>
        <v>g</v>
      </c>
      <c r="J107" s="157"/>
      <c r="K107" s="150">
        <f t="shared" si="11"/>
        <v>0</v>
      </c>
      <c r="L107" s="162" t="s">
        <v>3</v>
      </c>
      <c r="N107" s="26"/>
      <c r="O107" s="13"/>
      <c r="P107" s="14"/>
      <c r="Q107" s="15"/>
      <c r="R107" s="13"/>
      <c r="S107" s="14"/>
      <c r="T107" s="15"/>
      <c r="U107" s="13"/>
      <c r="V107" s="14"/>
      <c r="W107" s="27"/>
    </row>
    <row r="108" spans="2:23" ht="36" hidden="1" customHeight="1">
      <c r="B108" s="79"/>
      <c r="C108" s="80"/>
      <c r="D108" s="78">
        <f t="shared" si="7"/>
        <v>0</v>
      </c>
      <c r="E108" s="77">
        <f t="shared" si="12"/>
        <v>0</v>
      </c>
      <c r="F108" s="97" t="str">
        <f t="shared" si="0"/>
        <v>g</v>
      </c>
      <c r="G108" s="40"/>
      <c r="H108" s="88" t="str">
        <f t="shared" si="10"/>
        <v/>
      </c>
      <c r="I108" s="102" t="str">
        <f t="shared" si="6"/>
        <v>g</v>
      </c>
      <c r="J108" s="157"/>
      <c r="K108" s="150">
        <f t="shared" si="11"/>
        <v>0</v>
      </c>
      <c r="L108" s="162" t="s">
        <v>3</v>
      </c>
      <c r="N108" s="26"/>
      <c r="O108" s="13"/>
      <c r="P108" s="14"/>
      <c r="Q108" s="15"/>
      <c r="R108" s="13"/>
      <c r="S108" s="14"/>
      <c r="T108" s="15"/>
      <c r="U108" s="13"/>
      <c r="V108" s="14"/>
      <c r="W108" s="27"/>
    </row>
    <row r="109" spans="2:23" ht="36" hidden="1" customHeight="1">
      <c r="B109" s="79"/>
      <c r="C109" s="80"/>
      <c r="D109" s="78">
        <f t="shared" si="7"/>
        <v>0</v>
      </c>
      <c r="E109" s="77">
        <f t="shared" si="12"/>
        <v>0</v>
      </c>
      <c r="F109" s="97" t="str">
        <f t="shared" si="0"/>
        <v>g</v>
      </c>
      <c r="G109" s="40"/>
      <c r="H109" s="88" t="str">
        <f t="shared" si="10"/>
        <v/>
      </c>
      <c r="I109" s="102" t="str">
        <f t="shared" si="6"/>
        <v>g</v>
      </c>
      <c r="J109" s="157"/>
      <c r="K109" s="150">
        <f t="shared" si="11"/>
        <v>0</v>
      </c>
      <c r="L109" s="162" t="s">
        <v>3</v>
      </c>
      <c r="N109" s="26"/>
      <c r="O109" s="13"/>
      <c r="P109" s="14"/>
      <c r="Q109" s="15"/>
      <c r="R109" s="13"/>
      <c r="S109" s="14"/>
      <c r="T109" s="15"/>
      <c r="U109" s="13"/>
      <c r="V109" s="14"/>
      <c r="W109" s="27"/>
    </row>
    <row r="110" spans="2:23" ht="36" hidden="1" customHeight="1">
      <c r="B110" s="79"/>
      <c r="C110" s="80"/>
      <c r="D110" s="78">
        <f t="shared" si="7"/>
        <v>0</v>
      </c>
      <c r="E110" s="77">
        <f t="shared" si="12"/>
        <v>0</v>
      </c>
      <c r="F110" s="97" t="str">
        <f t="shared" si="0"/>
        <v>g</v>
      </c>
      <c r="G110" s="40"/>
      <c r="H110" s="88" t="str">
        <f t="shared" si="10"/>
        <v/>
      </c>
      <c r="I110" s="102" t="str">
        <f t="shared" si="6"/>
        <v>g</v>
      </c>
      <c r="J110" s="157"/>
      <c r="K110" s="150">
        <f t="shared" si="11"/>
        <v>0</v>
      </c>
      <c r="L110" s="162" t="s">
        <v>3</v>
      </c>
      <c r="N110" s="26"/>
      <c r="O110" s="13"/>
      <c r="P110" s="14"/>
      <c r="Q110" s="15"/>
      <c r="R110" s="13"/>
      <c r="S110" s="14"/>
      <c r="T110" s="15"/>
      <c r="U110" s="13"/>
      <c r="V110" s="14"/>
      <c r="W110" s="27"/>
    </row>
    <row r="111" spans="2:23" ht="36" hidden="1" customHeight="1">
      <c r="B111" s="79"/>
      <c r="C111" s="80"/>
      <c r="D111" s="78">
        <f t="shared" si="7"/>
        <v>0</v>
      </c>
      <c r="E111" s="77">
        <f t="shared" si="12"/>
        <v>0</v>
      </c>
      <c r="F111" s="97" t="str">
        <f t="shared" si="0"/>
        <v>g</v>
      </c>
      <c r="G111" s="40"/>
      <c r="H111" s="88" t="str">
        <f t="shared" si="10"/>
        <v/>
      </c>
      <c r="I111" s="102" t="str">
        <f t="shared" si="6"/>
        <v>g</v>
      </c>
      <c r="J111" s="157"/>
      <c r="K111" s="150">
        <f t="shared" si="11"/>
        <v>0</v>
      </c>
      <c r="L111" s="162" t="s">
        <v>3</v>
      </c>
      <c r="N111" s="26"/>
      <c r="O111" s="13"/>
      <c r="P111" s="14"/>
      <c r="Q111" s="15"/>
      <c r="R111" s="13"/>
      <c r="S111" s="14"/>
      <c r="T111" s="15"/>
      <c r="U111" s="13"/>
      <c r="V111" s="14"/>
      <c r="W111" s="27"/>
    </row>
    <row r="112" spans="2:23" ht="36" hidden="1" customHeight="1">
      <c r="B112" s="79"/>
      <c r="C112" s="80"/>
      <c r="D112" s="78">
        <f t="shared" si="7"/>
        <v>0</v>
      </c>
      <c r="E112" s="77">
        <f t="shared" si="12"/>
        <v>0</v>
      </c>
      <c r="F112" s="97" t="str">
        <f t="shared" si="0"/>
        <v>g</v>
      </c>
      <c r="G112" s="40"/>
      <c r="H112" s="88" t="str">
        <f t="shared" si="10"/>
        <v/>
      </c>
      <c r="I112" s="102" t="str">
        <f t="shared" si="6"/>
        <v>g</v>
      </c>
      <c r="J112" s="157"/>
      <c r="K112" s="150">
        <f t="shared" si="11"/>
        <v>0</v>
      </c>
      <c r="L112" s="162" t="s">
        <v>3</v>
      </c>
      <c r="N112" s="26"/>
      <c r="O112" s="13"/>
      <c r="P112" s="14"/>
      <c r="Q112" s="15"/>
      <c r="R112" s="13"/>
      <c r="S112" s="14"/>
      <c r="T112" s="15"/>
      <c r="U112" s="13"/>
      <c r="V112" s="14"/>
      <c r="W112" s="27"/>
    </row>
    <row r="113" spans="2:23" ht="36" hidden="1" customHeight="1">
      <c r="B113" s="79"/>
      <c r="C113" s="80"/>
      <c r="D113" s="78">
        <f t="shared" si="7"/>
        <v>0</v>
      </c>
      <c r="E113" s="77">
        <f t="shared" si="12"/>
        <v>0</v>
      </c>
      <c r="F113" s="97" t="str">
        <f t="shared" si="0"/>
        <v>g</v>
      </c>
      <c r="G113" s="40"/>
      <c r="H113" s="88" t="str">
        <f t="shared" si="10"/>
        <v/>
      </c>
      <c r="I113" s="102" t="str">
        <f t="shared" si="6"/>
        <v>g</v>
      </c>
      <c r="J113" s="157"/>
      <c r="K113" s="150">
        <f t="shared" si="11"/>
        <v>0</v>
      </c>
      <c r="L113" s="162" t="s">
        <v>3</v>
      </c>
      <c r="N113" s="26"/>
      <c r="O113" s="13"/>
      <c r="P113" s="14"/>
      <c r="Q113" s="15"/>
      <c r="R113" s="13"/>
      <c r="S113" s="14"/>
      <c r="T113" s="15"/>
      <c r="U113" s="13"/>
      <c r="V113" s="14"/>
      <c r="W113" s="27"/>
    </row>
    <row r="114" spans="2:23" ht="36" hidden="1" customHeight="1">
      <c r="B114" s="79"/>
      <c r="C114" s="80"/>
      <c r="D114" s="78">
        <f t="shared" si="7"/>
        <v>0</v>
      </c>
      <c r="E114" s="77">
        <f t="shared" si="12"/>
        <v>0</v>
      </c>
      <c r="F114" s="97" t="str">
        <f t="shared" si="0"/>
        <v>g</v>
      </c>
      <c r="G114" s="40"/>
      <c r="H114" s="88" t="str">
        <f t="shared" si="10"/>
        <v/>
      </c>
      <c r="I114" s="102" t="str">
        <f t="shared" si="6"/>
        <v>g</v>
      </c>
      <c r="J114" s="157"/>
      <c r="K114" s="150">
        <f t="shared" si="11"/>
        <v>0</v>
      </c>
      <c r="L114" s="162" t="s">
        <v>3</v>
      </c>
      <c r="N114" s="26"/>
      <c r="O114" s="13"/>
      <c r="P114" s="14"/>
      <c r="Q114" s="15"/>
      <c r="R114" s="13"/>
      <c r="S114" s="14"/>
      <c r="T114" s="15"/>
      <c r="U114" s="13"/>
      <c r="V114" s="14"/>
      <c r="W114" s="27"/>
    </row>
    <row r="115" spans="2:23" ht="36" hidden="1" customHeight="1">
      <c r="B115" s="79"/>
      <c r="C115" s="80"/>
      <c r="D115" s="78">
        <f t="shared" si="7"/>
        <v>0</v>
      </c>
      <c r="E115" s="77">
        <f t="shared" si="12"/>
        <v>0</v>
      </c>
      <c r="F115" s="97" t="str">
        <f t="shared" si="0"/>
        <v>g</v>
      </c>
      <c r="G115" s="40"/>
      <c r="H115" s="88" t="str">
        <f t="shared" si="10"/>
        <v/>
      </c>
      <c r="I115" s="102" t="str">
        <f t="shared" si="6"/>
        <v>g</v>
      </c>
      <c r="J115" s="157"/>
      <c r="K115" s="150">
        <f t="shared" si="11"/>
        <v>0</v>
      </c>
      <c r="L115" s="162" t="s">
        <v>3</v>
      </c>
      <c r="N115" s="26"/>
      <c r="O115" s="13"/>
      <c r="P115" s="14"/>
      <c r="Q115" s="15"/>
      <c r="R115" s="13"/>
      <c r="S115" s="14"/>
      <c r="T115" s="15"/>
      <c r="U115" s="13"/>
      <c r="V115" s="14"/>
      <c r="W115" s="27"/>
    </row>
    <row r="116" spans="2:23" ht="36" hidden="1" customHeight="1">
      <c r="B116" s="79"/>
      <c r="C116" s="80"/>
      <c r="D116" s="78">
        <f t="shared" si="7"/>
        <v>0</v>
      </c>
      <c r="E116" s="77">
        <f t="shared" si="12"/>
        <v>0</v>
      </c>
      <c r="F116" s="97" t="str">
        <f t="shared" si="0"/>
        <v>g</v>
      </c>
      <c r="G116" s="40"/>
      <c r="H116" s="88" t="str">
        <f t="shared" si="10"/>
        <v/>
      </c>
      <c r="I116" s="102" t="str">
        <f t="shared" si="6"/>
        <v>g</v>
      </c>
      <c r="J116" s="157"/>
      <c r="K116" s="150">
        <f t="shared" si="11"/>
        <v>0</v>
      </c>
      <c r="L116" s="162" t="s">
        <v>3</v>
      </c>
      <c r="N116" s="26"/>
      <c r="O116" s="13"/>
      <c r="P116" s="14"/>
      <c r="Q116" s="15"/>
      <c r="R116" s="13"/>
      <c r="S116" s="14"/>
      <c r="T116" s="15"/>
      <c r="U116" s="13"/>
      <c r="V116" s="14"/>
      <c r="W116" s="27"/>
    </row>
    <row r="117" spans="2:23" ht="36" hidden="1" customHeight="1">
      <c r="B117" s="79"/>
      <c r="C117" s="80"/>
      <c r="D117" s="78">
        <f t="shared" si="7"/>
        <v>0</v>
      </c>
      <c r="E117" s="77">
        <f t="shared" si="12"/>
        <v>0</v>
      </c>
      <c r="F117" s="97" t="str">
        <f t="shared" si="0"/>
        <v>g</v>
      </c>
      <c r="G117" s="40"/>
      <c r="H117" s="88" t="str">
        <f t="shared" si="10"/>
        <v/>
      </c>
      <c r="I117" s="102" t="str">
        <f t="shared" si="6"/>
        <v>g</v>
      </c>
      <c r="J117" s="157"/>
      <c r="K117" s="150">
        <f t="shared" si="11"/>
        <v>0</v>
      </c>
      <c r="L117" s="162" t="s">
        <v>3</v>
      </c>
      <c r="N117" s="26"/>
      <c r="O117" s="13"/>
      <c r="P117" s="14"/>
      <c r="Q117" s="15"/>
      <c r="R117" s="13"/>
      <c r="S117" s="14"/>
      <c r="T117" s="15"/>
      <c r="U117" s="13"/>
      <c r="V117" s="14"/>
      <c r="W117" s="27"/>
    </row>
    <row r="118" spans="2:23" ht="36" hidden="1" customHeight="1">
      <c r="B118" s="79"/>
      <c r="C118" s="80"/>
      <c r="D118" s="78">
        <f t="shared" si="7"/>
        <v>0</v>
      </c>
      <c r="E118" s="77">
        <f t="shared" si="12"/>
        <v>0</v>
      </c>
      <c r="F118" s="97" t="str">
        <f t="shared" si="0"/>
        <v>g</v>
      </c>
      <c r="G118" s="40"/>
      <c r="H118" s="88" t="str">
        <f t="shared" si="10"/>
        <v/>
      </c>
      <c r="I118" s="102" t="str">
        <f t="shared" si="6"/>
        <v>g</v>
      </c>
      <c r="J118" s="157"/>
      <c r="K118" s="150">
        <f t="shared" si="11"/>
        <v>0</v>
      </c>
      <c r="L118" s="162" t="s">
        <v>3</v>
      </c>
      <c r="N118" s="26"/>
      <c r="O118" s="13"/>
      <c r="P118" s="14"/>
      <c r="Q118" s="15"/>
      <c r="R118" s="13"/>
      <c r="S118" s="14"/>
      <c r="T118" s="15"/>
      <c r="U118" s="13"/>
      <c r="V118" s="14"/>
      <c r="W118" s="27"/>
    </row>
    <row r="119" spans="2:23" ht="36" hidden="1" customHeight="1">
      <c r="B119" s="79"/>
      <c r="C119" s="80"/>
      <c r="D119" s="78">
        <f t="shared" si="7"/>
        <v>0</v>
      </c>
      <c r="E119" s="77">
        <f t="shared" si="12"/>
        <v>0</v>
      </c>
      <c r="F119" s="97" t="str">
        <f t="shared" si="0"/>
        <v>g</v>
      </c>
      <c r="G119" s="40"/>
      <c r="H119" s="88" t="str">
        <f t="shared" si="10"/>
        <v/>
      </c>
      <c r="I119" s="102" t="str">
        <f t="shared" si="6"/>
        <v>g</v>
      </c>
      <c r="J119" s="157"/>
      <c r="K119" s="150">
        <f t="shared" si="11"/>
        <v>0</v>
      </c>
      <c r="L119" s="162" t="s">
        <v>3</v>
      </c>
      <c r="N119" s="26"/>
      <c r="O119" s="13"/>
      <c r="P119" s="14"/>
      <c r="Q119" s="15"/>
      <c r="R119" s="13"/>
      <c r="S119" s="14"/>
      <c r="T119" s="15"/>
      <c r="U119" s="13"/>
      <c r="V119" s="14"/>
      <c r="W119" s="27"/>
    </row>
    <row r="120" spans="2:23" ht="36" hidden="1" customHeight="1">
      <c r="B120" s="79"/>
      <c r="C120" s="80"/>
      <c r="D120" s="78">
        <f t="shared" si="7"/>
        <v>0</v>
      </c>
      <c r="E120" s="77">
        <f t="shared" si="12"/>
        <v>0</v>
      </c>
      <c r="F120" s="97" t="str">
        <f t="shared" si="0"/>
        <v>g</v>
      </c>
      <c r="G120" s="40"/>
      <c r="H120" s="88" t="str">
        <f t="shared" si="10"/>
        <v/>
      </c>
      <c r="I120" s="102" t="str">
        <f t="shared" si="6"/>
        <v>g</v>
      </c>
      <c r="J120" s="157"/>
      <c r="K120" s="150">
        <f t="shared" si="11"/>
        <v>0</v>
      </c>
      <c r="L120" s="162" t="s">
        <v>3</v>
      </c>
      <c r="N120" s="26"/>
      <c r="O120" s="13"/>
      <c r="P120" s="14"/>
      <c r="Q120" s="15"/>
      <c r="R120" s="13"/>
      <c r="S120" s="14"/>
      <c r="T120" s="15"/>
      <c r="U120" s="13"/>
      <c r="V120" s="14"/>
      <c r="W120" s="27"/>
    </row>
    <row r="121" spans="2:23" ht="36" hidden="1" customHeight="1">
      <c r="B121" s="79"/>
      <c r="C121" s="80"/>
      <c r="D121" s="78">
        <f t="shared" si="7"/>
        <v>0</v>
      </c>
      <c r="E121" s="77">
        <f t="shared" si="12"/>
        <v>0</v>
      </c>
      <c r="F121" s="97" t="str">
        <f t="shared" si="0"/>
        <v>g</v>
      </c>
      <c r="G121" s="40"/>
      <c r="H121" s="88" t="str">
        <f t="shared" si="10"/>
        <v/>
      </c>
      <c r="I121" s="102" t="str">
        <f t="shared" si="6"/>
        <v>g</v>
      </c>
      <c r="J121" s="157"/>
      <c r="K121" s="150">
        <f t="shared" si="11"/>
        <v>0</v>
      </c>
      <c r="L121" s="162" t="s">
        <v>3</v>
      </c>
      <c r="N121" s="26"/>
      <c r="O121" s="13"/>
      <c r="P121" s="14"/>
      <c r="Q121" s="15"/>
      <c r="R121" s="13"/>
      <c r="S121" s="14"/>
      <c r="T121" s="15"/>
      <c r="U121" s="13"/>
      <c r="V121" s="14"/>
      <c r="W121" s="27"/>
    </row>
    <row r="122" spans="2:23" ht="36" hidden="1" customHeight="1">
      <c r="B122" s="79"/>
      <c r="C122" s="80"/>
      <c r="D122" s="78">
        <f t="shared" si="7"/>
        <v>0</v>
      </c>
      <c r="E122" s="77">
        <f t="shared" si="12"/>
        <v>0</v>
      </c>
      <c r="F122" s="97" t="str">
        <f t="shared" si="0"/>
        <v>g</v>
      </c>
      <c r="G122" s="40"/>
      <c r="H122" s="88" t="str">
        <f t="shared" ref="H122:H154" si="13">IF($G$3="", "", E122*$G$3%)</f>
        <v/>
      </c>
      <c r="I122" s="102" t="str">
        <f t="shared" si="6"/>
        <v>g</v>
      </c>
      <c r="J122" s="157"/>
      <c r="K122" s="150">
        <f t="shared" ref="K122:K154" si="14">IF(F122="g", IF(I122="g", IFERROR(E122+H122, 0), 0), 0)</f>
        <v>0</v>
      </c>
      <c r="L122" s="162" t="s">
        <v>3</v>
      </c>
      <c r="N122" s="26"/>
      <c r="O122" s="13"/>
      <c r="P122" s="14"/>
      <c r="Q122" s="15"/>
      <c r="R122" s="13"/>
      <c r="S122" s="14"/>
      <c r="T122" s="15"/>
      <c r="U122" s="13"/>
      <c r="V122" s="14"/>
      <c r="W122" s="27"/>
    </row>
    <row r="123" spans="2:23" ht="36" hidden="1" customHeight="1">
      <c r="B123" s="79"/>
      <c r="C123" s="80"/>
      <c r="D123" s="78">
        <f t="shared" si="7"/>
        <v>0</v>
      </c>
      <c r="E123" s="77">
        <f t="shared" si="12"/>
        <v>0</v>
      </c>
      <c r="F123" s="97" t="str">
        <f t="shared" si="0"/>
        <v>g</v>
      </c>
      <c r="G123" s="40"/>
      <c r="H123" s="88" t="str">
        <f t="shared" si="13"/>
        <v/>
      </c>
      <c r="I123" s="102" t="str">
        <f t="shared" si="6"/>
        <v>g</v>
      </c>
      <c r="J123" s="157"/>
      <c r="K123" s="150">
        <f t="shared" si="14"/>
        <v>0</v>
      </c>
      <c r="L123" s="162" t="s">
        <v>3</v>
      </c>
      <c r="N123" s="26"/>
      <c r="O123" s="13"/>
      <c r="P123" s="14"/>
      <c r="Q123" s="15"/>
      <c r="R123" s="13"/>
      <c r="S123" s="14"/>
      <c r="T123" s="15"/>
      <c r="U123" s="13"/>
      <c r="V123" s="14"/>
      <c r="W123" s="27"/>
    </row>
    <row r="124" spans="2:23" ht="36" hidden="1" customHeight="1">
      <c r="B124" s="79"/>
      <c r="C124" s="80"/>
      <c r="D124" s="78">
        <f t="shared" si="7"/>
        <v>0</v>
      </c>
      <c r="E124" s="77">
        <f t="shared" si="12"/>
        <v>0</v>
      </c>
      <c r="F124" s="97" t="str">
        <f t="shared" si="0"/>
        <v>g</v>
      </c>
      <c r="G124" s="40"/>
      <c r="H124" s="88" t="str">
        <f t="shared" si="13"/>
        <v/>
      </c>
      <c r="I124" s="102" t="str">
        <f t="shared" si="6"/>
        <v>g</v>
      </c>
      <c r="J124" s="157"/>
      <c r="K124" s="150">
        <f t="shared" si="14"/>
        <v>0</v>
      </c>
      <c r="L124" s="162" t="s">
        <v>3</v>
      </c>
      <c r="N124" s="26"/>
      <c r="O124" s="13"/>
      <c r="P124" s="14"/>
      <c r="Q124" s="15"/>
      <c r="R124" s="13"/>
      <c r="S124" s="14"/>
      <c r="T124" s="15"/>
      <c r="U124" s="13"/>
      <c r="V124" s="14"/>
      <c r="W124" s="27"/>
    </row>
    <row r="125" spans="2:23" ht="36" hidden="1" customHeight="1">
      <c r="B125" s="79"/>
      <c r="C125" s="80"/>
      <c r="D125" s="78">
        <f t="shared" si="7"/>
        <v>0</v>
      </c>
      <c r="E125" s="77">
        <f t="shared" si="12"/>
        <v>0</v>
      </c>
      <c r="F125" s="97" t="str">
        <f t="shared" si="0"/>
        <v>g</v>
      </c>
      <c r="G125" s="40"/>
      <c r="H125" s="88" t="str">
        <f t="shared" si="13"/>
        <v/>
      </c>
      <c r="I125" s="102" t="str">
        <f t="shared" si="6"/>
        <v>g</v>
      </c>
      <c r="J125" s="157"/>
      <c r="K125" s="150">
        <f t="shared" si="14"/>
        <v>0</v>
      </c>
      <c r="L125" s="162" t="s">
        <v>3</v>
      </c>
      <c r="N125" s="26"/>
      <c r="O125" s="13"/>
      <c r="P125" s="14"/>
      <c r="Q125" s="15"/>
      <c r="R125" s="13"/>
      <c r="S125" s="14"/>
      <c r="T125" s="15"/>
      <c r="U125" s="13"/>
      <c r="V125" s="14"/>
      <c r="W125" s="27"/>
    </row>
    <row r="126" spans="2:23" ht="36" hidden="1" customHeight="1">
      <c r="B126" s="79"/>
      <c r="C126" s="80"/>
      <c r="D126" s="78">
        <f t="shared" si="7"/>
        <v>0</v>
      </c>
      <c r="E126" s="77">
        <f t="shared" si="12"/>
        <v>0</v>
      </c>
      <c r="F126" s="97" t="str">
        <f t="shared" si="0"/>
        <v>g</v>
      </c>
      <c r="G126" s="40"/>
      <c r="H126" s="88" t="str">
        <f t="shared" si="13"/>
        <v/>
      </c>
      <c r="I126" s="102" t="str">
        <f t="shared" si="6"/>
        <v>g</v>
      </c>
      <c r="J126" s="157"/>
      <c r="K126" s="150">
        <f t="shared" si="14"/>
        <v>0</v>
      </c>
      <c r="L126" s="162" t="s">
        <v>3</v>
      </c>
      <c r="N126" s="26"/>
      <c r="O126" s="13"/>
      <c r="P126" s="14"/>
      <c r="Q126" s="15"/>
      <c r="R126" s="13"/>
      <c r="S126" s="14"/>
      <c r="T126" s="15"/>
      <c r="U126" s="13"/>
      <c r="V126" s="14"/>
      <c r="W126" s="27"/>
    </row>
    <row r="127" spans="2:23" ht="36" hidden="1" customHeight="1">
      <c r="B127" s="79"/>
      <c r="C127" s="80"/>
      <c r="D127" s="78">
        <f t="shared" si="7"/>
        <v>0</v>
      </c>
      <c r="E127" s="77">
        <f t="shared" si="12"/>
        <v>0</v>
      </c>
      <c r="F127" s="97" t="str">
        <f t="shared" si="0"/>
        <v>g</v>
      </c>
      <c r="G127" s="40"/>
      <c r="H127" s="88" t="str">
        <f t="shared" si="13"/>
        <v/>
      </c>
      <c r="I127" s="102" t="str">
        <f t="shared" si="6"/>
        <v>g</v>
      </c>
      <c r="J127" s="157"/>
      <c r="K127" s="150">
        <f t="shared" si="14"/>
        <v>0</v>
      </c>
      <c r="L127" s="162" t="s">
        <v>3</v>
      </c>
      <c r="N127" s="26"/>
      <c r="O127" s="13"/>
      <c r="P127" s="14"/>
      <c r="Q127" s="15"/>
      <c r="R127" s="13"/>
      <c r="S127" s="14"/>
      <c r="T127" s="15"/>
      <c r="U127" s="13"/>
      <c r="V127" s="14"/>
      <c r="W127" s="27"/>
    </row>
    <row r="128" spans="2:23" ht="36" hidden="1" customHeight="1">
      <c r="B128" s="79"/>
      <c r="C128" s="80"/>
      <c r="D128" s="78">
        <f t="shared" si="7"/>
        <v>0</v>
      </c>
      <c r="E128" s="77">
        <f t="shared" si="12"/>
        <v>0</v>
      </c>
      <c r="F128" s="97" t="str">
        <f t="shared" si="0"/>
        <v>g</v>
      </c>
      <c r="G128" s="40"/>
      <c r="H128" s="88" t="str">
        <f t="shared" si="13"/>
        <v/>
      </c>
      <c r="I128" s="102" t="str">
        <f t="shared" si="6"/>
        <v>g</v>
      </c>
      <c r="J128" s="157"/>
      <c r="K128" s="150">
        <f t="shared" si="14"/>
        <v>0</v>
      </c>
      <c r="L128" s="162" t="s">
        <v>3</v>
      </c>
      <c r="N128" s="26"/>
      <c r="O128" s="13"/>
      <c r="P128" s="14"/>
      <c r="Q128" s="15"/>
      <c r="R128" s="13"/>
      <c r="S128" s="14"/>
      <c r="T128" s="15"/>
      <c r="U128" s="13"/>
      <c r="V128" s="14"/>
      <c r="W128" s="27"/>
    </row>
    <row r="129" spans="2:23" ht="36" hidden="1" customHeight="1">
      <c r="B129" s="79"/>
      <c r="C129" s="80"/>
      <c r="D129" s="78">
        <f t="shared" si="7"/>
        <v>0</v>
      </c>
      <c r="E129" s="77">
        <f t="shared" si="12"/>
        <v>0</v>
      </c>
      <c r="F129" s="97" t="str">
        <f t="shared" si="0"/>
        <v>g</v>
      </c>
      <c r="G129" s="40"/>
      <c r="H129" s="88" t="str">
        <f t="shared" si="13"/>
        <v/>
      </c>
      <c r="I129" s="102" t="str">
        <f t="shared" si="6"/>
        <v>g</v>
      </c>
      <c r="J129" s="157"/>
      <c r="K129" s="150">
        <f t="shared" si="14"/>
        <v>0</v>
      </c>
      <c r="L129" s="162" t="s">
        <v>3</v>
      </c>
      <c r="N129" s="26"/>
      <c r="O129" s="13"/>
      <c r="P129" s="14"/>
      <c r="Q129" s="15"/>
      <c r="R129" s="13"/>
      <c r="S129" s="14"/>
      <c r="T129" s="15"/>
      <c r="U129" s="13"/>
      <c r="V129" s="14"/>
      <c r="W129" s="27"/>
    </row>
    <row r="130" spans="2:23" ht="36" hidden="1" customHeight="1">
      <c r="B130" s="79"/>
      <c r="C130" s="80"/>
      <c r="D130" s="78">
        <f t="shared" si="7"/>
        <v>0</v>
      </c>
      <c r="E130" s="77">
        <f t="shared" si="12"/>
        <v>0</v>
      </c>
      <c r="F130" s="97" t="str">
        <f t="shared" si="0"/>
        <v>g</v>
      </c>
      <c r="G130" s="40"/>
      <c r="H130" s="88" t="str">
        <f t="shared" si="13"/>
        <v/>
      </c>
      <c r="I130" s="102" t="str">
        <f t="shared" si="6"/>
        <v>g</v>
      </c>
      <c r="J130" s="157"/>
      <c r="K130" s="150">
        <f t="shared" si="14"/>
        <v>0</v>
      </c>
      <c r="L130" s="162" t="s">
        <v>3</v>
      </c>
      <c r="N130" s="26"/>
      <c r="O130" s="13"/>
      <c r="P130" s="14"/>
      <c r="Q130" s="15"/>
      <c r="R130" s="13"/>
      <c r="S130" s="14"/>
      <c r="T130" s="15"/>
      <c r="U130" s="13"/>
      <c r="V130" s="14"/>
      <c r="W130" s="27"/>
    </row>
    <row r="131" spans="2:23" ht="36" hidden="1" customHeight="1">
      <c r="B131" s="79"/>
      <c r="C131" s="80"/>
      <c r="D131" s="78">
        <f t="shared" si="7"/>
        <v>0</v>
      </c>
      <c r="E131" s="77">
        <f t="shared" si="12"/>
        <v>0</v>
      </c>
      <c r="F131" s="97" t="str">
        <f t="shared" si="0"/>
        <v>g</v>
      </c>
      <c r="G131" s="40"/>
      <c r="H131" s="88" t="str">
        <f t="shared" si="13"/>
        <v/>
      </c>
      <c r="I131" s="102" t="str">
        <f t="shared" si="6"/>
        <v>g</v>
      </c>
      <c r="J131" s="157"/>
      <c r="K131" s="150">
        <f t="shared" si="14"/>
        <v>0</v>
      </c>
      <c r="L131" s="162" t="s">
        <v>3</v>
      </c>
      <c r="N131" s="26"/>
      <c r="O131" s="13"/>
      <c r="P131" s="14"/>
      <c r="Q131" s="15"/>
      <c r="R131" s="13"/>
      <c r="S131" s="14"/>
      <c r="T131" s="15"/>
      <c r="U131" s="13"/>
      <c r="V131" s="14"/>
      <c r="W131" s="27"/>
    </row>
    <row r="132" spans="2:23" ht="36" hidden="1" customHeight="1">
      <c r="B132" s="79"/>
      <c r="C132" s="80"/>
      <c r="D132" s="78">
        <f t="shared" si="7"/>
        <v>0</v>
      </c>
      <c r="E132" s="77">
        <f t="shared" si="12"/>
        <v>0</v>
      </c>
      <c r="F132" s="97" t="str">
        <f t="shared" si="0"/>
        <v>g</v>
      </c>
      <c r="G132" s="40"/>
      <c r="H132" s="88" t="str">
        <f t="shared" si="13"/>
        <v/>
      </c>
      <c r="I132" s="102" t="str">
        <f t="shared" si="6"/>
        <v>g</v>
      </c>
      <c r="J132" s="157"/>
      <c r="K132" s="150">
        <f t="shared" si="14"/>
        <v>0</v>
      </c>
      <c r="L132" s="162" t="s">
        <v>3</v>
      </c>
      <c r="N132" s="26"/>
      <c r="O132" s="13"/>
      <c r="P132" s="14"/>
      <c r="Q132" s="15"/>
      <c r="R132" s="13"/>
      <c r="S132" s="14"/>
      <c r="T132" s="15"/>
      <c r="U132" s="13"/>
      <c r="V132" s="14"/>
      <c r="W132" s="27"/>
    </row>
    <row r="133" spans="2:23" ht="36" hidden="1" customHeight="1">
      <c r="B133" s="79"/>
      <c r="C133" s="80"/>
      <c r="D133" s="78">
        <f t="shared" si="7"/>
        <v>0</v>
      </c>
      <c r="E133" s="77">
        <f t="shared" si="12"/>
        <v>0</v>
      </c>
      <c r="F133" s="97" t="str">
        <f t="shared" si="0"/>
        <v>g</v>
      </c>
      <c r="G133" s="40"/>
      <c r="H133" s="88" t="str">
        <f t="shared" si="13"/>
        <v/>
      </c>
      <c r="I133" s="102" t="str">
        <f t="shared" si="6"/>
        <v>g</v>
      </c>
      <c r="J133" s="157"/>
      <c r="K133" s="150">
        <f t="shared" si="14"/>
        <v>0</v>
      </c>
      <c r="L133" s="162" t="s">
        <v>3</v>
      </c>
      <c r="N133" s="26"/>
      <c r="O133" s="13"/>
      <c r="P133" s="14"/>
      <c r="Q133" s="15"/>
      <c r="R133" s="13"/>
      <c r="S133" s="14"/>
      <c r="T133" s="15"/>
      <c r="U133" s="13"/>
      <c r="V133" s="14"/>
      <c r="W133" s="27"/>
    </row>
    <row r="134" spans="2:23" ht="36" hidden="1" customHeight="1">
      <c r="B134" s="79"/>
      <c r="C134" s="80"/>
      <c r="D134" s="78">
        <f t="shared" si="7"/>
        <v>0</v>
      </c>
      <c r="E134" s="77">
        <f t="shared" si="12"/>
        <v>0</v>
      </c>
      <c r="F134" s="97" t="str">
        <f t="shared" si="0"/>
        <v>g</v>
      </c>
      <c r="G134" s="40"/>
      <c r="H134" s="88" t="str">
        <f t="shared" si="13"/>
        <v/>
      </c>
      <c r="I134" s="102" t="str">
        <f t="shared" si="6"/>
        <v>g</v>
      </c>
      <c r="J134" s="157"/>
      <c r="K134" s="150">
        <f t="shared" si="14"/>
        <v>0</v>
      </c>
      <c r="L134" s="162" t="s">
        <v>3</v>
      </c>
      <c r="N134" s="26"/>
      <c r="O134" s="13"/>
      <c r="P134" s="14"/>
      <c r="Q134" s="15"/>
      <c r="R134" s="13"/>
      <c r="S134" s="14"/>
      <c r="T134" s="15"/>
      <c r="U134" s="13"/>
      <c r="V134" s="14"/>
      <c r="W134" s="27"/>
    </row>
    <row r="135" spans="2:23" ht="36" hidden="1" customHeight="1">
      <c r="B135" s="79"/>
      <c r="C135" s="80"/>
      <c r="D135" s="78">
        <f t="shared" si="7"/>
        <v>0</v>
      </c>
      <c r="E135" s="77">
        <f t="shared" si="12"/>
        <v>0</v>
      </c>
      <c r="F135" s="97" t="str">
        <f t="shared" si="0"/>
        <v>g</v>
      </c>
      <c r="G135" s="40"/>
      <c r="H135" s="88" t="str">
        <f t="shared" si="13"/>
        <v/>
      </c>
      <c r="I135" s="102" t="str">
        <f t="shared" si="6"/>
        <v>g</v>
      </c>
      <c r="J135" s="157"/>
      <c r="K135" s="150">
        <f t="shared" si="14"/>
        <v>0</v>
      </c>
      <c r="L135" s="162" t="s">
        <v>3</v>
      </c>
      <c r="N135" s="26"/>
      <c r="O135" s="13"/>
      <c r="P135" s="14"/>
      <c r="Q135" s="15"/>
      <c r="R135" s="13"/>
      <c r="S135" s="14"/>
      <c r="T135" s="15"/>
      <c r="U135" s="13"/>
      <c r="V135" s="14"/>
      <c r="W135" s="27"/>
    </row>
    <row r="136" spans="2:23" ht="36" hidden="1" customHeight="1">
      <c r="B136" s="79"/>
      <c r="C136" s="80"/>
      <c r="D136" s="78">
        <f t="shared" si="7"/>
        <v>0</v>
      </c>
      <c r="E136" s="77">
        <f t="shared" si="12"/>
        <v>0</v>
      </c>
      <c r="F136" s="97" t="str">
        <f t="shared" si="0"/>
        <v>g</v>
      </c>
      <c r="G136" s="40"/>
      <c r="H136" s="88" t="str">
        <f t="shared" si="13"/>
        <v/>
      </c>
      <c r="I136" s="102" t="str">
        <f t="shared" si="6"/>
        <v>g</v>
      </c>
      <c r="J136" s="157"/>
      <c r="K136" s="150">
        <f t="shared" si="14"/>
        <v>0</v>
      </c>
      <c r="L136" s="162" t="s">
        <v>3</v>
      </c>
      <c r="N136" s="26"/>
      <c r="O136" s="13"/>
      <c r="P136" s="14"/>
      <c r="Q136" s="15"/>
      <c r="R136" s="13"/>
      <c r="S136" s="14"/>
      <c r="T136" s="15"/>
      <c r="U136" s="13"/>
      <c r="V136" s="14"/>
      <c r="W136" s="27"/>
    </row>
    <row r="137" spans="2:23" ht="36" hidden="1" customHeight="1">
      <c r="B137" s="79"/>
      <c r="C137" s="80"/>
      <c r="D137" s="78">
        <f t="shared" si="7"/>
        <v>0</v>
      </c>
      <c r="E137" s="77">
        <f t="shared" si="12"/>
        <v>0</v>
      </c>
      <c r="F137" s="97" t="str">
        <f t="shared" si="0"/>
        <v>g</v>
      </c>
      <c r="G137" s="40"/>
      <c r="H137" s="88" t="str">
        <f t="shared" si="13"/>
        <v/>
      </c>
      <c r="I137" s="102" t="str">
        <f t="shared" si="6"/>
        <v>g</v>
      </c>
      <c r="J137" s="157"/>
      <c r="K137" s="150">
        <f t="shared" si="14"/>
        <v>0</v>
      </c>
      <c r="L137" s="162" t="s">
        <v>3</v>
      </c>
      <c r="N137" s="26"/>
      <c r="O137" s="13"/>
      <c r="P137" s="14"/>
      <c r="Q137" s="15"/>
      <c r="R137" s="13"/>
      <c r="S137" s="14"/>
      <c r="T137" s="15"/>
      <c r="U137" s="13"/>
      <c r="V137" s="14"/>
      <c r="W137" s="27"/>
    </row>
    <row r="138" spans="2:23" ht="36" hidden="1" customHeight="1">
      <c r="B138" s="79"/>
      <c r="C138" s="80"/>
      <c r="D138" s="78">
        <f t="shared" si="7"/>
        <v>0</v>
      </c>
      <c r="E138" s="77">
        <f t="shared" si="12"/>
        <v>0</v>
      </c>
      <c r="F138" s="97" t="str">
        <f t="shared" si="0"/>
        <v>g</v>
      </c>
      <c r="G138" s="40"/>
      <c r="H138" s="88" t="str">
        <f t="shared" si="13"/>
        <v/>
      </c>
      <c r="I138" s="102" t="str">
        <f t="shared" si="6"/>
        <v>g</v>
      </c>
      <c r="J138" s="157"/>
      <c r="K138" s="150">
        <f t="shared" si="14"/>
        <v>0</v>
      </c>
      <c r="L138" s="162" t="s">
        <v>3</v>
      </c>
      <c r="N138" s="26"/>
      <c r="O138" s="13"/>
      <c r="P138" s="14"/>
      <c r="Q138" s="15"/>
      <c r="R138" s="13"/>
      <c r="S138" s="14"/>
      <c r="T138" s="15"/>
      <c r="U138" s="13"/>
      <c r="V138" s="14"/>
      <c r="W138" s="27"/>
    </row>
    <row r="139" spans="2:23" ht="36" hidden="1" customHeight="1">
      <c r="B139" s="79"/>
      <c r="C139" s="80"/>
      <c r="D139" s="78">
        <f t="shared" si="7"/>
        <v>0</v>
      </c>
      <c r="E139" s="77">
        <f t="shared" ref="E139:E154" si="15">D139*$E$2</f>
        <v>0</v>
      </c>
      <c r="F139" s="97" t="str">
        <f t="shared" si="0"/>
        <v>g</v>
      </c>
      <c r="G139" s="40"/>
      <c r="H139" s="88" t="str">
        <f t="shared" si="13"/>
        <v/>
      </c>
      <c r="I139" s="102" t="str">
        <f t="shared" si="6"/>
        <v>g</v>
      </c>
      <c r="J139" s="157"/>
      <c r="K139" s="150">
        <f t="shared" si="14"/>
        <v>0</v>
      </c>
      <c r="L139" s="162" t="s">
        <v>3</v>
      </c>
      <c r="N139" s="26"/>
      <c r="O139" s="13"/>
      <c r="P139" s="14"/>
      <c r="Q139" s="15"/>
      <c r="R139" s="13"/>
      <c r="S139" s="14"/>
      <c r="T139" s="15"/>
      <c r="U139" s="13"/>
      <c r="V139" s="14"/>
      <c r="W139" s="27"/>
    </row>
    <row r="140" spans="2:23" ht="36" hidden="1" customHeight="1">
      <c r="B140" s="79"/>
      <c r="C140" s="80"/>
      <c r="D140" s="78">
        <f t="shared" si="7"/>
        <v>0</v>
      </c>
      <c r="E140" s="77">
        <f t="shared" si="15"/>
        <v>0</v>
      </c>
      <c r="F140" s="97" t="str">
        <f t="shared" si="0"/>
        <v>g</v>
      </c>
      <c r="G140" s="40"/>
      <c r="H140" s="88" t="str">
        <f t="shared" si="13"/>
        <v/>
      </c>
      <c r="I140" s="102" t="str">
        <f t="shared" si="6"/>
        <v>g</v>
      </c>
      <c r="J140" s="157"/>
      <c r="K140" s="150">
        <f t="shared" si="14"/>
        <v>0</v>
      </c>
      <c r="L140" s="162" t="s">
        <v>3</v>
      </c>
      <c r="N140" s="26"/>
      <c r="O140" s="13"/>
      <c r="P140" s="14"/>
      <c r="Q140" s="15"/>
      <c r="R140" s="13"/>
      <c r="S140" s="14"/>
      <c r="T140" s="15"/>
      <c r="U140" s="13"/>
      <c r="V140" s="14"/>
      <c r="W140" s="27"/>
    </row>
    <row r="141" spans="2:23" ht="36" hidden="1" customHeight="1">
      <c r="B141" s="79"/>
      <c r="C141" s="80"/>
      <c r="D141" s="78">
        <f t="shared" si="7"/>
        <v>0</v>
      </c>
      <c r="E141" s="77">
        <f t="shared" si="15"/>
        <v>0</v>
      </c>
      <c r="F141" s="97" t="str">
        <f t="shared" si="0"/>
        <v>g</v>
      </c>
      <c r="G141" s="40"/>
      <c r="H141" s="88" t="str">
        <f t="shared" si="13"/>
        <v/>
      </c>
      <c r="I141" s="102" t="str">
        <f t="shared" si="6"/>
        <v>g</v>
      </c>
      <c r="J141" s="157"/>
      <c r="K141" s="150">
        <f t="shared" si="14"/>
        <v>0</v>
      </c>
      <c r="L141" s="162" t="s">
        <v>3</v>
      </c>
      <c r="N141" s="26"/>
      <c r="O141" s="13"/>
      <c r="P141" s="14"/>
      <c r="Q141" s="15"/>
      <c r="R141" s="13"/>
      <c r="S141" s="14"/>
      <c r="T141" s="15"/>
      <c r="U141" s="13"/>
      <c r="V141" s="14"/>
      <c r="W141" s="27"/>
    </row>
    <row r="142" spans="2:23" ht="36" hidden="1" customHeight="1">
      <c r="B142" s="79"/>
      <c r="C142" s="80"/>
      <c r="D142" s="78">
        <f t="shared" si="7"/>
        <v>0</v>
      </c>
      <c r="E142" s="77">
        <f t="shared" si="15"/>
        <v>0</v>
      </c>
      <c r="F142" s="97" t="str">
        <f t="shared" si="0"/>
        <v>g</v>
      </c>
      <c r="G142" s="40"/>
      <c r="H142" s="88" t="str">
        <f t="shared" si="13"/>
        <v/>
      </c>
      <c r="I142" s="102" t="str">
        <f t="shared" si="6"/>
        <v>g</v>
      </c>
      <c r="J142" s="157"/>
      <c r="K142" s="150">
        <f t="shared" si="14"/>
        <v>0</v>
      </c>
      <c r="L142" s="162" t="s">
        <v>3</v>
      </c>
      <c r="N142" s="26"/>
      <c r="O142" s="13"/>
      <c r="P142" s="14"/>
      <c r="Q142" s="15"/>
      <c r="R142" s="13"/>
      <c r="S142" s="14"/>
      <c r="T142" s="15"/>
      <c r="U142" s="13"/>
      <c r="V142" s="14"/>
      <c r="W142" s="27"/>
    </row>
    <row r="143" spans="2:23" ht="36" hidden="1" customHeight="1">
      <c r="B143" s="79"/>
      <c r="C143" s="80"/>
      <c r="D143" s="78">
        <f t="shared" si="7"/>
        <v>0</v>
      </c>
      <c r="E143" s="77">
        <f t="shared" si="15"/>
        <v>0</v>
      </c>
      <c r="F143" s="97" t="str">
        <f t="shared" si="0"/>
        <v>g</v>
      </c>
      <c r="G143" s="40"/>
      <c r="H143" s="88" t="str">
        <f t="shared" si="13"/>
        <v/>
      </c>
      <c r="I143" s="102" t="str">
        <f t="shared" si="6"/>
        <v>g</v>
      </c>
      <c r="J143" s="157"/>
      <c r="K143" s="150">
        <f t="shared" si="14"/>
        <v>0</v>
      </c>
      <c r="L143" s="162" t="s">
        <v>3</v>
      </c>
      <c r="N143" s="26"/>
      <c r="O143" s="13"/>
      <c r="P143" s="14"/>
      <c r="Q143" s="15"/>
      <c r="R143" s="13"/>
      <c r="S143" s="14"/>
      <c r="T143" s="15"/>
      <c r="U143" s="13"/>
      <c r="V143" s="14"/>
      <c r="W143" s="27"/>
    </row>
    <row r="144" spans="2:23" ht="36" hidden="1" customHeight="1">
      <c r="B144" s="79"/>
      <c r="C144" s="80"/>
      <c r="D144" s="78">
        <f t="shared" si="7"/>
        <v>0</v>
      </c>
      <c r="E144" s="77">
        <f t="shared" si="15"/>
        <v>0</v>
      </c>
      <c r="F144" s="97" t="str">
        <f t="shared" si="0"/>
        <v>g</v>
      </c>
      <c r="G144" s="40"/>
      <c r="H144" s="88" t="str">
        <f t="shared" si="13"/>
        <v/>
      </c>
      <c r="I144" s="102" t="str">
        <f t="shared" si="6"/>
        <v>g</v>
      </c>
      <c r="J144" s="157"/>
      <c r="K144" s="150">
        <f t="shared" si="14"/>
        <v>0</v>
      </c>
      <c r="L144" s="162" t="s">
        <v>3</v>
      </c>
      <c r="N144" s="26"/>
      <c r="O144" s="13"/>
      <c r="P144" s="14"/>
      <c r="Q144" s="15"/>
      <c r="R144" s="13"/>
      <c r="S144" s="14"/>
      <c r="T144" s="15"/>
      <c r="U144" s="13"/>
      <c r="V144" s="14"/>
      <c r="W144" s="27"/>
    </row>
    <row r="145" spans="2:23" ht="36" hidden="1" customHeight="1">
      <c r="B145" s="79"/>
      <c r="C145" s="80"/>
      <c r="D145" s="78">
        <f t="shared" si="7"/>
        <v>0</v>
      </c>
      <c r="E145" s="77">
        <f t="shared" si="15"/>
        <v>0</v>
      </c>
      <c r="F145" s="97" t="str">
        <f t="shared" si="0"/>
        <v>g</v>
      </c>
      <c r="G145" s="40"/>
      <c r="H145" s="88" t="str">
        <f t="shared" si="13"/>
        <v/>
      </c>
      <c r="I145" s="102" t="str">
        <f t="shared" si="6"/>
        <v>g</v>
      </c>
      <c r="J145" s="157"/>
      <c r="K145" s="150">
        <f t="shared" si="14"/>
        <v>0</v>
      </c>
      <c r="L145" s="162" t="s">
        <v>3</v>
      </c>
      <c r="N145" s="26"/>
      <c r="O145" s="13"/>
      <c r="P145" s="14"/>
      <c r="Q145" s="15"/>
      <c r="R145" s="13"/>
      <c r="S145" s="14"/>
      <c r="T145" s="15"/>
      <c r="U145" s="13"/>
      <c r="V145" s="14"/>
      <c r="W145" s="27"/>
    </row>
    <row r="146" spans="2:23" ht="36" hidden="1" customHeight="1">
      <c r="B146" s="79"/>
      <c r="C146" s="80"/>
      <c r="D146" s="78">
        <f t="shared" si="7"/>
        <v>0</v>
      </c>
      <c r="E146" s="77">
        <f t="shared" si="15"/>
        <v>0</v>
      </c>
      <c r="F146" s="97" t="str">
        <f t="shared" si="0"/>
        <v>g</v>
      </c>
      <c r="G146" s="40"/>
      <c r="H146" s="88" t="str">
        <f t="shared" si="13"/>
        <v/>
      </c>
      <c r="I146" s="102" t="str">
        <f t="shared" si="6"/>
        <v>g</v>
      </c>
      <c r="J146" s="157"/>
      <c r="K146" s="150">
        <f t="shared" si="14"/>
        <v>0</v>
      </c>
      <c r="L146" s="162" t="s">
        <v>3</v>
      </c>
      <c r="N146" s="26"/>
      <c r="O146" s="13"/>
      <c r="P146" s="14"/>
      <c r="Q146" s="15"/>
      <c r="R146" s="13"/>
      <c r="S146" s="14"/>
      <c r="T146" s="15"/>
      <c r="U146" s="13"/>
      <c r="V146" s="14"/>
      <c r="W146" s="27"/>
    </row>
    <row r="147" spans="2:23" ht="36" hidden="1" customHeight="1">
      <c r="B147" s="79"/>
      <c r="C147" s="80"/>
      <c r="D147" s="78">
        <f t="shared" si="7"/>
        <v>0</v>
      </c>
      <c r="E147" s="77">
        <f t="shared" si="15"/>
        <v>0</v>
      </c>
      <c r="F147" s="97" t="str">
        <f t="shared" si="0"/>
        <v>g</v>
      </c>
      <c r="G147" s="40"/>
      <c r="H147" s="88" t="str">
        <f t="shared" si="13"/>
        <v/>
      </c>
      <c r="I147" s="102" t="str">
        <f t="shared" si="6"/>
        <v>g</v>
      </c>
      <c r="J147" s="157"/>
      <c r="K147" s="150">
        <f t="shared" si="14"/>
        <v>0</v>
      </c>
      <c r="L147" s="162" t="s">
        <v>3</v>
      </c>
      <c r="N147" s="26"/>
      <c r="O147" s="13"/>
      <c r="P147" s="14"/>
      <c r="Q147" s="15"/>
      <c r="R147" s="13"/>
      <c r="S147" s="14"/>
      <c r="T147" s="15"/>
      <c r="U147" s="13"/>
      <c r="V147" s="14"/>
      <c r="W147" s="27"/>
    </row>
    <row r="148" spans="2:23" ht="36" hidden="1" customHeight="1">
      <c r="B148" s="79"/>
      <c r="C148" s="80"/>
      <c r="D148" s="78">
        <f t="shared" si="7"/>
        <v>0</v>
      </c>
      <c r="E148" s="77">
        <f t="shared" si="15"/>
        <v>0</v>
      </c>
      <c r="F148" s="97" t="str">
        <f t="shared" si="0"/>
        <v>g</v>
      </c>
      <c r="G148" s="40"/>
      <c r="H148" s="88" t="str">
        <f t="shared" si="13"/>
        <v/>
      </c>
      <c r="I148" s="102" t="str">
        <f t="shared" si="6"/>
        <v>g</v>
      </c>
      <c r="J148" s="157"/>
      <c r="K148" s="150">
        <f t="shared" si="14"/>
        <v>0</v>
      </c>
      <c r="L148" s="162" t="s">
        <v>3</v>
      </c>
      <c r="N148" s="26"/>
      <c r="O148" s="13"/>
      <c r="P148" s="14"/>
      <c r="Q148" s="15"/>
      <c r="R148" s="13"/>
      <c r="S148" s="14"/>
      <c r="T148" s="15"/>
      <c r="U148" s="13"/>
      <c r="V148" s="14"/>
      <c r="W148" s="27"/>
    </row>
    <row r="149" spans="2:23" ht="36" hidden="1" customHeight="1">
      <c r="B149" s="79"/>
      <c r="C149" s="80"/>
      <c r="D149" s="78">
        <f t="shared" si="7"/>
        <v>0</v>
      </c>
      <c r="E149" s="77">
        <f t="shared" si="15"/>
        <v>0</v>
      </c>
      <c r="F149" s="97" t="str">
        <f t="shared" si="0"/>
        <v>g</v>
      </c>
      <c r="G149" s="40"/>
      <c r="H149" s="88" t="str">
        <f t="shared" si="13"/>
        <v/>
      </c>
      <c r="I149" s="102" t="str">
        <f t="shared" si="6"/>
        <v>g</v>
      </c>
      <c r="J149" s="157"/>
      <c r="K149" s="150">
        <f t="shared" si="14"/>
        <v>0</v>
      </c>
      <c r="L149" s="162" t="s">
        <v>3</v>
      </c>
      <c r="N149" s="26"/>
      <c r="O149" s="13"/>
      <c r="P149" s="14"/>
      <c r="Q149" s="15"/>
      <c r="R149" s="13"/>
      <c r="S149" s="14"/>
      <c r="T149" s="15"/>
      <c r="U149" s="13"/>
      <c r="V149" s="14"/>
      <c r="W149" s="27"/>
    </row>
    <row r="150" spans="2:23" ht="36" hidden="1" customHeight="1">
      <c r="B150" s="79"/>
      <c r="C150" s="80"/>
      <c r="D150" s="78">
        <f t="shared" si="7"/>
        <v>0</v>
      </c>
      <c r="E150" s="77">
        <f t="shared" si="15"/>
        <v>0</v>
      </c>
      <c r="F150" s="97" t="str">
        <f t="shared" si="0"/>
        <v>g</v>
      </c>
      <c r="G150" s="40"/>
      <c r="H150" s="88" t="str">
        <f t="shared" si="13"/>
        <v/>
      </c>
      <c r="I150" s="102" t="str">
        <f t="shared" si="6"/>
        <v>g</v>
      </c>
      <c r="J150" s="157"/>
      <c r="K150" s="150">
        <f t="shared" si="14"/>
        <v>0</v>
      </c>
      <c r="L150" s="162" t="s">
        <v>3</v>
      </c>
      <c r="N150" s="26"/>
      <c r="O150" s="13"/>
      <c r="P150" s="14"/>
      <c r="Q150" s="15"/>
      <c r="R150" s="13"/>
      <c r="S150" s="14"/>
      <c r="T150" s="15"/>
      <c r="U150" s="13"/>
      <c r="V150" s="14"/>
      <c r="W150" s="27"/>
    </row>
    <row r="151" spans="2:23" ht="36" hidden="1" customHeight="1">
      <c r="B151" s="79"/>
      <c r="C151" s="80"/>
      <c r="D151" s="78">
        <f t="shared" si="7"/>
        <v>0</v>
      </c>
      <c r="E151" s="77">
        <f t="shared" si="15"/>
        <v>0</v>
      </c>
      <c r="F151" s="97" t="str">
        <f t="shared" si="0"/>
        <v>g</v>
      </c>
      <c r="G151" s="40"/>
      <c r="H151" s="88" t="str">
        <f t="shared" si="13"/>
        <v/>
      </c>
      <c r="I151" s="102" t="str">
        <f t="shared" si="6"/>
        <v>g</v>
      </c>
      <c r="J151" s="157"/>
      <c r="K151" s="150">
        <f t="shared" si="14"/>
        <v>0</v>
      </c>
      <c r="L151" s="162" t="s">
        <v>3</v>
      </c>
      <c r="N151" s="26"/>
      <c r="O151" s="13"/>
      <c r="P151" s="14"/>
      <c r="Q151" s="15"/>
      <c r="R151" s="13"/>
      <c r="S151" s="14"/>
      <c r="T151" s="15"/>
      <c r="U151" s="13"/>
      <c r="V151" s="14"/>
      <c r="W151" s="27"/>
    </row>
    <row r="152" spans="2:23" ht="36" hidden="1" customHeight="1">
      <c r="B152" s="79"/>
      <c r="C152" s="80"/>
      <c r="D152" s="78">
        <f t="shared" si="7"/>
        <v>0</v>
      </c>
      <c r="E152" s="77">
        <f t="shared" si="15"/>
        <v>0</v>
      </c>
      <c r="F152" s="97" t="str">
        <f t="shared" si="0"/>
        <v>g</v>
      </c>
      <c r="G152" s="40"/>
      <c r="H152" s="88" t="str">
        <f t="shared" si="13"/>
        <v/>
      </c>
      <c r="I152" s="102" t="str">
        <f t="shared" si="6"/>
        <v>g</v>
      </c>
      <c r="J152" s="157"/>
      <c r="K152" s="150">
        <f t="shared" si="14"/>
        <v>0</v>
      </c>
      <c r="L152" s="162" t="s">
        <v>3</v>
      </c>
      <c r="N152" s="26"/>
      <c r="O152" s="13"/>
      <c r="P152" s="14"/>
      <c r="Q152" s="15"/>
      <c r="R152" s="13"/>
      <c r="S152" s="14"/>
      <c r="T152" s="15"/>
      <c r="U152" s="13"/>
      <c r="V152" s="14"/>
      <c r="W152" s="27"/>
    </row>
    <row r="153" spans="2:23" ht="36" hidden="1" customHeight="1">
      <c r="B153" s="79"/>
      <c r="C153" s="80"/>
      <c r="D153" s="78">
        <f t="shared" si="7"/>
        <v>0</v>
      </c>
      <c r="E153" s="77">
        <f t="shared" si="15"/>
        <v>0</v>
      </c>
      <c r="F153" s="97" t="str">
        <f t="shared" si="0"/>
        <v>g</v>
      </c>
      <c r="G153" s="40"/>
      <c r="H153" s="88" t="str">
        <f t="shared" si="13"/>
        <v/>
      </c>
      <c r="I153" s="102" t="str">
        <f t="shared" si="6"/>
        <v>g</v>
      </c>
      <c r="J153" s="157"/>
      <c r="K153" s="150">
        <f t="shared" si="14"/>
        <v>0</v>
      </c>
      <c r="L153" s="162" t="s">
        <v>3</v>
      </c>
      <c r="N153" s="26"/>
      <c r="O153" s="13"/>
      <c r="P153" s="14"/>
      <c r="Q153" s="15"/>
      <c r="R153" s="13"/>
      <c r="S153" s="14"/>
      <c r="T153" s="15"/>
      <c r="U153" s="13"/>
      <c r="V153" s="14"/>
      <c r="W153" s="27"/>
    </row>
    <row r="154" spans="2:23" ht="36" hidden="1" customHeight="1">
      <c r="B154" s="79"/>
      <c r="C154" s="80"/>
      <c r="D154" s="78">
        <f t="shared" si="7"/>
        <v>0</v>
      </c>
      <c r="E154" s="77">
        <f t="shared" si="15"/>
        <v>0</v>
      </c>
      <c r="F154" s="97" t="str">
        <f t="shared" si="0"/>
        <v>g</v>
      </c>
      <c r="G154" s="40"/>
      <c r="H154" s="88" t="str">
        <f t="shared" si="13"/>
        <v/>
      </c>
      <c r="I154" s="102" t="str">
        <f t="shared" si="6"/>
        <v>g</v>
      </c>
      <c r="J154" s="157"/>
      <c r="K154" s="150">
        <f t="shared" si="14"/>
        <v>0</v>
      </c>
      <c r="L154" s="162" t="s">
        <v>3</v>
      </c>
      <c r="N154" s="26"/>
      <c r="O154" s="13"/>
      <c r="P154" s="14"/>
      <c r="Q154" s="15"/>
      <c r="R154" s="13"/>
      <c r="S154" s="14"/>
      <c r="T154" s="15"/>
      <c r="U154" s="13"/>
      <c r="V154" s="14"/>
      <c r="W154" s="27"/>
    </row>
    <row r="155" spans="2:23" ht="36" customHeight="1" thickBot="1">
      <c r="B155" s="81"/>
      <c r="C155" s="82"/>
      <c r="D155" s="83">
        <f t="shared" si="7"/>
        <v>0</v>
      </c>
      <c r="E155" s="84">
        <f t="shared" si="9"/>
        <v>0</v>
      </c>
      <c r="F155" s="98" t="str">
        <f t="shared" si="0"/>
        <v>g</v>
      </c>
      <c r="G155" s="41"/>
      <c r="H155" s="89" t="str">
        <f t="shared" si="8"/>
        <v/>
      </c>
      <c r="I155" s="103" t="str">
        <f t="shared" si="6"/>
        <v>g</v>
      </c>
      <c r="J155" s="158"/>
      <c r="K155" s="151">
        <f t="shared" si="1"/>
        <v>0</v>
      </c>
      <c r="L155" s="163" t="s">
        <v>3</v>
      </c>
      <c r="N155" s="28"/>
      <c r="O155" s="29"/>
      <c r="P155" s="30"/>
      <c r="Q155" s="31"/>
      <c r="R155" s="29"/>
      <c r="S155" s="30"/>
      <c r="T155" s="31"/>
      <c r="U155" s="29"/>
      <c r="V155" s="30"/>
      <c r="W155" s="32"/>
    </row>
    <row r="156" spans="2:23" ht="32.1" customHeight="1">
      <c r="B156" s="2"/>
      <c r="C156" s="2"/>
      <c r="D156" s="2"/>
    </row>
    <row r="157" spans="2:23" ht="32.1" customHeight="1">
      <c r="B157" s="2"/>
      <c r="C157" s="2"/>
      <c r="D157" s="2"/>
    </row>
    <row r="158" spans="2:23" ht="32.1" customHeight="1">
      <c r="B158" s="2"/>
      <c r="C158" s="2"/>
      <c r="D158" s="2"/>
    </row>
    <row r="159" spans="2:23" ht="32.1" customHeight="1">
      <c r="B159" s="2"/>
      <c r="C159" s="2"/>
      <c r="D159" s="2"/>
    </row>
    <row r="160" spans="2:23" ht="32.1" customHeight="1">
      <c r="B160" s="2"/>
      <c r="C160" s="2"/>
      <c r="D160" s="2"/>
    </row>
    <row r="161" spans="2:4" ht="32.1" customHeight="1">
      <c r="B161" s="2"/>
      <c r="C161" s="2"/>
      <c r="D161" s="2"/>
    </row>
    <row r="162" spans="2:4" ht="32.1" customHeight="1">
      <c r="B162" s="2"/>
      <c r="C162" s="2"/>
      <c r="D162" s="2"/>
    </row>
    <row r="163" spans="2:4" ht="32.1" customHeight="1">
      <c r="B163" s="2"/>
      <c r="C163" s="2"/>
      <c r="D163" s="2"/>
    </row>
    <row r="164" spans="2:4" ht="32.1" customHeight="1">
      <c r="B164" s="2"/>
      <c r="C164" s="2"/>
      <c r="D164" s="2"/>
    </row>
    <row r="165" spans="2:4" ht="32.1" customHeight="1">
      <c r="B165" s="2"/>
      <c r="C165" s="2"/>
      <c r="D165" s="2"/>
    </row>
    <row r="166" spans="2:4" ht="32.1" customHeight="1">
      <c r="B166" s="2"/>
      <c r="C166" s="2"/>
      <c r="D166" s="2"/>
    </row>
    <row r="167" spans="2:4" ht="32.1" customHeight="1">
      <c r="B167" s="2"/>
      <c r="C167" s="2"/>
      <c r="D167" s="2"/>
    </row>
    <row r="168" spans="2:4" ht="32.1" customHeight="1">
      <c r="B168" s="2"/>
      <c r="C168" s="2"/>
      <c r="D168" s="2"/>
    </row>
  </sheetData>
  <mergeCells count="13">
    <mergeCell ref="K1:L1"/>
    <mergeCell ref="K3:L3"/>
    <mergeCell ref="B12:C12"/>
    <mergeCell ref="B13:C13"/>
    <mergeCell ref="H1:I1"/>
    <mergeCell ref="B2:D2"/>
    <mergeCell ref="E3:F3"/>
    <mergeCell ref="H3:I3"/>
    <mergeCell ref="B11:C11"/>
    <mergeCell ref="B4:C4"/>
    <mergeCell ref="B5:C5"/>
    <mergeCell ref="E1:F1"/>
    <mergeCell ref="B1:D1"/>
  </mergeCells>
  <phoneticPr fontId="3"/>
  <dataValidations count="1">
    <dataValidation type="list" allowBlank="1" showInputMessage="1" showErrorMessage="1" sqref="O2" xr:uid="{FBFB8AFE-9C96-43E6-B3C5-74647D3BDC5B}">
      <formula1>"10,5"</formula1>
    </dataValidation>
  </dataValidations>
  <pageMargins left="0.70866141732283461" right="0.70866141732283461" top="0.74803149606299213" bottom="0.74803149606299213" header="0.31496062992125984" footer="0.31496062992125984"/>
  <pageSetup paperSize="9" scale="57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Z71"/>
  <sheetViews>
    <sheetView showGridLines="0" view="pageBreakPreview" topLeftCell="A14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7" customWidth="1"/>
    <col min="7" max="7" width="5.6640625" style="7" hidden="1" customWidth="1"/>
    <col min="8" max="8" width="11.6640625" style="5" customWidth="1"/>
    <col min="9" max="9" width="5.6640625" style="7" customWidth="1"/>
    <col min="10" max="10" width="8.44140625" style="7" customWidth="1"/>
    <col min="11" max="11" width="11.6640625" style="5" customWidth="1"/>
    <col min="12" max="13" width="5.6640625" style="7" customWidth="1"/>
    <col min="14" max="23" width="10.88671875" style="1" customWidth="1"/>
    <col min="24" max="26" width="7.6640625" style="1" customWidth="1"/>
    <col min="27" max="16384" width="13.109375" style="3"/>
  </cols>
  <sheetData>
    <row r="1" spans="2:26" ht="48" customHeight="1" thickBot="1">
      <c r="B1" s="183" t="s">
        <v>5</v>
      </c>
      <c r="C1" s="182"/>
      <c r="D1" s="182"/>
      <c r="E1" s="182"/>
      <c r="F1" s="182"/>
      <c r="G1" s="120"/>
      <c r="H1" s="182">
        <f>G1</f>
        <v>0</v>
      </c>
      <c r="I1" s="182"/>
      <c r="J1" s="42"/>
      <c r="K1" s="164"/>
      <c r="L1" s="164"/>
      <c r="M1" s="42"/>
    </row>
    <row r="2" spans="2:26" ht="50.1" customHeight="1">
      <c r="B2" s="169"/>
      <c r="C2" s="170"/>
      <c r="D2" s="170"/>
      <c r="E2" s="118"/>
      <c r="F2" s="104" t="s">
        <v>3</v>
      </c>
      <c r="G2" s="44"/>
      <c r="H2" s="119" t="str">
        <f>IF($G$2="","",G2*0.8)</f>
        <v/>
      </c>
      <c r="I2" s="105" t="s">
        <v>4</v>
      </c>
      <c r="J2" s="57"/>
      <c r="K2" s="159"/>
      <c r="L2" s="105"/>
      <c r="N2" s="1" t="s">
        <v>37</v>
      </c>
      <c r="O2" s="1">
        <v>10</v>
      </c>
      <c r="P2" s="1" t="s">
        <v>38</v>
      </c>
    </row>
    <row r="3" spans="2:26" s="4" customFormat="1" ht="36" customHeight="1" thickBot="1">
      <c r="B3" s="11"/>
      <c r="C3" s="12"/>
      <c r="D3" s="115" t="s">
        <v>9</v>
      </c>
      <c r="E3" s="184" t="s">
        <v>5</v>
      </c>
      <c r="F3" s="185"/>
      <c r="G3" s="116"/>
      <c r="H3" s="184" t="s">
        <v>1</v>
      </c>
      <c r="I3" s="181"/>
      <c r="J3" s="117" t="s">
        <v>36</v>
      </c>
      <c r="K3" s="180" t="s">
        <v>39</v>
      </c>
      <c r="L3" s="181"/>
      <c r="M3" s="4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 ht="36" customHeight="1" thickTop="1">
      <c r="B4" s="175" t="s">
        <v>2</v>
      </c>
      <c r="C4" s="176"/>
      <c r="D4" s="65">
        <v>1</v>
      </c>
      <c r="E4" s="66">
        <f>D4*$E$2</f>
        <v>0</v>
      </c>
      <c r="F4" s="59" t="str">
        <f>$F$2</f>
        <v>g</v>
      </c>
      <c r="G4" s="38"/>
      <c r="H4" s="85" t="str">
        <f>IF($G$3="", "", E4*$H$2%)</f>
        <v/>
      </c>
      <c r="I4" s="99" t="s">
        <v>3</v>
      </c>
      <c r="J4" s="90"/>
      <c r="K4" s="147">
        <f>IF(F4="g", IF(I4="g", IFERROR(E4+H4, 0), 0), 0)</f>
        <v>0</v>
      </c>
      <c r="L4" s="60" t="s">
        <v>40</v>
      </c>
      <c r="N4" s="51"/>
      <c r="O4" s="52">
        <f>SUM(O6:O10)</f>
        <v>0</v>
      </c>
      <c r="P4" s="52">
        <f>SUM(P6:P10)</f>
        <v>0</v>
      </c>
      <c r="Q4" s="53">
        <f>SUM(Q6:Q10)</f>
        <v>0</v>
      </c>
    </row>
    <row r="5" spans="2:26" ht="36" customHeight="1" thickBot="1">
      <c r="B5" s="177" t="str">
        <f>D5&amp;"人"</f>
        <v>10人</v>
      </c>
      <c r="C5" s="178"/>
      <c r="D5" s="67">
        <f>O2</f>
        <v>10</v>
      </c>
      <c r="E5" s="68">
        <f t="shared" ref="E5:E58" si="0">D5*$E$2</f>
        <v>0</v>
      </c>
      <c r="F5" s="95" t="str">
        <f t="shared" ref="F5:F58" si="1">$F$2</f>
        <v>g</v>
      </c>
      <c r="G5" s="39"/>
      <c r="H5" s="86" t="str">
        <f>IF($G$3="", "", E5*$H$2%)</f>
        <v/>
      </c>
      <c r="I5" s="100" t="str">
        <f>$I$4</f>
        <v>g</v>
      </c>
      <c r="J5" s="91"/>
      <c r="K5" s="147">
        <f t="shared" ref="K5:K58" si="2">IF(F5="g", IF(I5="g", IFERROR(E5+H5, 0), 0), 0)</f>
        <v>0</v>
      </c>
      <c r="L5" s="160" t="s">
        <v>3</v>
      </c>
      <c r="N5" s="54" t="s">
        <v>8</v>
      </c>
      <c r="O5" s="55" t="s">
        <v>34</v>
      </c>
      <c r="P5" s="55" t="s">
        <v>14</v>
      </c>
      <c r="Q5" s="56" t="s">
        <v>35</v>
      </c>
    </row>
    <row r="6" spans="2:26" ht="36" customHeight="1" thickTop="1">
      <c r="B6" s="69">
        <f>0</f>
        <v>0</v>
      </c>
      <c r="C6" s="70" t="s">
        <v>31</v>
      </c>
      <c r="D6" s="71">
        <v>0</v>
      </c>
      <c r="E6" s="72">
        <f>$E$2*B6</f>
        <v>0</v>
      </c>
      <c r="F6" s="96" t="str">
        <f t="shared" si="1"/>
        <v>g</v>
      </c>
      <c r="G6" s="46"/>
      <c r="H6" s="87" t="str">
        <f>IF($H$4="", "", B6*$H$4)</f>
        <v/>
      </c>
      <c r="I6" s="101" t="s">
        <v>3</v>
      </c>
      <c r="J6" s="92">
        <f>IF($O$2=10, O6, P6)</f>
        <v>0</v>
      </c>
      <c r="K6" s="149">
        <f t="shared" si="2"/>
        <v>0</v>
      </c>
      <c r="L6" s="161" t="s">
        <v>3</v>
      </c>
      <c r="M6" s="4"/>
      <c r="N6" s="47"/>
      <c r="O6" s="48"/>
      <c r="P6" s="49"/>
      <c r="Q6" s="50"/>
      <c r="X6" s="3"/>
      <c r="Y6" s="3"/>
      <c r="Z6" s="3"/>
    </row>
    <row r="7" spans="2:26" ht="36" customHeight="1">
      <c r="B7" s="73">
        <f>O2</f>
        <v>10</v>
      </c>
      <c r="C7" s="74" t="s">
        <v>32</v>
      </c>
      <c r="D7" s="65">
        <v>0</v>
      </c>
      <c r="E7" s="66">
        <f>$E$2*B7</f>
        <v>0</v>
      </c>
      <c r="F7" s="59" t="str">
        <f t="shared" si="1"/>
        <v>g</v>
      </c>
      <c r="G7" s="38"/>
      <c r="H7" s="85" t="str">
        <f>IF($H$4="", "", B7*$H$4)</f>
        <v/>
      </c>
      <c r="I7" s="106" t="s">
        <v>3</v>
      </c>
      <c r="J7" s="93">
        <f>IF($O$2=10, O7, P7)</f>
        <v>0</v>
      </c>
      <c r="K7" s="147">
        <f t="shared" si="2"/>
        <v>0</v>
      </c>
      <c r="L7" s="60" t="s">
        <v>3</v>
      </c>
      <c r="M7" s="4"/>
      <c r="N7" s="47"/>
      <c r="O7" s="48"/>
      <c r="P7" s="49"/>
      <c r="Q7" s="50"/>
      <c r="X7" s="3"/>
      <c r="Y7" s="3"/>
      <c r="Z7" s="3"/>
    </row>
    <row r="8" spans="2:26" ht="36" hidden="1" customHeight="1">
      <c r="B8" s="73">
        <v>1</v>
      </c>
      <c r="C8" s="74" t="s">
        <v>41</v>
      </c>
      <c r="D8" s="65">
        <v>0</v>
      </c>
      <c r="E8" s="66">
        <v>50</v>
      </c>
      <c r="F8" s="59" t="str">
        <f t="shared" si="1"/>
        <v>g</v>
      </c>
      <c r="G8" s="38"/>
      <c r="H8" s="85" t="str">
        <f t="shared" ref="H8" si="3">IF($H$4="", "", B8*$H$4)</f>
        <v/>
      </c>
      <c r="I8" s="99" t="s">
        <v>3</v>
      </c>
      <c r="J8" s="157"/>
      <c r="K8" s="147">
        <f t="shared" si="2"/>
        <v>0</v>
      </c>
      <c r="L8" s="60" t="s">
        <v>3</v>
      </c>
      <c r="M8" s="4"/>
      <c r="N8" s="47"/>
      <c r="O8" s="49"/>
      <c r="P8" s="49"/>
      <c r="Q8" s="50"/>
      <c r="R8" s="3"/>
      <c r="S8" s="3"/>
      <c r="T8" s="3"/>
      <c r="U8" s="3"/>
      <c r="V8" s="3"/>
      <c r="W8" s="3"/>
      <c r="X8" s="3"/>
      <c r="Y8" s="3"/>
      <c r="Z8" s="3"/>
    </row>
    <row r="9" spans="2:26" ht="36" customHeight="1">
      <c r="B9" s="73">
        <v>1</v>
      </c>
      <c r="C9" s="74" t="s">
        <v>32</v>
      </c>
      <c r="D9" s="65">
        <v>0</v>
      </c>
      <c r="E9" s="66">
        <f>$E$2*B9</f>
        <v>0</v>
      </c>
      <c r="F9" s="59" t="str">
        <f t="shared" si="1"/>
        <v>g</v>
      </c>
      <c r="G9" s="38"/>
      <c r="H9" s="85" t="str">
        <f>IF($H$4="", "", B9*$H$4)</f>
        <v/>
      </c>
      <c r="I9" s="106" t="s">
        <v>3</v>
      </c>
      <c r="J9" s="93"/>
      <c r="K9" s="147">
        <f t="shared" si="2"/>
        <v>0</v>
      </c>
      <c r="L9" s="60" t="s">
        <v>3</v>
      </c>
      <c r="M9" s="4"/>
      <c r="N9" s="47"/>
      <c r="O9" s="49"/>
      <c r="P9" s="49"/>
      <c r="Q9" s="50"/>
      <c r="X9" s="3"/>
      <c r="Y9" s="3"/>
      <c r="Z9" s="3"/>
    </row>
    <row r="10" spans="2:26" ht="36" customHeight="1" thickBot="1">
      <c r="B10" s="75">
        <v>1</v>
      </c>
      <c r="C10" s="76" t="s">
        <v>33</v>
      </c>
      <c r="D10" s="67">
        <v>0</v>
      </c>
      <c r="E10" s="68">
        <f>$E$2*B10</f>
        <v>0</v>
      </c>
      <c r="F10" s="95" t="str">
        <f t="shared" si="1"/>
        <v>g</v>
      </c>
      <c r="G10" s="39"/>
      <c r="H10" s="86" t="str">
        <f>IF($H$4="", "", B10*$H$4)</f>
        <v/>
      </c>
      <c r="I10" s="100" t="s">
        <v>3</v>
      </c>
      <c r="J10" s="91"/>
      <c r="K10" s="148">
        <f t="shared" si="2"/>
        <v>0</v>
      </c>
      <c r="L10" s="160" t="s">
        <v>3</v>
      </c>
      <c r="M10" s="4"/>
      <c r="N10" s="47"/>
      <c r="O10" s="49"/>
      <c r="P10" s="49"/>
      <c r="Q10" s="50"/>
      <c r="X10" s="3"/>
      <c r="Y10" s="3"/>
      <c r="Z10" s="3"/>
    </row>
    <row r="11" spans="2:26" ht="36" customHeight="1" thickTop="1">
      <c r="B11" s="79"/>
      <c r="C11" s="80"/>
      <c r="D11" s="78"/>
      <c r="E11" s="77"/>
      <c r="F11" s="6"/>
      <c r="G11" s="40"/>
      <c r="H11" s="88"/>
      <c r="I11" s="10"/>
      <c r="J11" s="92"/>
      <c r="K11" s="147">
        <f t="shared" si="2"/>
        <v>0</v>
      </c>
      <c r="L11" s="60" t="s">
        <v>3</v>
      </c>
    </row>
    <row r="12" spans="2:26" ht="36" customHeight="1">
      <c r="B12" s="79"/>
      <c r="C12" s="80"/>
      <c r="D12" s="78"/>
      <c r="E12" s="77"/>
      <c r="F12" s="6"/>
      <c r="G12" s="40"/>
      <c r="H12" s="88"/>
      <c r="I12" s="10"/>
      <c r="J12" s="93"/>
      <c r="K12" s="150">
        <f t="shared" si="2"/>
        <v>0</v>
      </c>
      <c r="L12" s="162" t="s">
        <v>3</v>
      </c>
      <c r="N12" s="19"/>
      <c r="O12" s="20">
        <f>SUM(O14:O62)</f>
        <v>0</v>
      </c>
      <c r="P12" s="21"/>
      <c r="Q12" s="22">
        <f>SUM(Q14:Q62)</f>
        <v>0</v>
      </c>
      <c r="R12" s="20">
        <f>SUM(R14:R62)</f>
        <v>0</v>
      </c>
      <c r="S12" s="21"/>
      <c r="T12" s="22">
        <f>SUM(T14:T62)</f>
        <v>0</v>
      </c>
      <c r="U12" s="20">
        <f>SUM(U14:U62)</f>
        <v>0</v>
      </c>
      <c r="V12" s="21"/>
      <c r="W12" s="23">
        <f>SUM(W14:W62)</f>
        <v>0</v>
      </c>
    </row>
    <row r="13" spans="2:26" ht="36" customHeight="1">
      <c r="B13" s="79"/>
      <c r="C13" s="80"/>
      <c r="D13" s="78"/>
      <c r="E13" s="77"/>
      <c r="F13" s="6"/>
      <c r="G13" s="40"/>
      <c r="H13" s="88"/>
      <c r="I13" s="10"/>
      <c r="J13" s="93"/>
      <c r="K13" s="150">
        <f t="shared" si="2"/>
        <v>0</v>
      </c>
      <c r="L13" s="162" t="s">
        <v>3</v>
      </c>
      <c r="N13" s="24" t="s">
        <v>8</v>
      </c>
      <c r="O13" s="16" t="s">
        <v>12</v>
      </c>
      <c r="P13" s="17" t="s">
        <v>15</v>
      </c>
      <c r="Q13" s="18" t="s">
        <v>18</v>
      </c>
      <c r="R13" s="16" t="s">
        <v>13</v>
      </c>
      <c r="S13" s="17" t="s">
        <v>16</v>
      </c>
      <c r="T13" s="18" t="s">
        <v>19</v>
      </c>
      <c r="U13" s="16" t="s">
        <v>14</v>
      </c>
      <c r="V13" s="17" t="s">
        <v>17</v>
      </c>
      <c r="W13" s="25" t="s">
        <v>20</v>
      </c>
    </row>
    <row r="14" spans="2:26" ht="36" customHeight="1">
      <c r="B14" s="79"/>
      <c r="C14" s="80"/>
      <c r="D14" s="78">
        <f>IF($O$2=10,$P14, $V14)</f>
        <v>0</v>
      </c>
      <c r="E14" s="77">
        <f t="shared" si="0"/>
        <v>0</v>
      </c>
      <c r="F14" s="97" t="str">
        <f t="shared" si="1"/>
        <v>g</v>
      </c>
      <c r="G14" s="40"/>
      <c r="H14" s="88" t="str">
        <f>IF($G$3="", "", E14*$H$2%)</f>
        <v/>
      </c>
      <c r="I14" s="107" t="str">
        <f t="shared" ref="I14:I58" si="4">$I$4</f>
        <v>g</v>
      </c>
      <c r="J14" s="93"/>
      <c r="K14" s="150">
        <f t="shared" si="2"/>
        <v>0</v>
      </c>
      <c r="L14" s="162" t="s">
        <v>3</v>
      </c>
      <c r="N14" s="26"/>
      <c r="O14" s="13"/>
      <c r="P14" s="14"/>
      <c r="Q14" s="15"/>
      <c r="R14" s="13"/>
      <c r="S14" s="14"/>
      <c r="T14" s="15"/>
      <c r="U14" s="13"/>
      <c r="V14" s="14"/>
      <c r="W14" s="27"/>
    </row>
    <row r="15" spans="2:26" ht="36" customHeight="1">
      <c r="B15" s="79"/>
      <c r="C15" s="80"/>
      <c r="D15" s="78">
        <f t="shared" ref="D15:D58" si="5">IF($O$2=10,$P15, $V15)</f>
        <v>0</v>
      </c>
      <c r="E15" s="77">
        <f t="shared" si="0"/>
        <v>0</v>
      </c>
      <c r="F15" s="97" t="str">
        <f t="shared" si="1"/>
        <v>g</v>
      </c>
      <c r="G15" s="40"/>
      <c r="H15" s="88" t="str">
        <f t="shared" ref="H15:H58" si="6">IF($G$3="", "", E15*$H$2%)</f>
        <v/>
      </c>
      <c r="I15" s="107" t="str">
        <f t="shared" si="4"/>
        <v>g</v>
      </c>
      <c r="J15" s="93"/>
      <c r="K15" s="150">
        <f t="shared" si="2"/>
        <v>0</v>
      </c>
      <c r="L15" s="162" t="s">
        <v>3</v>
      </c>
      <c r="N15" s="26"/>
      <c r="O15" s="13"/>
      <c r="P15" s="14"/>
      <c r="Q15" s="15"/>
      <c r="R15" s="13"/>
      <c r="S15" s="14"/>
      <c r="T15" s="15"/>
      <c r="U15" s="13"/>
      <c r="V15" s="14"/>
      <c r="W15" s="27"/>
    </row>
    <row r="16" spans="2:26" ht="36" customHeight="1">
      <c r="B16" s="79"/>
      <c r="C16" s="80"/>
      <c r="D16" s="78">
        <f t="shared" si="5"/>
        <v>0</v>
      </c>
      <c r="E16" s="77">
        <f t="shared" si="0"/>
        <v>0</v>
      </c>
      <c r="F16" s="97" t="str">
        <f t="shared" si="1"/>
        <v>g</v>
      </c>
      <c r="G16" s="40"/>
      <c r="H16" s="88" t="str">
        <f t="shared" si="6"/>
        <v/>
      </c>
      <c r="I16" s="107" t="str">
        <f t="shared" si="4"/>
        <v>g</v>
      </c>
      <c r="J16" s="93"/>
      <c r="K16" s="150">
        <f t="shared" si="2"/>
        <v>0</v>
      </c>
      <c r="L16" s="162" t="s">
        <v>3</v>
      </c>
      <c r="N16" s="26"/>
      <c r="O16" s="13"/>
      <c r="P16" s="14"/>
      <c r="Q16" s="15"/>
      <c r="R16" s="13"/>
      <c r="S16" s="14"/>
      <c r="T16" s="15"/>
      <c r="U16" s="13"/>
      <c r="V16" s="14"/>
      <c r="W16" s="27"/>
    </row>
    <row r="17" spans="2:23" ht="36" customHeight="1">
      <c r="B17" s="79"/>
      <c r="C17" s="80"/>
      <c r="D17" s="78">
        <f t="shared" si="5"/>
        <v>0</v>
      </c>
      <c r="E17" s="77">
        <f t="shared" si="0"/>
        <v>0</v>
      </c>
      <c r="F17" s="97" t="str">
        <f t="shared" si="1"/>
        <v>g</v>
      </c>
      <c r="G17" s="40"/>
      <c r="H17" s="88" t="str">
        <f t="shared" si="6"/>
        <v/>
      </c>
      <c r="I17" s="107" t="str">
        <f t="shared" si="4"/>
        <v>g</v>
      </c>
      <c r="J17" s="93"/>
      <c r="K17" s="150">
        <f t="shared" si="2"/>
        <v>0</v>
      </c>
      <c r="L17" s="162" t="s">
        <v>3</v>
      </c>
      <c r="N17" s="26"/>
      <c r="O17" s="13"/>
      <c r="P17" s="14"/>
      <c r="Q17" s="15"/>
      <c r="R17" s="13"/>
      <c r="S17" s="14"/>
      <c r="T17" s="15"/>
      <c r="U17" s="13"/>
      <c r="V17" s="14"/>
      <c r="W17" s="27"/>
    </row>
    <row r="18" spans="2:23" ht="36" customHeight="1">
      <c r="B18" s="79"/>
      <c r="C18" s="80"/>
      <c r="D18" s="78">
        <f t="shared" si="5"/>
        <v>0</v>
      </c>
      <c r="E18" s="77">
        <f t="shared" si="0"/>
        <v>0</v>
      </c>
      <c r="F18" s="97" t="str">
        <f t="shared" si="1"/>
        <v>g</v>
      </c>
      <c r="G18" s="40"/>
      <c r="H18" s="88" t="str">
        <f t="shared" si="6"/>
        <v/>
      </c>
      <c r="I18" s="107" t="str">
        <f t="shared" si="4"/>
        <v>g</v>
      </c>
      <c r="J18" s="93"/>
      <c r="K18" s="150">
        <f t="shared" si="2"/>
        <v>0</v>
      </c>
      <c r="L18" s="162" t="s">
        <v>3</v>
      </c>
      <c r="N18" s="26"/>
      <c r="O18" s="13"/>
      <c r="P18" s="14"/>
      <c r="Q18" s="15"/>
      <c r="R18" s="13"/>
      <c r="S18" s="14"/>
      <c r="T18" s="15"/>
      <c r="U18" s="13"/>
      <c r="V18" s="14"/>
      <c r="W18" s="27"/>
    </row>
    <row r="19" spans="2:23" ht="36" customHeight="1">
      <c r="B19" s="79"/>
      <c r="C19" s="80"/>
      <c r="D19" s="78">
        <f t="shared" si="5"/>
        <v>0</v>
      </c>
      <c r="E19" s="77">
        <f t="shared" si="0"/>
        <v>0</v>
      </c>
      <c r="F19" s="97" t="str">
        <f t="shared" si="1"/>
        <v>g</v>
      </c>
      <c r="G19" s="40"/>
      <c r="H19" s="88" t="str">
        <f t="shared" si="6"/>
        <v/>
      </c>
      <c r="I19" s="107" t="str">
        <f t="shared" si="4"/>
        <v>g</v>
      </c>
      <c r="J19" s="93"/>
      <c r="K19" s="150">
        <f t="shared" si="2"/>
        <v>0</v>
      </c>
      <c r="L19" s="162" t="s">
        <v>3</v>
      </c>
      <c r="N19" s="26"/>
      <c r="O19" s="13"/>
      <c r="P19" s="14"/>
      <c r="Q19" s="15"/>
      <c r="R19" s="13"/>
      <c r="S19" s="14"/>
      <c r="T19" s="15"/>
      <c r="U19" s="13"/>
      <c r="V19" s="14"/>
      <c r="W19" s="27"/>
    </row>
    <row r="20" spans="2:23" ht="36" customHeight="1">
      <c r="B20" s="79"/>
      <c r="C20" s="80"/>
      <c r="D20" s="78">
        <f t="shared" si="5"/>
        <v>0</v>
      </c>
      <c r="E20" s="77">
        <f t="shared" si="0"/>
        <v>0</v>
      </c>
      <c r="F20" s="97" t="str">
        <f t="shared" si="1"/>
        <v>g</v>
      </c>
      <c r="G20" s="40"/>
      <c r="H20" s="88" t="str">
        <f t="shared" si="6"/>
        <v/>
      </c>
      <c r="I20" s="107" t="str">
        <f t="shared" si="4"/>
        <v>g</v>
      </c>
      <c r="J20" s="93"/>
      <c r="K20" s="150">
        <f t="shared" si="2"/>
        <v>0</v>
      </c>
      <c r="L20" s="162" t="s">
        <v>3</v>
      </c>
      <c r="N20" s="26"/>
      <c r="O20" s="13"/>
      <c r="P20" s="14"/>
      <c r="Q20" s="15"/>
      <c r="R20" s="13"/>
      <c r="S20" s="14"/>
      <c r="T20" s="15"/>
      <c r="U20" s="13"/>
      <c r="V20" s="14"/>
      <c r="W20" s="27"/>
    </row>
    <row r="21" spans="2:23" ht="36" customHeight="1">
      <c r="B21" s="79"/>
      <c r="C21" s="80"/>
      <c r="D21" s="78">
        <f t="shared" si="5"/>
        <v>0</v>
      </c>
      <c r="E21" s="77">
        <f t="shared" si="0"/>
        <v>0</v>
      </c>
      <c r="F21" s="97" t="str">
        <f t="shared" si="1"/>
        <v>g</v>
      </c>
      <c r="G21" s="40"/>
      <c r="H21" s="88" t="str">
        <f t="shared" si="6"/>
        <v/>
      </c>
      <c r="I21" s="107" t="str">
        <f t="shared" si="4"/>
        <v>g</v>
      </c>
      <c r="J21" s="93"/>
      <c r="K21" s="150">
        <f t="shared" si="2"/>
        <v>0</v>
      </c>
      <c r="L21" s="162" t="s">
        <v>3</v>
      </c>
      <c r="N21" s="26"/>
      <c r="O21" s="13"/>
      <c r="P21" s="14"/>
      <c r="Q21" s="15"/>
      <c r="R21" s="13"/>
      <c r="S21" s="14"/>
      <c r="T21" s="15"/>
      <c r="U21" s="13"/>
      <c r="V21" s="14"/>
      <c r="W21" s="27"/>
    </row>
    <row r="22" spans="2:23" ht="36" customHeight="1">
      <c r="B22" s="79"/>
      <c r="C22" s="80"/>
      <c r="D22" s="78">
        <f t="shared" si="5"/>
        <v>0</v>
      </c>
      <c r="E22" s="77">
        <f t="shared" si="0"/>
        <v>0</v>
      </c>
      <c r="F22" s="97" t="str">
        <f t="shared" si="1"/>
        <v>g</v>
      </c>
      <c r="G22" s="40"/>
      <c r="H22" s="88" t="str">
        <f t="shared" si="6"/>
        <v/>
      </c>
      <c r="I22" s="107" t="str">
        <f t="shared" si="4"/>
        <v>g</v>
      </c>
      <c r="J22" s="93"/>
      <c r="K22" s="150">
        <f t="shared" si="2"/>
        <v>0</v>
      </c>
      <c r="L22" s="162" t="s">
        <v>3</v>
      </c>
      <c r="N22" s="26"/>
      <c r="O22" s="13"/>
      <c r="P22" s="14"/>
      <c r="Q22" s="15"/>
      <c r="R22" s="13"/>
      <c r="S22" s="14"/>
      <c r="T22" s="15"/>
      <c r="U22" s="13"/>
      <c r="V22" s="14"/>
      <c r="W22" s="27"/>
    </row>
    <row r="23" spans="2:23" ht="36" customHeight="1">
      <c r="B23" s="79"/>
      <c r="C23" s="80"/>
      <c r="D23" s="78">
        <f t="shared" si="5"/>
        <v>0</v>
      </c>
      <c r="E23" s="77">
        <f t="shared" si="0"/>
        <v>0</v>
      </c>
      <c r="F23" s="97" t="str">
        <f t="shared" si="1"/>
        <v>g</v>
      </c>
      <c r="G23" s="40"/>
      <c r="H23" s="88" t="str">
        <f t="shared" si="6"/>
        <v/>
      </c>
      <c r="I23" s="107" t="str">
        <f t="shared" si="4"/>
        <v>g</v>
      </c>
      <c r="J23" s="93"/>
      <c r="K23" s="150">
        <f t="shared" si="2"/>
        <v>0</v>
      </c>
      <c r="L23" s="162" t="s">
        <v>3</v>
      </c>
      <c r="N23" s="26"/>
      <c r="O23" s="13"/>
      <c r="P23" s="14"/>
      <c r="Q23" s="15"/>
      <c r="R23" s="13"/>
      <c r="S23" s="14"/>
      <c r="T23" s="15"/>
      <c r="U23" s="13"/>
      <c r="V23" s="14"/>
      <c r="W23" s="27"/>
    </row>
    <row r="24" spans="2:23" ht="36" customHeight="1">
      <c r="B24" s="79"/>
      <c r="C24" s="80"/>
      <c r="D24" s="78">
        <f t="shared" si="5"/>
        <v>0</v>
      </c>
      <c r="E24" s="77">
        <f t="shared" si="0"/>
        <v>0</v>
      </c>
      <c r="F24" s="97" t="str">
        <f t="shared" si="1"/>
        <v>g</v>
      </c>
      <c r="G24" s="40"/>
      <c r="H24" s="88" t="str">
        <f t="shared" si="6"/>
        <v/>
      </c>
      <c r="I24" s="107" t="str">
        <f t="shared" si="4"/>
        <v>g</v>
      </c>
      <c r="J24" s="93"/>
      <c r="K24" s="150">
        <f t="shared" si="2"/>
        <v>0</v>
      </c>
      <c r="L24" s="162" t="s">
        <v>3</v>
      </c>
      <c r="N24" s="26"/>
      <c r="O24" s="13"/>
      <c r="P24" s="14"/>
      <c r="Q24" s="15"/>
      <c r="R24" s="13"/>
      <c r="S24" s="14"/>
      <c r="T24" s="15"/>
      <c r="U24" s="13"/>
      <c r="V24" s="14"/>
      <c r="W24" s="27"/>
    </row>
    <row r="25" spans="2:23" ht="36" customHeight="1">
      <c r="B25" s="79"/>
      <c r="C25" s="80"/>
      <c r="D25" s="78">
        <f t="shared" si="5"/>
        <v>0</v>
      </c>
      <c r="E25" s="77">
        <f t="shared" si="0"/>
        <v>0</v>
      </c>
      <c r="F25" s="97" t="str">
        <f t="shared" si="1"/>
        <v>g</v>
      </c>
      <c r="G25" s="40"/>
      <c r="H25" s="88" t="str">
        <f t="shared" si="6"/>
        <v/>
      </c>
      <c r="I25" s="107" t="str">
        <f t="shared" si="4"/>
        <v>g</v>
      </c>
      <c r="J25" s="93"/>
      <c r="K25" s="150">
        <f t="shared" si="2"/>
        <v>0</v>
      </c>
      <c r="L25" s="162" t="s">
        <v>3</v>
      </c>
      <c r="N25" s="26"/>
      <c r="O25" s="13"/>
      <c r="P25" s="14"/>
      <c r="Q25" s="15"/>
      <c r="R25" s="13"/>
      <c r="S25" s="14"/>
      <c r="T25" s="15"/>
      <c r="U25" s="13"/>
      <c r="V25" s="14"/>
      <c r="W25" s="27"/>
    </row>
    <row r="26" spans="2:23" ht="36" customHeight="1">
      <c r="B26" s="79"/>
      <c r="C26" s="80"/>
      <c r="D26" s="78">
        <f t="shared" si="5"/>
        <v>0</v>
      </c>
      <c r="E26" s="77">
        <f t="shared" si="0"/>
        <v>0</v>
      </c>
      <c r="F26" s="97" t="str">
        <f t="shared" si="1"/>
        <v>g</v>
      </c>
      <c r="G26" s="40"/>
      <c r="H26" s="88" t="str">
        <f t="shared" si="6"/>
        <v/>
      </c>
      <c r="I26" s="107" t="str">
        <f t="shared" si="4"/>
        <v>g</v>
      </c>
      <c r="J26" s="93"/>
      <c r="K26" s="150">
        <f t="shared" si="2"/>
        <v>0</v>
      </c>
      <c r="L26" s="162" t="s">
        <v>3</v>
      </c>
      <c r="N26" s="26"/>
      <c r="O26" s="13"/>
      <c r="P26" s="14"/>
      <c r="Q26" s="15"/>
      <c r="R26" s="13"/>
      <c r="S26" s="14"/>
      <c r="T26" s="15"/>
      <c r="U26" s="13"/>
      <c r="V26" s="14"/>
      <c r="W26" s="27"/>
    </row>
    <row r="27" spans="2:23" ht="36" customHeight="1">
      <c r="B27" s="79"/>
      <c r="C27" s="80"/>
      <c r="D27" s="78">
        <f t="shared" si="5"/>
        <v>0</v>
      </c>
      <c r="E27" s="77">
        <f t="shared" si="0"/>
        <v>0</v>
      </c>
      <c r="F27" s="97" t="str">
        <f t="shared" si="1"/>
        <v>g</v>
      </c>
      <c r="G27" s="40"/>
      <c r="H27" s="88" t="str">
        <f t="shared" si="6"/>
        <v/>
      </c>
      <c r="I27" s="107" t="str">
        <f t="shared" si="4"/>
        <v>g</v>
      </c>
      <c r="J27" s="93"/>
      <c r="K27" s="150">
        <f t="shared" si="2"/>
        <v>0</v>
      </c>
      <c r="L27" s="162" t="s">
        <v>3</v>
      </c>
      <c r="N27" s="26"/>
      <c r="O27" s="13"/>
      <c r="P27" s="14"/>
      <c r="Q27" s="15"/>
      <c r="R27" s="13"/>
      <c r="S27" s="14"/>
      <c r="T27" s="15"/>
      <c r="U27" s="13"/>
      <c r="V27" s="14"/>
      <c r="W27" s="27"/>
    </row>
    <row r="28" spans="2:23" ht="36" customHeight="1">
      <c r="B28" s="79"/>
      <c r="C28" s="80"/>
      <c r="D28" s="78">
        <f t="shared" si="5"/>
        <v>0</v>
      </c>
      <c r="E28" s="77">
        <f t="shared" si="0"/>
        <v>0</v>
      </c>
      <c r="F28" s="97" t="str">
        <f t="shared" si="1"/>
        <v>g</v>
      </c>
      <c r="G28" s="40"/>
      <c r="H28" s="88" t="str">
        <f t="shared" si="6"/>
        <v/>
      </c>
      <c r="I28" s="107" t="str">
        <f t="shared" si="4"/>
        <v>g</v>
      </c>
      <c r="J28" s="93"/>
      <c r="K28" s="150">
        <f t="shared" si="2"/>
        <v>0</v>
      </c>
      <c r="L28" s="162" t="s">
        <v>3</v>
      </c>
      <c r="N28" s="26"/>
      <c r="O28" s="13"/>
      <c r="P28" s="14"/>
      <c r="Q28" s="15"/>
      <c r="R28" s="13"/>
      <c r="S28" s="14"/>
      <c r="T28" s="15"/>
      <c r="U28" s="13"/>
      <c r="V28" s="14"/>
      <c r="W28" s="27"/>
    </row>
    <row r="29" spans="2:23" ht="36" hidden="1" customHeight="1">
      <c r="B29" s="79"/>
      <c r="C29" s="80"/>
      <c r="D29" s="78">
        <f t="shared" si="5"/>
        <v>0</v>
      </c>
      <c r="E29" s="77">
        <f t="shared" si="0"/>
        <v>0</v>
      </c>
      <c r="F29" s="97" t="str">
        <f t="shared" si="1"/>
        <v>g</v>
      </c>
      <c r="G29" s="40"/>
      <c r="H29" s="88" t="str">
        <f t="shared" si="6"/>
        <v/>
      </c>
      <c r="I29" s="107" t="str">
        <f t="shared" si="4"/>
        <v>g</v>
      </c>
      <c r="J29" s="93"/>
      <c r="K29" s="150">
        <f t="shared" si="2"/>
        <v>0</v>
      </c>
      <c r="L29" s="162" t="s">
        <v>3</v>
      </c>
      <c r="N29" s="26"/>
      <c r="O29" s="13"/>
      <c r="P29" s="14"/>
      <c r="Q29" s="15"/>
      <c r="R29" s="13"/>
      <c r="S29" s="14"/>
      <c r="T29" s="15"/>
      <c r="U29" s="13"/>
      <c r="V29" s="14"/>
      <c r="W29" s="27"/>
    </row>
    <row r="30" spans="2:23" ht="36" hidden="1" customHeight="1">
      <c r="B30" s="79"/>
      <c r="C30" s="80"/>
      <c r="D30" s="78">
        <f t="shared" si="5"/>
        <v>0</v>
      </c>
      <c r="E30" s="77">
        <f t="shared" si="0"/>
        <v>0</v>
      </c>
      <c r="F30" s="97" t="str">
        <f t="shared" si="1"/>
        <v>g</v>
      </c>
      <c r="G30" s="40"/>
      <c r="H30" s="88" t="str">
        <f t="shared" si="6"/>
        <v/>
      </c>
      <c r="I30" s="107" t="str">
        <f t="shared" si="4"/>
        <v>g</v>
      </c>
      <c r="J30" s="93"/>
      <c r="K30" s="150">
        <f t="shared" si="2"/>
        <v>0</v>
      </c>
      <c r="L30" s="162" t="s">
        <v>3</v>
      </c>
      <c r="N30" s="26"/>
      <c r="O30" s="13"/>
      <c r="P30" s="14"/>
      <c r="Q30" s="15"/>
      <c r="R30" s="13"/>
      <c r="S30" s="14"/>
      <c r="T30" s="15"/>
      <c r="U30" s="13"/>
      <c r="V30" s="14"/>
      <c r="W30" s="27"/>
    </row>
    <row r="31" spans="2:23" ht="36" hidden="1" customHeight="1">
      <c r="B31" s="79"/>
      <c r="C31" s="80"/>
      <c r="D31" s="78">
        <f t="shared" si="5"/>
        <v>0</v>
      </c>
      <c r="E31" s="77">
        <f t="shared" si="0"/>
        <v>0</v>
      </c>
      <c r="F31" s="97" t="str">
        <f t="shared" si="1"/>
        <v>g</v>
      </c>
      <c r="G31" s="40"/>
      <c r="H31" s="88" t="str">
        <f t="shared" si="6"/>
        <v/>
      </c>
      <c r="I31" s="107" t="str">
        <f t="shared" si="4"/>
        <v>g</v>
      </c>
      <c r="J31" s="93"/>
      <c r="K31" s="150">
        <f t="shared" si="2"/>
        <v>0</v>
      </c>
      <c r="L31" s="162" t="s">
        <v>3</v>
      </c>
      <c r="N31" s="26"/>
      <c r="O31" s="13"/>
      <c r="P31" s="14"/>
      <c r="Q31" s="15"/>
      <c r="R31" s="13"/>
      <c r="S31" s="14"/>
      <c r="T31" s="15"/>
      <c r="U31" s="13"/>
      <c r="V31" s="14"/>
      <c r="W31" s="27"/>
    </row>
    <row r="32" spans="2:23" ht="36" hidden="1" customHeight="1">
      <c r="B32" s="79"/>
      <c r="C32" s="80"/>
      <c r="D32" s="78">
        <f t="shared" si="5"/>
        <v>0</v>
      </c>
      <c r="E32" s="77">
        <f t="shared" si="0"/>
        <v>0</v>
      </c>
      <c r="F32" s="97" t="str">
        <f t="shared" si="1"/>
        <v>g</v>
      </c>
      <c r="G32" s="40"/>
      <c r="H32" s="88" t="str">
        <f t="shared" si="6"/>
        <v/>
      </c>
      <c r="I32" s="107" t="str">
        <f t="shared" si="4"/>
        <v>g</v>
      </c>
      <c r="J32" s="93"/>
      <c r="K32" s="150">
        <f t="shared" si="2"/>
        <v>0</v>
      </c>
      <c r="L32" s="162" t="s">
        <v>3</v>
      </c>
      <c r="N32" s="26"/>
      <c r="O32" s="13"/>
      <c r="P32" s="14"/>
      <c r="Q32" s="15"/>
      <c r="R32" s="13"/>
      <c r="S32" s="14"/>
      <c r="T32" s="15"/>
      <c r="U32" s="13"/>
      <c r="V32" s="14"/>
      <c r="W32" s="27"/>
    </row>
    <row r="33" spans="2:23" ht="36" hidden="1" customHeight="1">
      <c r="B33" s="79"/>
      <c r="C33" s="80"/>
      <c r="D33" s="78">
        <f t="shared" si="5"/>
        <v>0</v>
      </c>
      <c r="E33" s="77">
        <f t="shared" si="0"/>
        <v>0</v>
      </c>
      <c r="F33" s="97" t="str">
        <f t="shared" si="1"/>
        <v>g</v>
      </c>
      <c r="G33" s="40"/>
      <c r="H33" s="88" t="str">
        <f t="shared" si="6"/>
        <v/>
      </c>
      <c r="I33" s="107" t="str">
        <f t="shared" si="4"/>
        <v>g</v>
      </c>
      <c r="J33" s="93"/>
      <c r="K33" s="150">
        <f t="shared" si="2"/>
        <v>0</v>
      </c>
      <c r="L33" s="162" t="s">
        <v>3</v>
      </c>
      <c r="N33" s="26"/>
      <c r="O33" s="13"/>
      <c r="P33" s="14"/>
      <c r="Q33" s="15"/>
      <c r="R33" s="13"/>
      <c r="S33" s="14"/>
      <c r="T33" s="15"/>
      <c r="U33" s="13"/>
      <c r="V33" s="14"/>
      <c r="W33" s="27"/>
    </row>
    <row r="34" spans="2:23" ht="36" hidden="1" customHeight="1">
      <c r="B34" s="79"/>
      <c r="C34" s="80"/>
      <c r="D34" s="78">
        <f t="shared" si="5"/>
        <v>0</v>
      </c>
      <c r="E34" s="77">
        <f t="shared" si="0"/>
        <v>0</v>
      </c>
      <c r="F34" s="97" t="str">
        <f t="shared" si="1"/>
        <v>g</v>
      </c>
      <c r="G34" s="40"/>
      <c r="H34" s="88" t="str">
        <f t="shared" si="6"/>
        <v/>
      </c>
      <c r="I34" s="107" t="str">
        <f t="shared" si="4"/>
        <v>g</v>
      </c>
      <c r="J34" s="93"/>
      <c r="K34" s="150">
        <f t="shared" si="2"/>
        <v>0</v>
      </c>
      <c r="L34" s="162" t="s">
        <v>3</v>
      </c>
      <c r="N34" s="26"/>
      <c r="O34" s="13"/>
      <c r="P34" s="14"/>
      <c r="Q34" s="15"/>
      <c r="R34" s="13"/>
      <c r="S34" s="14"/>
      <c r="T34" s="15"/>
      <c r="U34" s="13"/>
      <c r="V34" s="14"/>
      <c r="W34" s="27"/>
    </row>
    <row r="35" spans="2:23" ht="36" hidden="1" customHeight="1">
      <c r="B35" s="79"/>
      <c r="C35" s="80"/>
      <c r="D35" s="78">
        <f t="shared" si="5"/>
        <v>0</v>
      </c>
      <c r="E35" s="77">
        <f t="shared" si="0"/>
        <v>0</v>
      </c>
      <c r="F35" s="97" t="str">
        <f t="shared" si="1"/>
        <v>g</v>
      </c>
      <c r="G35" s="40"/>
      <c r="H35" s="88" t="str">
        <f t="shared" si="6"/>
        <v/>
      </c>
      <c r="I35" s="107" t="str">
        <f t="shared" si="4"/>
        <v>g</v>
      </c>
      <c r="J35" s="93"/>
      <c r="K35" s="150">
        <f t="shared" si="2"/>
        <v>0</v>
      </c>
      <c r="L35" s="162" t="s">
        <v>3</v>
      </c>
      <c r="N35" s="26"/>
      <c r="O35" s="13"/>
      <c r="P35" s="14"/>
      <c r="Q35" s="15"/>
      <c r="R35" s="13"/>
      <c r="S35" s="14"/>
      <c r="T35" s="15"/>
      <c r="U35" s="13"/>
      <c r="V35" s="14"/>
      <c r="W35" s="27"/>
    </row>
    <row r="36" spans="2:23" ht="36" hidden="1" customHeight="1">
      <c r="B36" s="79"/>
      <c r="C36" s="80"/>
      <c r="D36" s="78">
        <f t="shared" si="5"/>
        <v>0</v>
      </c>
      <c r="E36" s="77">
        <f t="shared" si="0"/>
        <v>0</v>
      </c>
      <c r="F36" s="97" t="str">
        <f t="shared" si="1"/>
        <v>g</v>
      </c>
      <c r="G36" s="40"/>
      <c r="H36" s="88" t="str">
        <f t="shared" si="6"/>
        <v/>
      </c>
      <c r="I36" s="107" t="str">
        <f t="shared" si="4"/>
        <v>g</v>
      </c>
      <c r="J36" s="93"/>
      <c r="K36" s="150">
        <f t="shared" si="2"/>
        <v>0</v>
      </c>
      <c r="L36" s="162" t="s">
        <v>3</v>
      </c>
      <c r="N36" s="26"/>
      <c r="O36" s="13"/>
      <c r="P36" s="14"/>
      <c r="Q36" s="15"/>
      <c r="R36" s="13"/>
      <c r="S36" s="14"/>
      <c r="T36" s="15"/>
      <c r="U36" s="13"/>
      <c r="V36" s="14"/>
      <c r="W36" s="27"/>
    </row>
    <row r="37" spans="2:23" ht="36" hidden="1" customHeight="1">
      <c r="B37" s="79"/>
      <c r="C37" s="80"/>
      <c r="D37" s="78">
        <f t="shared" si="5"/>
        <v>0</v>
      </c>
      <c r="E37" s="77">
        <f t="shared" si="0"/>
        <v>0</v>
      </c>
      <c r="F37" s="97" t="str">
        <f t="shared" si="1"/>
        <v>g</v>
      </c>
      <c r="G37" s="40"/>
      <c r="H37" s="88" t="str">
        <f t="shared" si="6"/>
        <v/>
      </c>
      <c r="I37" s="107" t="str">
        <f t="shared" si="4"/>
        <v>g</v>
      </c>
      <c r="J37" s="93"/>
      <c r="K37" s="150">
        <f t="shared" si="2"/>
        <v>0</v>
      </c>
      <c r="L37" s="162" t="s">
        <v>3</v>
      </c>
      <c r="N37" s="26"/>
      <c r="O37" s="13"/>
      <c r="P37" s="14"/>
      <c r="Q37" s="15"/>
      <c r="R37" s="13"/>
      <c r="S37" s="14"/>
      <c r="T37" s="15"/>
      <c r="U37" s="13"/>
      <c r="V37" s="14"/>
      <c r="W37" s="27"/>
    </row>
    <row r="38" spans="2:23" ht="36" hidden="1" customHeight="1">
      <c r="B38" s="79"/>
      <c r="C38" s="80"/>
      <c r="D38" s="78">
        <f t="shared" si="5"/>
        <v>0</v>
      </c>
      <c r="E38" s="77">
        <f t="shared" si="0"/>
        <v>0</v>
      </c>
      <c r="F38" s="97" t="str">
        <f t="shared" si="1"/>
        <v>g</v>
      </c>
      <c r="G38" s="40"/>
      <c r="H38" s="88" t="str">
        <f t="shared" si="6"/>
        <v/>
      </c>
      <c r="I38" s="107" t="str">
        <f t="shared" si="4"/>
        <v>g</v>
      </c>
      <c r="J38" s="93"/>
      <c r="K38" s="150">
        <f t="shared" si="2"/>
        <v>0</v>
      </c>
      <c r="L38" s="162" t="s">
        <v>3</v>
      </c>
      <c r="N38" s="26"/>
      <c r="O38" s="13"/>
      <c r="P38" s="14"/>
      <c r="Q38" s="15"/>
      <c r="R38" s="13"/>
      <c r="S38" s="14"/>
      <c r="T38" s="15"/>
      <c r="U38" s="13"/>
      <c r="V38" s="14"/>
      <c r="W38" s="27"/>
    </row>
    <row r="39" spans="2:23" ht="36" hidden="1" customHeight="1">
      <c r="B39" s="79"/>
      <c r="C39" s="80"/>
      <c r="D39" s="78">
        <f t="shared" si="5"/>
        <v>0</v>
      </c>
      <c r="E39" s="77">
        <f t="shared" si="0"/>
        <v>0</v>
      </c>
      <c r="F39" s="97" t="str">
        <f t="shared" si="1"/>
        <v>g</v>
      </c>
      <c r="G39" s="40"/>
      <c r="H39" s="88" t="str">
        <f t="shared" si="6"/>
        <v/>
      </c>
      <c r="I39" s="107" t="str">
        <f t="shared" si="4"/>
        <v>g</v>
      </c>
      <c r="J39" s="93"/>
      <c r="K39" s="150">
        <f t="shared" si="2"/>
        <v>0</v>
      </c>
      <c r="L39" s="162" t="s">
        <v>3</v>
      </c>
      <c r="N39" s="26"/>
      <c r="O39" s="13"/>
      <c r="P39" s="14"/>
      <c r="Q39" s="15"/>
      <c r="R39" s="13"/>
      <c r="S39" s="14"/>
      <c r="T39" s="15"/>
      <c r="U39" s="13"/>
      <c r="V39" s="14"/>
      <c r="W39" s="27"/>
    </row>
    <row r="40" spans="2:23" ht="36" hidden="1" customHeight="1">
      <c r="B40" s="79"/>
      <c r="C40" s="80"/>
      <c r="D40" s="78">
        <f t="shared" si="5"/>
        <v>0</v>
      </c>
      <c r="E40" s="77">
        <f t="shared" si="0"/>
        <v>0</v>
      </c>
      <c r="F40" s="97" t="str">
        <f t="shared" si="1"/>
        <v>g</v>
      </c>
      <c r="G40" s="40"/>
      <c r="H40" s="88" t="str">
        <f t="shared" si="6"/>
        <v/>
      </c>
      <c r="I40" s="107" t="str">
        <f t="shared" si="4"/>
        <v>g</v>
      </c>
      <c r="J40" s="93"/>
      <c r="K40" s="150">
        <f t="shared" si="2"/>
        <v>0</v>
      </c>
      <c r="L40" s="162" t="s">
        <v>3</v>
      </c>
      <c r="N40" s="26"/>
      <c r="O40" s="13"/>
      <c r="P40" s="14"/>
      <c r="Q40" s="15"/>
      <c r="R40" s="13"/>
      <c r="S40" s="14"/>
      <c r="T40" s="15"/>
      <c r="U40" s="13"/>
      <c r="V40" s="14"/>
      <c r="W40" s="27"/>
    </row>
    <row r="41" spans="2:23" ht="36" hidden="1" customHeight="1">
      <c r="B41" s="79"/>
      <c r="C41" s="80"/>
      <c r="D41" s="78">
        <f t="shared" si="5"/>
        <v>0</v>
      </c>
      <c r="E41" s="77">
        <f t="shared" si="0"/>
        <v>0</v>
      </c>
      <c r="F41" s="97" t="str">
        <f t="shared" si="1"/>
        <v>g</v>
      </c>
      <c r="G41" s="40"/>
      <c r="H41" s="88" t="str">
        <f t="shared" si="6"/>
        <v/>
      </c>
      <c r="I41" s="107" t="str">
        <f t="shared" si="4"/>
        <v>g</v>
      </c>
      <c r="J41" s="93"/>
      <c r="K41" s="150">
        <f t="shared" si="2"/>
        <v>0</v>
      </c>
      <c r="L41" s="162" t="s">
        <v>3</v>
      </c>
      <c r="N41" s="26"/>
      <c r="O41" s="13"/>
      <c r="P41" s="14"/>
      <c r="Q41" s="15"/>
      <c r="R41" s="13"/>
      <c r="S41" s="14"/>
      <c r="T41" s="15"/>
      <c r="U41" s="13"/>
      <c r="V41" s="14"/>
      <c r="W41" s="27"/>
    </row>
    <row r="42" spans="2:23" ht="36" hidden="1" customHeight="1">
      <c r="B42" s="79"/>
      <c r="C42" s="80"/>
      <c r="D42" s="78">
        <f t="shared" si="5"/>
        <v>0</v>
      </c>
      <c r="E42" s="77">
        <f t="shared" si="0"/>
        <v>0</v>
      </c>
      <c r="F42" s="97" t="str">
        <f t="shared" si="1"/>
        <v>g</v>
      </c>
      <c r="G42" s="40"/>
      <c r="H42" s="88" t="str">
        <f t="shared" si="6"/>
        <v/>
      </c>
      <c r="I42" s="107" t="str">
        <f t="shared" si="4"/>
        <v>g</v>
      </c>
      <c r="J42" s="93"/>
      <c r="K42" s="150">
        <f t="shared" si="2"/>
        <v>0</v>
      </c>
      <c r="L42" s="162" t="s">
        <v>3</v>
      </c>
      <c r="N42" s="26"/>
      <c r="O42" s="13"/>
      <c r="P42" s="14"/>
      <c r="Q42" s="15"/>
      <c r="R42" s="13"/>
      <c r="S42" s="14"/>
      <c r="T42" s="15"/>
      <c r="U42" s="13"/>
      <c r="V42" s="14"/>
      <c r="W42" s="27"/>
    </row>
    <row r="43" spans="2:23" ht="36" hidden="1" customHeight="1">
      <c r="B43" s="79"/>
      <c r="C43" s="80"/>
      <c r="D43" s="78">
        <f t="shared" si="5"/>
        <v>0</v>
      </c>
      <c r="E43" s="77">
        <f t="shared" si="0"/>
        <v>0</v>
      </c>
      <c r="F43" s="97" t="str">
        <f t="shared" si="1"/>
        <v>g</v>
      </c>
      <c r="G43" s="40"/>
      <c r="H43" s="88" t="str">
        <f t="shared" si="6"/>
        <v/>
      </c>
      <c r="I43" s="107" t="str">
        <f t="shared" si="4"/>
        <v>g</v>
      </c>
      <c r="J43" s="93"/>
      <c r="K43" s="150">
        <f t="shared" si="2"/>
        <v>0</v>
      </c>
      <c r="L43" s="162" t="s">
        <v>3</v>
      </c>
      <c r="N43" s="26"/>
      <c r="O43" s="13"/>
      <c r="P43" s="14"/>
      <c r="Q43" s="15"/>
      <c r="R43" s="13"/>
      <c r="S43" s="14"/>
      <c r="T43" s="15"/>
      <c r="U43" s="13"/>
      <c r="V43" s="14"/>
      <c r="W43" s="27"/>
    </row>
    <row r="44" spans="2:23" ht="36" hidden="1" customHeight="1">
      <c r="B44" s="79"/>
      <c r="C44" s="80"/>
      <c r="D44" s="78">
        <f t="shared" si="5"/>
        <v>0</v>
      </c>
      <c r="E44" s="77">
        <f t="shared" si="0"/>
        <v>0</v>
      </c>
      <c r="F44" s="97" t="str">
        <f t="shared" si="1"/>
        <v>g</v>
      </c>
      <c r="G44" s="40"/>
      <c r="H44" s="88" t="str">
        <f t="shared" si="6"/>
        <v/>
      </c>
      <c r="I44" s="107" t="str">
        <f t="shared" si="4"/>
        <v>g</v>
      </c>
      <c r="J44" s="93"/>
      <c r="K44" s="150">
        <f t="shared" si="2"/>
        <v>0</v>
      </c>
      <c r="L44" s="162" t="s">
        <v>3</v>
      </c>
      <c r="N44" s="26"/>
      <c r="O44" s="13"/>
      <c r="P44" s="14"/>
      <c r="Q44" s="15"/>
      <c r="R44" s="13"/>
      <c r="S44" s="14"/>
      <c r="T44" s="15"/>
      <c r="U44" s="13"/>
      <c r="V44" s="14"/>
      <c r="W44" s="27"/>
    </row>
    <row r="45" spans="2:23" ht="36" hidden="1" customHeight="1">
      <c r="B45" s="79"/>
      <c r="C45" s="80"/>
      <c r="D45" s="78">
        <f t="shared" si="5"/>
        <v>0</v>
      </c>
      <c r="E45" s="77">
        <f t="shared" si="0"/>
        <v>0</v>
      </c>
      <c r="F45" s="97" t="str">
        <f t="shared" si="1"/>
        <v>g</v>
      </c>
      <c r="G45" s="40"/>
      <c r="H45" s="88" t="str">
        <f t="shared" si="6"/>
        <v/>
      </c>
      <c r="I45" s="107" t="str">
        <f t="shared" si="4"/>
        <v>g</v>
      </c>
      <c r="J45" s="93"/>
      <c r="K45" s="150">
        <f t="shared" si="2"/>
        <v>0</v>
      </c>
      <c r="L45" s="162" t="s">
        <v>3</v>
      </c>
      <c r="N45" s="26"/>
      <c r="O45" s="13"/>
      <c r="P45" s="14"/>
      <c r="Q45" s="15"/>
      <c r="R45" s="13"/>
      <c r="S45" s="14"/>
      <c r="T45" s="15"/>
      <c r="U45" s="13"/>
      <c r="V45" s="14"/>
      <c r="W45" s="27"/>
    </row>
    <row r="46" spans="2:23" ht="36" hidden="1" customHeight="1">
      <c r="B46" s="79"/>
      <c r="C46" s="80"/>
      <c r="D46" s="78">
        <f t="shared" si="5"/>
        <v>0</v>
      </c>
      <c r="E46" s="77">
        <f t="shared" si="0"/>
        <v>0</v>
      </c>
      <c r="F46" s="97" t="str">
        <f t="shared" si="1"/>
        <v>g</v>
      </c>
      <c r="G46" s="40"/>
      <c r="H46" s="88" t="str">
        <f t="shared" si="6"/>
        <v/>
      </c>
      <c r="I46" s="107" t="str">
        <f t="shared" si="4"/>
        <v>g</v>
      </c>
      <c r="J46" s="93"/>
      <c r="K46" s="150">
        <f t="shared" si="2"/>
        <v>0</v>
      </c>
      <c r="L46" s="162" t="s">
        <v>3</v>
      </c>
      <c r="N46" s="26"/>
      <c r="O46" s="13"/>
      <c r="P46" s="14"/>
      <c r="Q46" s="15"/>
      <c r="R46" s="13"/>
      <c r="S46" s="14"/>
      <c r="T46" s="15"/>
      <c r="U46" s="13"/>
      <c r="V46" s="14"/>
      <c r="W46" s="27"/>
    </row>
    <row r="47" spans="2:23" ht="36" hidden="1" customHeight="1">
      <c r="B47" s="79"/>
      <c r="C47" s="80"/>
      <c r="D47" s="78">
        <f t="shared" si="5"/>
        <v>0</v>
      </c>
      <c r="E47" s="77">
        <f t="shared" si="0"/>
        <v>0</v>
      </c>
      <c r="F47" s="97" t="str">
        <f t="shared" si="1"/>
        <v>g</v>
      </c>
      <c r="G47" s="40"/>
      <c r="H47" s="88" t="str">
        <f t="shared" si="6"/>
        <v/>
      </c>
      <c r="I47" s="107" t="str">
        <f t="shared" si="4"/>
        <v>g</v>
      </c>
      <c r="J47" s="93"/>
      <c r="K47" s="150">
        <f t="shared" si="2"/>
        <v>0</v>
      </c>
      <c r="L47" s="162" t="s">
        <v>3</v>
      </c>
      <c r="N47" s="26"/>
      <c r="O47" s="13"/>
      <c r="P47" s="14"/>
      <c r="Q47" s="15"/>
      <c r="R47" s="13"/>
      <c r="S47" s="14"/>
      <c r="T47" s="15"/>
      <c r="U47" s="13"/>
      <c r="V47" s="14"/>
      <c r="W47" s="27"/>
    </row>
    <row r="48" spans="2:23" ht="36" hidden="1" customHeight="1">
      <c r="B48" s="79"/>
      <c r="C48" s="80"/>
      <c r="D48" s="78">
        <f t="shared" si="5"/>
        <v>0</v>
      </c>
      <c r="E48" s="77">
        <f t="shared" si="0"/>
        <v>0</v>
      </c>
      <c r="F48" s="97" t="str">
        <f t="shared" si="1"/>
        <v>g</v>
      </c>
      <c r="G48" s="40"/>
      <c r="H48" s="88" t="str">
        <f t="shared" si="6"/>
        <v/>
      </c>
      <c r="I48" s="107" t="str">
        <f t="shared" si="4"/>
        <v>g</v>
      </c>
      <c r="J48" s="93"/>
      <c r="K48" s="150">
        <f t="shared" si="2"/>
        <v>0</v>
      </c>
      <c r="L48" s="162" t="s">
        <v>3</v>
      </c>
      <c r="N48" s="26"/>
      <c r="O48" s="13"/>
      <c r="P48" s="14"/>
      <c r="Q48" s="15"/>
      <c r="R48" s="13"/>
      <c r="S48" s="14"/>
      <c r="T48" s="15"/>
      <c r="U48" s="13"/>
      <c r="V48" s="14"/>
      <c r="W48" s="27"/>
    </row>
    <row r="49" spans="2:23" ht="36" hidden="1" customHeight="1">
      <c r="B49" s="79"/>
      <c r="C49" s="80"/>
      <c r="D49" s="78">
        <f t="shared" si="5"/>
        <v>0</v>
      </c>
      <c r="E49" s="77">
        <f t="shared" si="0"/>
        <v>0</v>
      </c>
      <c r="F49" s="97" t="str">
        <f t="shared" si="1"/>
        <v>g</v>
      </c>
      <c r="G49" s="40"/>
      <c r="H49" s="88" t="str">
        <f t="shared" si="6"/>
        <v/>
      </c>
      <c r="I49" s="107" t="str">
        <f t="shared" si="4"/>
        <v>g</v>
      </c>
      <c r="J49" s="93"/>
      <c r="K49" s="150">
        <f t="shared" si="2"/>
        <v>0</v>
      </c>
      <c r="L49" s="162" t="s">
        <v>3</v>
      </c>
      <c r="N49" s="26"/>
      <c r="O49" s="13"/>
      <c r="P49" s="14"/>
      <c r="Q49" s="15"/>
      <c r="R49" s="13"/>
      <c r="S49" s="14"/>
      <c r="T49" s="15"/>
      <c r="U49" s="13"/>
      <c r="V49" s="14"/>
      <c r="W49" s="27"/>
    </row>
    <row r="50" spans="2:23" ht="36" hidden="1" customHeight="1">
      <c r="B50" s="79"/>
      <c r="C50" s="80"/>
      <c r="D50" s="78">
        <f t="shared" si="5"/>
        <v>0</v>
      </c>
      <c r="E50" s="77">
        <f t="shared" si="0"/>
        <v>0</v>
      </c>
      <c r="F50" s="97" t="str">
        <f t="shared" si="1"/>
        <v>g</v>
      </c>
      <c r="G50" s="40"/>
      <c r="H50" s="88" t="str">
        <f t="shared" si="6"/>
        <v/>
      </c>
      <c r="I50" s="107" t="str">
        <f t="shared" si="4"/>
        <v>g</v>
      </c>
      <c r="J50" s="93"/>
      <c r="K50" s="150">
        <f t="shared" si="2"/>
        <v>0</v>
      </c>
      <c r="L50" s="162" t="s">
        <v>3</v>
      </c>
      <c r="N50" s="26"/>
      <c r="O50" s="13"/>
      <c r="P50" s="14"/>
      <c r="Q50" s="15"/>
      <c r="R50" s="13"/>
      <c r="S50" s="14"/>
      <c r="T50" s="15"/>
      <c r="U50" s="13"/>
      <c r="V50" s="14"/>
      <c r="W50" s="27"/>
    </row>
    <row r="51" spans="2:23" ht="36" hidden="1" customHeight="1">
      <c r="B51" s="79"/>
      <c r="C51" s="80"/>
      <c r="D51" s="78">
        <f t="shared" si="5"/>
        <v>0</v>
      </c>
      <c r="E51" s="77">
        <f t="shared" si="0"/>
        <v>0</v>
      </c>
      <c r="F51" s="97" t="str">
        <f t="shared" si="1"/>
        <v>g</v>
      </c>
      <c r="G51" s="40"/>
      <c r="H51" s="88" t="str">
        <f t="shared" si="6"/>
        <v/>
      </c>
      <c r="I51" s="107" t="str">
        <f t="shared" si="4"/>
        <v>g</v>
      </c>
      <c r="J51" s="93"/>
      <c r="K51" s="150">
        <f t="shared" si="2"/>
        <v>0</v>
      </c>
      <c r="L51" s="162" t="s">
        <v>3</v>
      </c>
      <c r="N51" s="26"/>
      <c r="O51" s="13"/>
      <c r="P51" s="14"/>
      <c r="Q51" s="15"/>
      <c r="R51" s="13"/>
      <c r="S51" s="14"/>
      <c r="T51" s="15"/>
      <c r="U51" s="13"/>
      <c r="V51" s="14"/>
      <c r="W51" s="27"/>
    </row>
    <row r="52" spans="2:23" ht="36" hidden="1" customHeight="1">
      <c r="B52" s="79"/>
      <c r="C52" s="80"/>
      <c r="D52" s="78">
        <f t="shared" si="5"/>
        <v>0</v>
      </c>
      <c r="E52" s="77">
        <f t="shared" si="0"/>
        <v>0</v>
      </c>
      <c r="F52" s="97" t="str">
        <f t="shared" si="1"/>
        <v>g</v>
      </c>
      <c r="G52" s="40"/>
      <c r="H52" s="88" t="str">
        <f t="shared" si="6"/>
        <v/>
      </c>
      <c r="I52" s="107" t="str">
        <f t="shared" si="4"/>
        <v>g</v>
      </c>
      <c r="J52" s="93"/>
      <c r="K52" s="150">
        <f t="shared" si="2"/>
        <v>0</v>
      </c>
      <c r="L52" s="162" t="s">
        <v>3</v>
      </c>
      <c r="N52" s="26"/>
      <c r="O52" s="13"/>
      <c r="P52" s="14"/>
      <c r="Q52" s="15"/>
      <c r="R52" s="13"/>
      <c r="S52" s="14"/>
      <c r="T52" s="15"/>
      <c r="U52" s="13"/>
      <c r="V52" s="14"/>
      <c r="W52" s="27"/>
    </row>
    <row r="53" spans="2:23" ht="36" hidden="1" customHeight="1">
      <c r="B53" s="79"/>
      <c r="C53" s="80"/>
      <c r="D53" s="78">
        <f t="shared" si="5"/>
        <v>0</v>
      </c>
      <c r="E53" s="77">
        <f t="shared" si="0"/>
        <v>0</v>
      </c>
      <c r="F53" s="97" t="str">
        <f t="shared" si="1"/>
        <v>g</v>
      </c>
      <c r="G53" s="40"/>
      <c r="H53" s="88" t="str">
        <f t="shared" si="6"/>
        <v/>
      </c>
      <c r="I53" s="107" t="str">
        <f t="shared" si="4"/>
        <v>g</v>
      </c>
      <c r="J53" s="93"/>
      <c r="K53" s="150">
        <f t="shared" si="2"/>
        <v>0</v>
      </c>
      <c r="L53" s="162" t="s">
        <v>3</v>
      </c>
      <c r="N53" s="26"/>
      <c r="O53" s="13"/>
      <c r="P53" s="14"/>
      <c r="Q53" s="15"/>
      <c r="R53" s="13"/>
      <c r="S53" s="14"/>
      <c r="T53" s="15"/>
      <c r="U53" s="13"/>
      <c r="V53" s="14"/>
      <c r="W53" s="27"/>
    </row>
    <row r="54" spans="2:23" ht="36" hidden="1" customHeight="1">
      <c r="B54" s="79"/>
      <c r="C54" s="80"/>
      <c r="D54" s="78">
        <f t="shared" si="5"/>
        <v>0</v>
      </c>
      <c r="E54" s="77">
        <f t="shared" si="0"/>
        <v>0</v>
      </c>
      <c r="F54" s="97" t="str">
        <f t="shared" si="1"/>
        <v>g</v>
      </c>
      <c r="G54" s="40"/>
      <c r="H54" s="88" t="str">
        <f t="shared" si="6"/>
        <v/>
      </c>
      <c r="I54" s="107" t="str">
        <f t="shared" si="4"/>
        <v>g</v>
      </c>
      <c r="J54" s="93"/>
      <c r="K54" s="150">
        <f t="shared" si="2"/>
        <v>0</v>
      </c>
      <c r="L54" s="162" t="s">
        <v>3</v>
      </c>
      <c r="N54" s="26"/>
      <c r="O54" s="13"/>
      <c r="P54" s="14"/>
      <c r="Q54" s="15"/>
      <c r="R54" s="13"/>
      <c r="S54" s="14"/>
      <c r="T54" s="15"/>
      <c r="U54" s="13"/>
      <c r="V54" s="14"/>
      <c r="W54" s="27"/>
    </row>
    <row r="55" spans="2:23" ht="36" hidden="1" customHeight="1">
      <c r="B55" s="79"/>
      <c r="C55" s="80"/>
      <c r="D55" s="78">
        <f t="shared" si="5"/>
        <v>0</v>
      </c>
      <c r="E55" s="77">
        <f t="shared" si="0"/>
        <v>0</v>
      </c>
      <c r="F55" s="97" t="str">
        <f t="shared" si="1"/>
        <v>g</v>
      </c>
      <c r="G55" s="40"/>
      <c r="H55" s="88" t="str">
        <f t="shared" si="6"/>
        <v/>
      </c>
      <c r="I55" s="107" t="str">
        <f t="shared" si="4"/>
        <v>g</v>
      </c>
      <c r="J55" s="93"/>
      <c r="K55" s="150">
        <f t="shared" si="2"/>
        <v>0</v>
      </c>
      <c r="L55" s="162" t="s">
        <v>3</v>
      </c>
      <c r="N55" s="26"/>
      <c r="O55" s="13"/>
      <c r="P55" s="14"/>
      <c r="Q55" s="15"/>
      <c r="R55" s="13"/>
      <c r="S55" s="14"/>
      <c r="T55" s="15"/>
      <c r="U55" s="13"/>
      <c r="V55" s="14"/>
      <c r="W55" s="27"/>
    </row>
    <row r="56" spans="2:23" ht="36" hidden="1" customHeight="1">
      <c r="B56" s="79"/>
      <c r="C56" s="80"/>
      <c r="D56" s="78">
        <f t="shared" si="5"/>
        <v>0</v>
      </c>
      <c r="E56" s="77">
        <f t="shared" si="0"/>
        <v>0</v>
      </c>
      <c r="F56" s="97" t="str">
        <f t="shared" si="1"/>
        <v>g</v>
      </c>
      <c r="G56" s="40"/>
      <c r="H56" s="88" t="str">
        <f t="shared" si="6"/>
        <v/>
      </c>
      <c r="I56" s="107" t="str">
        <f t="shared" si="4"/>
        <v>g</v>
      </c>
      <c r="J56" s="93"/>
      <c r="K56" s="150">
        <f t="shared" si="2"/>
        <v>0</v>
      </c>
      <c r="L56" s="162" t="s">
        <v>3</v>
      </c>
      <c r="N56" s="26"/>
      <c r="O56" s="13"/>
      <c r="P56" s="14"/>
      <c r="Q56" s="15"/>
      <c r="R56" s="13"/>
      <c r="S56" s="14"/>
      <c r="T56" s="15"/>
      <c r="U56" s="13"/>
      <c r="V56" s="14"/>
      <c r="W56" s="27"/>
    </row>
    <row r="57" spans="2:23" ht="36" hidden="1" customHeight="1">
      <c r="B57" s="79"/>
      <c r="C57" s="80"/>
      <c r="D57" s="78">
        <f t="shared" si="5"/>
        <v>0</v>
      </c>
      <c r="E57" s="77">
        <f t="shared" si="0"/>
        <v>0</v>
      </c>
      <c r="F57" s="97" t="str">
        <f t="shared" si="1"/>
        <v>g</v>
      </c>
      <c r="G57" s="40"/>
      <c r="H57" s="88" t="str">
        <f t="shared" si="6"/>
        <v/>
      </c>
      <c r="I57" s="107" t="str">
        <f t="shared" si="4"/>
        <v>g</v>
      </c>
      <c r="J57" s="93"/>
      <c r="K57" s="150">
        <f t="shared" si="2"/>
        <v>0</v>
      </c>
      <c r="L57" s="162" t="s">
        <v>3</v>
      </c>
      <c r="N57" s="26"/>
      <c r="O57" s="13"/>
      <c r="P57" s="14"/>
      <c r="Q57" s="15"/>
      <c r="R57" s="13"/>
      <c r="S57" s="14"/>
      <c r="T57" s="15"/>
      <c r="U57" s="13"/>
      <c r="V57" s="14"/>
      <c r="W57" s="27"/>
    </row>
    <row r="58" spans="2:23" ht="36" customHeight="1" thickBot="1">
      <c r="B58" s="81"/>
      <c r="C58" s="82"/>
      <c r="D58" s="83">
        <f t="shared" si="5"/>
        <v>0</v>
      </c>
      <c r="E58" s="84">
        <f t="shared" si="0"/>
        <v>0</v>
      </c>
      <c r="F58" s="98" t="str">
        <f t="shared" si="1"/>
        <v>g</v>
      </c>
      <c r="G58" s="41"/>
      <c r="H58" s="89" t="str">
        <f t="shared" si="6"/>
        <v/>
      </c>
      <c r="I58" s="108" t="str">
        <f t="shared" si="4"/>
        <v>g</v>
      </c>
      <c r="J58" s="94"/>
      <c r="K58" s="151">
        <f t="shared" si="2"/>
        <v>0</v>
      </c>
      <c r="L58" s="163" t="s">
        <v>3</v>
      </c>
      <c r="N58" s="26"/>
      <c r="O58" s="13"/>
      <c r="P58" s="14"/>
      <c r="Q58" s="15"/>
      <c r="R58" s="13"/>
      <c r="S58" s="14"/>
      <c r="T58" s="15"/>
      <c r="U58" s="13"/>
      <c r="V58" s="14"/>
      <c r="W58" s="27"/>
    </row>
    <row r="59" spans="2:23" ht="32.1" customHeight="1">
      <c r="B59" s="2"/>
      <c r="C59" s="2"/>
      <c r="D59" s="2"/>
      <c r="N59" s="26"/>
      <c r="O59" s="13"/>
      <c r="P59" s="14"/>
      <c r="Q59" s="15"/>
      <c r="R59" s="13"/>
      <c r="S59" s="14"/>
      <c r="T59" s="15"/>
      <c r="U59" s="13"/>
      <c r="V59" s="14"/>
      <c r="W59" s="27"/>
    </row>
    <row r="60" spans="2:23" ht="32.1" customHeight="1">
      <c r="B60" s="2"/>
      <c r="C60" s="2"/>
      <c r="D60" s="2"/>
      <c r="N60" s="26"/>
      <c r="O60" s="13"/>
      <c r="P60" s="14"/>
      <c r="Q60" s="15"/>
      <c r="R60" s="13"/>
      <c r="S60" s="14"/>
      <c r="T60" s="15"/>
      <c r="U60" s="13"/>
      <c r="V60" s="14"/>
      <c r="W60" s="27"/>
    </row>
    <row r="61" spans="2:23" ht="32.1" customHeight="1">
      <c r="B61" s="2"/>
      <c r="C61" s="2"/>
      <c r="D61" s="2"/>
      <c r="N61" s="26"/>
      <c r="O61" s="13"/>
      <c r="P61" s="14"/>
      <c r="Q61" s="15"/>
      <c r="R61" s="13"/>
      <c r="S61" s="14"/>
      <c r="T61" s="15"/>
      <c r="U61" s="13"/>
      <c r="V61" s="14"/>
      <c r="W61" s="27"/>
    </row>
    <row r="62" spans="2:23" ht="32.1" customHeight="1">
      <c r="B62" s="2"/>
      <c r="C62" s="2"/>
      <c r="D62" s="2"/>
      <c r="N62" s="28"/>
      <c r="O62" s="29"/>
      <c r="P62" s="30"/>
      <c r="Q62" s="31"/>
      <c r="R62" s="29"/>
      <c r="S62" s="30"/>
      <c r="T62" s="31"/>
      <c r="U62" s="29"/>
      <c r="V62" s="30"/>
      <c r="W62" s="32"/>
    </row>
    <row r="63" spans="2:23" ht="32.1" customHeight="1">
      <c r="B63" s="2"/>
      <c r="C63" s="2"/>
      <c r="D63" s="2"/>
    </row>
    <row r="64" spans="2:23" ht="32.1" customHeight="1">
      <c r="B64" s="2"/>
      <c r="C64" s="2"/>
      <c r="D64" s="2"/>
    </row>
    <row r="65" spans="2:26" ht="32.1" customHeight="1">
      <c r="B65" s="2"/>
      <c r="C65" s="2"/>
      <c r="D65" s="2"/>
    </row>
    <row r="66" spans="2:26" s="5" customFormat="1" ht="32.1" customHeight="1">
      <c r="B66" s="2"/>
      <c r="C66" s="2"/>
      <c r="D66" s="2"/>
      <c r="F66" s="7"/>
      <c r="G66" s="7"/>
      <c r="I66" s="7"/>
      <c r="J66" s="7"/>
      <c r="L66" s="7"/>
      <c r="M66" s="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s="5" customFormat="1" ht="32.1" customHeight="1">
      <c r="B67" s="2"/>
      <c r="C67" s="2"/>
      <c r="D67" s="2"/>
      <c r="F67" s="7"/>
      <c r="G67" s="7"/>
      <c r="I67" s="7"/>
      <c r="J67" s="7"/>
      <c r="L67" s="7"/>
      <c r="M67" s="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s="5" customFormat="1" ht="32.1" customHeight="1">
      <c r="B68" s="2"/>
      <c r="C68" s="2"/>
      <c r="D68" s="2"/>
      <c r="F68" s="7"/>
      <c r="G68" s="7"/>
      <c r="I68" s="7"/>
      <c r="J68" s="7"/>
      <c r="L68" s="7"/>
      <c r="M68" s="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s="5" customFormat="1" ht="32.1" customHeight="1">
      <c r="B69" s="2"/>
      <c r="C69" s="2"/>
      <c r="D69" s="2"/>
      <c r="F69" s="7"/>
      <c r="G69" s="7"/>
      <c r="I69" s="7"/>
      <c r="J69" s="7"/>
      <c r="L69" s="7"/>
      <c r="M69" s="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s="5" customFormat="1" ht="32.1" customHeight="1">
      <c r="B70" s="2"/>
      <c r="C70" s="2"/>
      <c r="D70" s="2"/>
      <c r="F70" s="7"/>
      <c r="G70" s="7"/>
      <c r="I70" s="7"/>
      <c r="J70" s="7"/>
      <c r="L70" s="7"/>
      <c r="M70" s="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s="5" customFormat="1" ht="32.1" customHeight="1">
      <c r="B71" s="2"/>
      <c r="C71" s="2"/>
      <c r="D71" s="2"/>
      <c r="F71" s="7"/>
      <c r="G71" s="7"/>
      <c r="I71" s="7"/>
      <c r="J71" s="7"/>
      <c r="L71" s="7"/>
      <c r="M71" s="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</sheetData>
  <mergeCells count="10">
    <mergeCell ref="K1:L1"/>
    <mergeCell ref="K3:L3"/>
    <mergeCell ref="B4:C4"/>
    <mergeCell ref="B5:C5"/>
    <mergeCell ref="H1:I1"/>
    <mergeCell ref="E1:F1"/>
    <mergeCell ref="B1:D1"/>
    <mergeCell ref="B2:D2"/>
    <mergeCell ref="E3:F3"/>
    <mergeCell ref="H3:I3"/>
  </mergeCells>
  <phoneticPr fontId="3"/>
  <dataValidations count="1">
    <dataValidation type="list" allowBlank="1" showInputMessage="1" showErrorMessage="1" sqref="O2" xr:uid="{30EE2B9D-1E3D-454E-8C24-81B5C1EBFF9F}">
      <formula1>"10,5"</formula1>
    </dataValidation>
  </dataValidations>
  <pageMargins left="0" right="0" top="0" bottom="0" header="0" footer="0"/>
  <pageSetup paperSize="9" scale="67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1"/>
  <sheetViews>
    <sheetView showGridLines="0" view="pageBreakPreview" topLeftCell="A18" zoomScale="60" zoomScaleNormal="100" workbookViewId="0">
      <selection activeCell="D13" sqref="D13"/>
    </sheetView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83" t="s">
        <v>6</v>
      </c>
      <c r="C1" s="182"/>
      <c r="D1" s="182"/>
      <c r="E1" s="182"/>
      <c r="F1" s="182"/>
      <c r="G1" s="182"/>
      <c r="H1" s="182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22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26</v>
      </c>
      <c r="D5" s="125"/>
      <c r="E5" s="126" t="str">
        <f>IF($E2=0, "", B5*$E2)</f>
        <v/>
      </c>
      <c r="F5" s="111" t="str">
        <f t="shared" ref="F5:F58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26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6" t="s">
        <v>23</v>
      </c>
      <c r="C8" s="187"/>
      <c r="D8" s="121">
        <f>D5+G6+G7+SUM(D10:D58)</f>
        <v>0</v>
      </c>
      <c r="E8" s="130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134"/>
      <c r="F9" s="113"/>
      <c r="G9" s="140"/>
    </row>
    <row r="10" spans="2:17" ht="36" customHeight="1">
      <c r="B10" s="131"/>
      <c r="C10" s="132"/>
      <c r="D10" s="133"/>
      <c r="E10" s="134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134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134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134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134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134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134"/>
      <c r="F16" s="113" t="str">
        <f t="shared" si="0"/>
        <v>g</v>
      </c>
      <c r="G16" s="140"/>
    </row>
    <row r="17" spans="2:7" ht="36" customHeight="1">
      <c r="B17" s="131"/>
      <c r="C17" s="132"/>
      <c r="D17" s="133"/>
      <c r="E17" s="134"/>
      <c r="F17" s="113" t="str">
        <f t="shared" si="0"/>
        <v>g</v>
      </c>
      <c r="G17" s="140"/>
    </row>
    <row r="18" spans="2:7" ht="36" customHeight="1">
      <c r="B18" s="131"/>
      <c r="C18" s="132"/>
      <c r="D18" s="133"/>
      <c r="E18" s="134"/>
      <c r="F18" s="113" t="str">
        <f t="shared" si="0"/>
        <v>g</v>
      </c>
      <c r="G18" s="140"/>
    </row>
    <row r="19" spans="2:7" ht="36" customHeight="1">
      <c r="B19" s="131"/>
      <c r="C19" s="132"/>
      <c r="D19" s="133"/>
      <c r="E19" s="134"/>
      <c r="F19" s="113" t="str">
        <f t="shared" si="0"/>
        <v>g</v>
      </c>
      <c r="G19" s="140"/>
    </row>
    <row r="20" spans="2:7" ht="36" customHeight="1">
      <c r="B20" s="131"/>
      <c r="C20" s="132"/>
      <c r="D20" s="133"/>
      <c r="E20" s="134"/>
      <c r="F20" s="113" t="str">
        <f t="shared" si="0"/>
        <v>g</v>
      </c>
      <c r="G20" s="140"/>
    </row>
    <row r="21" spans="2:7" ht="36" customHeight="1">
      <c r="B21" s="131"/>
      <c r="C21" s="132"/>
      <c r="D21" s="133"/>
      <c r="E21" s="134"/>
      <c r="F21" s="113" t="str">
        <f t="shared" si="0"/>
        <v>g</v>
      </c>
      <c r="G21" s="140"/>
    </row>
    <row r="22" spans="2:7" ht="36" customHeight="1">
      <c r="B22" s="131"/>
      <c r="C22" s="132"/>
      <c r="D22" s="133"/>
      <c r="E22" s="134"/>
      <c r="F22" s="113" t="str">
        <f t="shared" si="0"/>
        <v>g</v>
      </c>
      <c r="G22" s="140"/>
    </row>
    <row r="23" spans="2:7" ht="36" customHeight="1">
      <c r="B23" s="131"/>
      <c r="C23" s="132"/>
      <c r="D23" s="133"/>
      <c r="E23" s="134"/>
      <c r="F23" s="113" t="str">
        <f t="shared" si="0"/>
        <v>g</v>
      </c>
      <c r="G23" s="140"/>
    </row>
    <row r="24" spans="2:7" ht="36" customHeight="1">
      <c r="B24" s="131"/>
      <c r="C24" s="132"/>
      <c r="D24" s="133"/>
      <c r="E24" s="134"/>
      <c r="F24" s="113" t="str">
        <f t="shared" si="0"/>
        <v>g</v>
      </c>
      <c r="G24" s="140"/>
    </row>
    <row r="25" spans="2:7" ht="36" customHeight="1">
      <c r="B25" s="131"/>
      <c r="C25" s="132"/>
      <c r="D25" s="133"/>
      <c r="E25" s="134"/>
      <c r="F25" s="113" t="str">
        <f t="shared" si="0"/>
        <v>g</v>
      </c>
      <c r="G25" s="140"/>
    </row>
    <row r="26" spans="2:7" ht="36" customHeight="1">
      <c r="B26" s="131"/>
      <c r="C26" s="132"/>
      <c r="D26" s="133"/>
      <c r="E26" s="134"/>
      <c r="F26" s="113" t="str">
        <f t="shared" si="0"/>
        <v>g</v>
      </c>
      <c r="G26" s="140"/>
    </row>
    <row r="27" spans="2:7" ht="36" customHeight="1">
      <c r="B27" s="131"/>
      <c r="C27" s="132"/>
      <c r="D27" s="133"/>
      <c r="E27" s="134"/>
      <c r="F27" s="113" t="str">
        <f t="shared" si="0"/>
        <v>g</v>
      </c>
      <c r="G27" s="140"/>
    </row>
    <row r="28" spans="2:7" ht="36" hidden="1" customHeight="1">
      <c r="B28" s="131"/>
      <c r="C28" s="132"/>
      <c r="D28" s="133"/>
      <c r="E28" s="134"/>
      <c r="F28" s="113" t="str">
        <f t="shared" si="0"/>
        <v>g</v>
      </c>
      <c r="G28" s="140"/>
    </row>
    <row r="29" spans="2:7" ht="36" hidden="1" customHeight="1">
      <c r="B29" s="131"/>
      <c r="C29" s="132"/>
      <c r="D29" s="133"/>
      <c r="E29" s="134"/>
      <c r="F29" s="113" t="str">
        <f t="shared" si="0"/>
        <v>g</v>
      </c>
      <c r="G29" s="140"/>
    </row>
    <row r="30" spans="2:7" ht="36" hidden="1" customHeight="1">
      <c r="B30" s="131"/>
      <c r="C30" s="132"/>
      <c r="D30" s="133"/>
      <c r="E30" s="134"/>
      <c r="F30" s="113" t="str">
        <f t="shared" si="0"/>
        <v>g</v>
      </c>
      <c r="G30" s="140"/>
    </row>
    <row r="31" spans="2:7" ht="36" hidden="1" customHeight="1">
      <c r="B31" s="131"/>
      <c r="C31" s="132"/>
      <c r="D31" s="133"/>
      <c r="E31" s="134"/>
      <c r="F31" s="113" t="str">
        <f t="shared" si="0"/>
        <v>g</v>
      </c>
      <c r="G31" s="140"/>
    </row>
    <row r="32" spans="2:7" ht="36" hidden="1" customHeight="1">
      <c r="B32" s="131"/>
      <c r="C32" s="132"/>
      <c r="D32" s="133"/>
      <c r="E32" s="134"/>
      <c r="F32" s="113" t="str">
        <f t="shared" si="0"/>
        <v>g</v>
      </c>
      <c r="G32" s="140"/>
    </row>
    <row r="33" spans="2:7" ht="36" hidden="1" customHeight="1">
      <c r="B33" s="131"/>
      <c r="C33" s="132"/>
      <c r="D33" s="133"/>
      <c r="E33" s="134"/>
      <c r="F33" s="113" t="str">
        <f t="shared" si="0"/>
        <v>g</v>
      </c>
      <c r="G33" s="140"/>
    </row>
    <row r="34" spans="2:7" ht="36" hidden="1" customHeight="1">
      <c r="B34" s="131"/>
      <c r="C34" s="132"/>
      <c r="D34" s="133"/>
      <c r="E34" s="134"/>
      <c r="F34" s="113" t="str">
        <f t="shared" si="0"/>
        <v>g</v>
      </c>
      <c r="G34" s="140"/>
    </row>
    <row r="35" spans="2:7" ht="36" hidden="1" customHeight="1">
      <c r="B35" s="131"/>
      <c r="C35" s="132"/>
      <c r="D35" s="133"/>
      <c r="E35" s="134"/>
      <c r="F35" s="113" t="str">
        <f t="shared" si="0"/>
        <v>g</v>
      </c>
      <c r="G35" s="140"/>
    </row>
    <row r="36" spans="2:7" ht="36" hidden="1" customHeight="1">
      <c r="B36" s="131"/>
      <c r="C36" s="132"/>
      <c r="D36" s="133"/>
      <c r="E36" s="134"/>
      <c r="F36" s="113" t="str">
        <f t="shared" si="0"/>
        <v>g</v>
      </c>
      <c r="G36" s="140"/>
    </row>
    <row r="37" spans="2:7" ht="36" hidden="1" customHeight="1">
      <c r="B37" s="131"/>
      <c r="C37" s="132"/>
      <c r="D37" s="133"/>
      <c r="E37" s="134"/>
      <c r="F37" s="113" t="str">
        <f t="shared" si="0"/>
        <v>g</v>
      </c>
      <c r="G37" s="140"/>
    </row>
    <row r="38" spans="2:7" ht="36" hidden="1" customHeight="1">
      <c r="B38" s="131"/>
      <c r="C38" s="132"/>
      <c r="D38" s="133"/>
      <c r="E38" s="134"/>
      <c r="F38" s="113" t="str">
        <f t="shared" si="0"/>
        <v>g</v>
      </c>
      <c r="G38" s="140"/>
    </row>
    <row r="39" spans="2:7" ht="36" hidden="1" customHeight="1">
      <c r="B39" s="131"/>
      <c r="C39" s="132"/>
      <c r="D39" s="133"/>
      <c r="E39" s="134"/>
      <c r="F39" s="113" t="str">
        <f t="shared" si="0"/>
        <v>g</v>
      </c>
      <c r="G39" s="140"/>
    </row>
    <row r="40" spans="2:7" ht="36" hidden="1" customHeight="1">
      <c r="B40" s="131"/>
      <c r="C40" s="132"/>
      <c r="D40" s="133"/>
      <c r="E40" s="134"/>
      <c r="F40" s="113" t="str">
        <f t="shared" si="0"/>
        <v>g</v>
      </c>
      <c r="G40" s="140"/>
    </row>
    <row r="41" spans="2:7" ht="36" hidden="1" customHeight="1">
      <c r="B41" s="131"/>
      <c r="C41" s="132"/>
      <c r="D41" s="133"/>
      <c r="E41" s="134"/>
      <c r="F41" s="113" t="str">
        <f t="shared" si="0"/>
        <v>g</v>
      </c>
      <c r="G41" s="140"/>
    </row>
    <row r="42" spans="2:7" ht="36" hidden="1" customHeight="1">
      <c r="B42" s="131"/>
      <c r="C42" s="132"/>
      <c r="D42" s="133"/>
      <c r="E42" s="134"/>
      <c r="F42" s="113" t="str">
        <f t="shared" si="0"/>
        <v>g</v>
      </c>
      <c r="G42" s="140"/>
    </row>
    <row r="43" spans="2:7" ht="36" hidden="1" customHeight="1">
      <c r="B43" s="131"/>
      <c r="C43" s="132"/>
      <c r="D43" s="133"/>
      <c r="E43" s="134"/>
      <c r="F43" s="113" t="str">
        <f t="shared" si="0"/>
        <v>g</v>
      </c>
      <c r="G43" s="140"/>
    </row>
    <row r="44" spans="2:7" ht="36" hidden="1" customHeight="1">
      <c r="B44" s="131"/>
      <c r="C44" s="132"/>
      <c r="D44" s="133"/>
      <c r="E44" s="134"/>
      <c r="F44" s="113" t="str">
        <f t="shared" si="0"/>
        <v>g</v>
      </c>
      <c r="G44" s="140"/>
    </row>
    <row r="45" spans="2:7" ht="36" hidden="1" customHeight="1">
      <c r="B45" s="131"/>
      <c r="C45" s="132"/>
      <c r="D45" s="133"/>
      <c r="E45" s="134"/>
      <c r="F45" s="113" t="str">
        <f t="shared" si="0"/>
        <v>g</v>
      </c>
      <c r="G45" s="140"/>
    </row>
    <row r="46" spans="2:7" ht="36" hidden="1" customHeight="1">
      <c r="B46" s="131"/>
      <c r="C46" s="132"/>
      <c r="D46" s="133"/>
      <c r="E46" s="134"/>
      <c r="F46" s="113" t="str">
        <f t="shared" si="0"/>
        <v>g</v>
      </c>
      <c r="G46" s="140"/>
    </row>
    <row r="47" spans="2:7" ht="36" hidden="1" customHeight="1">
      <c r="B47" s="131"/>
      <c r="C47" s="132"/>
      <c r="D47" s="133"/>
      <c r="E47" s="134"/>
      <c r="F47" s="113" t="str">
        <f t="shared" si="0"/>
        <v>g</v>
      </c>
      <c r="G47" s="140"/>
    </row>
    <row r="48" spans="2:7" ht="36" hidden="1" customHeight="1">
      <c r="B48" s="131"/>
      <c r="C48" s="132"/>
      <c r="D48" s="133"/>
      <c r="E48" s="134"/>
      <c r="F48" s="113" t="str">
        <f t="shared" si="0"/>
        <v>g</v>
      </c>
      <c r="G48" s="140"/>
    </row>
    <row r="49" spans="2:17" ht="36" hidden="1" customHeight="1">
      <c r="B49" s="131"/>
      <c r="C49" s="132"/>
      <c r="D49" s="133"/>
      <c r="E49" s="134"/>
      <c r="F49" s="113" t="str">
        <f t="shared" si="0"/>
        <v>g</v>
      </c>
      <c r="G49" s="140"/>
    </row>
    <row r="50" spans="2:17" ht="36" hidden="1" customHeight="1">
      <c r="B50" s="131"/>
      <c r="C50" s="132"/>
      <c r="D50" s="133"/>
      <c r="E50" s="134"/>
      <c r="F50" s="113" t="str">
        <f t="shared" si="0"/>
        <v>g</v>
      </c>
      <c r="G50" s="140"/>
    </row>
    <row r="51" spans="2:17" ht="36" hidden="1" customHeight="1">
      <c r="B51" s="131"/>
      <c r="C51" s="132"/>
      <c r="D51" s="133"/>
      <c r="E51" s="134"/>
      <c r="F51" s="113" t="str">
        <f t="shared" si="0"/>
        <v>g</v>
      </c>
      <c r="G51" s="140"/>
    </row>
    <row r="52" spans="2:17" ht="36" hidden="1" customHeight="1">
      <c r="B52" s="131"/>
      <c r="C52" s="132"/>
      <c r="D52" s="133"/>
      <c r="E52" s="134"/>
      <c r="F52" s="113" t="str">
        <f t="shared" si="0"/>
        <v>g</v>
      </c>
      <c r="G52" s="140"/>
    </row>
    <row r="53" spans="2:17" ht="36" hidden="1" customHeight="1">
      <c r="B53" s="131"/>
      <c r="C53" s="132"/>
      <c r="D53" s="133"/>
      <c r="E53" s="134"/>
      <c r="F53" s="113" t="str">
        <f t="shared" si="0"/>
        <v>g</v>
      </c>
      <c r="G53" s="140"/>
    </row>
    <row r="54" spans="2:17" ht="36" hidden="1" customHeight="1">
      <c r="B54" s="131"/>
      <c r="C54" s="132"/>
      <c r="D54" s="133"/>
      <c r="E54" s="134"/>
      <c r="F54" s="113" t="str">
        <f t="shared" si="0"/>
        <v>g</v>
      </c>
      <c r="G54" s="140"/>
    </row>
    <row r="55" spans="2:17" ht="36" hidden="1" customHeight="1">
      <c r="B55" s="131"/>
      <c r="C55" s="132"/>
      <c r="D55" s="133"/>
      <c r="E55" s="134"/>
      <c r="F55" s="113" t="str">
        <f t="shared" si="0"/>
        <v>g</v>
      </c>
      <c r="G55" s="140"/>
    </row>
    <row r="56" spans="2:17" ht="36" hidden="1" customHeight="1">
      <c r="B56" s="131"/>
      <c r="C56" s="132"/>
      <c r="D56" s="133"/>
      <c r="E56" s="134"/>
      <c r="F56" s="113" t="str">
        <f t="shared" si="0"/>
        <v>g</v>
      </c>
      <c r="G56" s="140"/>
    </row>
    <row r="57" spans="2:17" ht="36" hidden="1" customHeight="1">
      <c r="B57" s="131"/>
      <c r="C57" s="132"/>
      <c r="D57" s="133"/>
      <c r="E57" s="134"/>
      <c r="F57" s="113" t="str">
        <f t="shared" si="0"/>
        <v>g</v>
      </c>
      <c r="G57" s="140"/>
    </row>
    <row r="58" spans="2:17" ht="36" customHeight="1" thickBot="1">
      <c r="B58" s="135"/>
      <c r="C58" s="136"/>
      <c r="D58" s="137"/>
      <c r="E58" s="138"/>
      <c r="F58" s="114" t="str">
        <f t="shared" si="0"/>
        <v>g</v>
      </c>
      <c r="G58" s="142"/>
    </row>
    <row r="59" spans="2:17" s="4" customFormat="1" ht="32.1" customHeight="1">
      <c r="B59" s="2"/>
      <c r="C59" s="2"/>
      <c r="D59" s="2"/>
      <c r="E59" s="5"/>
      <c r="F59" s="7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7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7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7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7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7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7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7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7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7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7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7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7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G1:H1"/>
    <mergeCell ref="B1:D1"/>
    <mergeCell ref="E1:F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A413-64CD-4FEA-A719-4A1E920C7A72}">
  <sheetPr>
    <pageSetUpPr fitToPage="1"/>
  </sheetPr>
  <dimension ref="B1:Q4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83" t="s">
        <v>6</v>
      </c>
      <c r="C1" s="182"/>
      <c r="D1" s="182"/>
      <c r="E1" s="182"/>
      <c r="F1" s="182"/>
      <c r="G1" s="182"/>
      <c r="H1" s="182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22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26</v>
      </c>
      <c r="D5" s="125"/>
      <c r="E5" s="126" t="str">
        <f>IF($E2=0, "", B5*$E2)</f>
        <v/>
      </c>
      <c r="F5" s="111" t="str">
        <f t="shared" ref="F5:F29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26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6" t="s">
        <v>23</v>
      </c>
      <c r="C8" s="187"/>
      <c r="D8" s="121">
        <f>D5+G6+G7+SUM(D10:D29)</f>
        <v>0</v>
      </c>
      <c r="E8" s="130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134"/>
      <c r="F9" s="113"/>
      <c r="G9" s="140"/>
    </row>
    <row r="10" spans="2:17" ht="36" customHeight="1">
      <c r="B10" s="131"/>
      <c r="C10" s="132"/>
      <c r="D10" s="133"/>
      <c r="E10" s="134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134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134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134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134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134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134"/>
      <c r="F16" s="113" t="str">
        <f t="shared" si="0"/>
        <v>g</v>
      </c>
      <c r="G16" s="140"/>
    </row>
    <row r="17" spans="2:17" ht="36" customHeight="1">
      <c r="B17" s="131"/>
      <c r="C17" s="132"/>
      <c r="D17" s="133"/>
      <c r="E17" s="134"/>
      <c r="F17" s="113" t="str">
        <f t="shared" si="0"/>
        <v>g</v>
      </c>
      <c r="G17" s="140"/>
    </row>
    <row r="18" spans="2:17" ht="36" customHeight="1">
      <c r="B18" s="131"/>
      <c r="C18" s="132"/>
      <c r="D18" s="133"/>
      <c r="E18" s="134"/>
      <c r="F18" s="113" t="str">
        <f t="shared" si="0"/>
        <v>g</v>
      </c>
      <c r="G18" s="140"/>
    </row>
    <row r="19" spans="2:17" ht="36" customHeight="1">
      <c r="B19" s="131"/>
      <c r="C19" s="132"/>
      <c r="D19" s="133"/>
      <c r="E19" s="134"/>
      <c r="F19" s="113" t="str">
        <f t="shared" si="0"/>
        <v>g</v>
      </c>
      <c r="G19" s="140"/>
    </row>
    <row r="20" spans="2:17" ht="36" customHeight="1">
      <c r="B20" s="131"/>
      <c r="C20" s="132"/>
      <c r="D20" s="133"/>
      <c r="E20" s="134"/>
      <c r="F20" s="113" t="str">
        <f t="shared" si="0"/>
        <v>g</v>
      </c>
      <c r="G20" s="140"/>
    </row>
    <row r="21" spans="2:17" ht="36" customHeight="1">
      <c r="B21" s="131"/>
      <c r="C21" s="132"/>
      <c r="D21" s="133"/>
      <c r="E21" s="134"/>
      <c r="F21" s="113" t="str">
        <f t="shared" si="0"/>
        <v>g</v>
      </c>
      <c r="G21" s="140"/>
    </row>
    <row r="22" spans="2:17" ht="36" customHeight="1">
      <c r="B22" s="131"/>
      <c r="C22" s="132"/>
      <c r="D22" s="133"/>
      <c r="E22" s="134"/>
      <c r="F22" s="113" t="str">
        <f t="shared" si="0"/>
        <v>g</v>
      </c>
      <c r="G22" s="140"/>
    </row>
    <row r="23" spans="2:17" ht="36" customHeight="1">
      <c r="B23" s="131"/>
      <c r="C23" s="132"/>
      <c r="D23" s="133"/>
      <c r="E23" s="134"/>
      <c r="F23" s="113" t="str">
        <f t="shared" si="0"/>
        <v>g</v>
      </c>
      <c r="G23" s="140"/>
    </row>
    <row r="24" spans="2:17" ht="36" customHeight="1">
      <c r="B24" s="131"/>
      <c r="C24" s="132"/>
      <c r="D24" s="133"/>
      <c r="E24" s="134"/>
      <c r="F24" s="113" t="str">
        <f t="shared" si="0"/>
        <v>g</v>
      </c>
      <c r="G24" s="140"/>
    </row>
    <row r="25" spans="2:17" ht="36" customHeight="1">
      <c r="B25" s="131"/>
      <c r="C25" s="132"/>
      <c r="D25" s="133"/>
      <c r="E25" s="134"/>
      <c r="F25" s="113" t="str">
        <f t="shared" si="0"/>
        <v>g</v>
      </c>
      <c r="G25" s="140"/>
    </row>
    <row r="26" spans="2:17" ht="36" customHeight="1">
      <c r="B26" s="131"/>
      <c r="C26" s="132"/>
      <c r="D26" s="133"/>
      <c r="E26" s="134"/>
      <c r="F26" s="113" t="str">
        <f t="shared" si="0"/>
        <v>g</v>
      </c>
      <c r="G26" s="140"/>
    </row>
    <row r="27" spans="2:17" ht="36" customHeight="1">
      <c r="B27" s="131"/>
      <c r="C27" s="132"/>
      <c r="D27" s="133"/>
      <c r="E27" s="134"/>
      <c r="F27" s="113" t="str">
        <f t="shared" si="0"/>
        <v>g</v>
      </c>
      <c r="G27" s="140"/>
    </row>
    <row r="28" spans="2:17" ht="36" hidden="1" customHeight="1">
      <c r="B28" s="131"/>
      <c r="C28" s="132"/>
      <c r="D28" s="133"/>
      <c r="E28" s="134"/>
      <c r="F28" s="113" t="str">
        <f t="shared" si="0"/>
        <v>g</v>
      </c>
      <c r="G28" s="140"/>
    </row>
    <row r="29" spans="2:17" ht="36" customHeight="1" thickBot="1">
      <c r="B29" s="135"/>
      <c r="C29" s="136"/>
      <c r="D29" s="137"/>
      <c r="E29" s="138"/>
      <c r="F29" s="114" t="str">
        <f t="shared" si="0"/>
        <v>g</v>
      </c>
      <c r="G29" s="142"/>
    </row>
    <row r="30" spans="2:17" s="4" customFormat="1" ht="32.1" customHeight="1">
      <c r="B30" s="2"/>
      <c r="C30" s="2"/>
      <c r="D30" s="2"/>
      <c r="E30" s="5"/>
      <c r="F30" s="7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s="4" customFormat="1" ht="32.1" customHeight="1">
      <c r="B31" s="2"/>
      <c r="C31" s="2"/>
      <c r="D31" s="2"/>
      <c r="E31" s="5"/>
      <c r="F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s="4" customFormat="1" ht="32.1" customHeight="1">
      <c r="B32" s="2"/>
      <c r="C32" s="2"/>
      <c r="D32" s="2"/>
      <c r="E32" s="5"/>
      <c r="F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s="4" customFormat="1" ht="32.1" customHeight="1">
      <c r="B33" s="2"/>
      <c r="C33" s="2"/>
      <c r="D33" s="2"/>
      <c r="E33" s="5"/>
      <c r="F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s="4" customFormat="1" ht="32.1" customHeight="1">
      <c r="B34" s="2"/>
      <c r="C34" s="2"/>
      <c r="D34" s="2"/>
      <c r="E34" s="5"/>
      <c r="F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s="4" customFormat="1" ht="32.1" customHeight="1">
      <c r="B35" s="2"/>
      <c r="C35" s="2"/>
      <c r="D35" s="2"/>
      <c r="E35" s="5"/>
      <c r="F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s="4" customFormat="1" ht="32.1" customHeight="1">
      <c r="B36" s="2"/>
      <c r="C36" s="2"/>
      <c r="D36" s="2"/>
      <c r="E36" s="5"/>
      <c r="F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s="5" customFormat="1" ht="32.1" customHeight="1">
      <c r="B37" s="2"/>
      <c r="C37" s="2"/>
      <c r="D37" s="2"/>
      <c r="F37" s="7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s="5" customFormat="1" ht="32.1" customHeight="1">
      <c r="B38" s="2"/>
      <c r="C38" s="2"/>
      <c r="D38" s="2"/>
      <c r="F38" s="7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s="5" customFormat="1" ht="32.1" customHeight="1">
      <c r="B39" s="2"/>
      <c r="C39" s="2"/>
      <c r="D39" s="2"/>
      <c r="F39" s="7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s="5" customFormat="1" ht="32.1" customHeight="1">
      <c r="B40" s="2"/>
      <c r="C40" s="2"/>
      <c r="D40" s="2"/>
      <c r="F40" s="7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s="5" customFormat="1" ht="32.1" customHeight="1">
      <c r="B41" s="2"/>
      <c r="C41" s="2"/>
      <c r="D41" s="2"/>
      <c r="F41" s="7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s="5" customFormat="1" ht="32.1" customHeight="1">
      <c r="B42" s="2"/>
      <c r="C42" s="2"/>
      <c r="D42" s="2"/>
      <c r="F42" s="7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9" t="s">
        <v>10</v>
      </c>
      <c r="C1" s="164"/>
      <c r="D1" s="164"/>
      <c r="E1" s="164"/>
      <c r="F1" s="164"/>
      <c r="G1" s="182"/>
      <c r="H1" s="182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22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24</v>
      </c>
      <c r="D5" s="143"/>
      <c r="E5" s="126" t="str">
        <f>IF($E2=0, "", B5*$E2)</f>
        <v/>
      </c>
      <c r="F5" s="111" t="str">
        <f t="shared" ref="F5:F58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26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8" t="s">
        <v>28</v>
      </c>
      <c r="C8" s="189"/>
      <c r="D8" s="121">
        <f>D5+G6+G7+SUM(D10:D58)</f>
        <v>0</v>
      </c>
      <c r="E8" s="130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134"/>
      <c r="F9" s="113"/>
      <c r="G9" s="140"/>
    </row>
    <row r="10" spans="2:17" ht="36" customHeight="1">
      <c r="B10" s="131"/>
      <c r="C10" s="132"/>
      <c r="D10" s="133"/>
      <c r="E10" s="134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134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134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134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134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134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134"/>
      <c r="F16" s="113" t="str">
        <f t="shared" si="0"/>
        <v>g</v>
      </c>
      <c r="G16" s="140"/>
    </row>
    <row r="17" spans="2:7" ht="36" customHeight="1">
      <c r="B17" s="131"/>
      <c r="C17" s="132"/>
      <c r="D17" s="133"/>
      <c r="E17" s="134"/>
      <c r="F17" s="113" t="str">
        <f t="shared" si="0"/>
        <v>g</v>
      </c>
      <c r="G17" s="140"/>
    </row>
    <row r="18" spans="2:7" ht="36" customHeight="1">
      <c r="B18" s="131"/>
      <c r="C18" s="132"/>
      <c r="D18" s="133"/>
      <c r="E18" s="134"/>
      <c r="F18" s="113" t="str">
        <f t="shared" si="0"/>
        <v>g</v>
      </c>
      <c r="G18" s="140"/>
    </row>
    <row r="19" spans="2:7" ht="36" customHeight="1">
      <c r="B19" s="131"/>
      <c r="C19" s="132"/>
      <c r="D19" s="133"/>
      <c r="E19" s="134"/>
      <c r="F19" s="113" t="str">
        <f t="shared" si="0"/>
        <v>g</v>
      </c>
      <c r="G19" s="140"/>
    </row>
    <row r="20" spans="2:7" ht="36" customHeight="1">
      <c r="B20" s="131"/>
      <c r="C20" s="132"/>
      <c r="D20" s="133"/>
      <c r="E20" s="134"/>
      <c r="F20" s="113" t="str">
        <f t="shared" si="0"/>
        <v>g</v>
      </c>
      <c r="G20" s="140"/>
    </row>
    <row r="21" spans="2:7" ht="36" customHeight="1">
      <c r="B21" s="131"/>
      <c r="C21" s="132"/>
      <c r="D21" s="133"/>
      <c r="E21" s="134"/>
      <c r="F21" s="113" t="str">
        <f t="shared" si="0"/>
        <v>g</v>
      </c>
      <c r="G21" s="140"/>
    </row>
    <row r="22" spans="2:7" ht="36" customHeight="1">
      <c r="B22" s="131"/>
      <c r="C22" s="132"/>
      <c r="D22" s="133"/>
      <c r="E22" s="134"/>
      <c r="F22" s="113" t="str">
        <f t="shared" si="0"/>
        <v>g</v>
      </c>
      <c r="G22" s="140"/>
    </row>
    <row r="23" spans="2:7" ht="36" customHeight="1">
      <c r="B23" s="131"/>
      <c r="C23" s="132"/>
      <c r="D23" s="133"/>
      <c r="E23" s="134"/>
      <c r="F23" s="113" t="str">
        <f t="shared" si="0"/>
        <v>g</v>
      </c>
      <c r="G23" s="140"/>
    </row>
    <row r="24" spans="2:7" ht="36" customHeight="1">
      <c r="B24" s="131"/>
      <c r="C24" s="132"/>
      <c r="D24" s="133"/>
      <c r="E24" s="134"/>
      <c r="F24" s="113" t="str">
        <f t="shared" si="0"/>
        <v>g</v>
      </c>
      <c r="G24" s="140"/>
    </row>
    <row r="25" spans="2:7" ht="36" customHeight="1">
      <c r="B25" s="131"/>
      <c r="C25" s="132"/>
      <c r="D25" s="133"/>
      <c r="E25" s="134"/>
      <c r="F25" s="113" t="str">
        <f t="shared" si="0"/>
        <v>g</v>
      </c>
      <c r="G25" s="140"/>
    </row>
    <row r="26" spans="2:7" ht="36" customHeight="1">
      <c r="B26" s="131"/>
      <c r="C26" s="132"/>
      <c r="D26" s="133"/>
      <c r="E26" s="134"/>
      <c r="F26" s="113" t="str">
        <f t="shared" si="0"/>
        <v>g</v>
      </c>
      <c r="G26" s="140"/>
    </row>
    <row r="27" spans="2:7" ht="36" customHeight="1">
      <c r="B27" s="131"/>
      <c r="C27" s="132"/>
      <c r="D27" s="133"/>
      <c r="E27" s="134"/>
      <c r="F27" s="113" t="str">
        <f t="shared" si="0"/>
        <v>g</v>
      </c>
      <c r="G27" s="140"/>
    </row>
    <row r="28" spans="2:7" ht="36" hidden="1" customHeight="1">
      <c r="B28" s="131"/>
      <c r="C28" s="132"/>
      <c r="D28" s="133"/>
      <c r="E28" s="134"/>
      <c r="F28" s="113" t="str">
        <f t="shared" si="0"/>
        <v>g</v>
      </c>
      <c r="G28" s="140"/>
    </row>
    <row r="29" spans="2:7" ht="36" hidden="1" customHeight="1">
      <c r="B29" s="131"/>
      <c r="C29" s="132"/>
      <c r="D29" s="133"/>
      <c r="E29" s="134"/>
      <c r="F29" s="113" t="str">
        <f t="shared" si="0"/>
        <v>g</v>
      </c>
      <c r="G29" s="140"/>
    </row>
    <row r="30" spans="2:7" ht="36" hidden="1" customHeight="1">
      <c r="B30" s="131"/>
      <c r="C30" s="132"/>
      <c r="D30" s="133"/>
      <c r="E30" s="134"/>
      <c r="F30" s="113" t="str">
        <f t="shared" si="0"/>
        <v>g</v>
      </c>
      <c r="G30" s="140"/>
    </row>
    <row r="31" spans="2:7" ht="36" hidden="1" customHeight="1">
      <c r="B31" s="131"/>
      <c r="C31" s="132"/>
      <c r="D31" s="133"/>
      <c r="E31" s="134"/>
      <c r="F31" s="113" t="str">
        <f t="shared" si="0"/>
        <v>g</v>
      </c>
      <c r="G31" s="140"/>
    </row>
    <row r="32" spans="2:7" ht="36" hidden="1" customHeight="1">
      <c r="B32" s="131"/>
      <c r="C32" s="132"/>
      <c r="D32" s="133"/>
      <c r="E32" s="134"/>
      <c r="F32" s="113" t="str">
        <f t="shared" si="0"/>
        <v>g</v>
      </c>
      <c r="G32" s="140"/>
    </row>
    <row r="33" spans="2:7" ht="36" hidden="1" customHeight="1">
      <c r="B33" s="131"/>
      <c r="C33" s="132"/>
      <c r="D33" s="133"/>
      <c r="E33" s="134"/>
      <c r="F33" s="113" t="str">
        <f t="shared" si="0"/>
        <v>g</v>
      </c>
      <c r="G33" s="140"/>
    </row>
    <row r="34" spans="2:7" ht="36" hidden="1" customHeight="1">
      <c r="B34" s="131"/>
      <c r="C34" s="132"/>
      <c r="D34" s="133"/>
      <c r="E34" s="134"/>
      <c r="F34" s="113" t="str">
        <f t="shared" si="0"/>
        <v>g</v>
      </c>
      <c r="G34" s="140"/>
    </row>
    <row r="35" spans="2:7" ht="36" hidden="1" customHeight="1">
      <c r="B35" s="131"/>
      <c r="C35" s="132"/>
      <c r="D35" s="133"/>
      <c r="E35" s="134"/>
      <c r="F35" s="113" t="str">
        <f t="shared" si="0"/>
        <v>g</v>
      </c>
      <c r="G35" s="140"/>
    </row>
    <row r="36" spans="2:7" ht="36" hidden="1" customHeight="1">
      <c r="B36" s="131"/>
      <c r="C36" s="132"/>
      <c r="D36" s="133"/>
      <c r="E36" s="134"/>
      <c r="F36" s="113" t="str">
        <f t="shared" si="0"/>
        <v>g</v>
      </c>
      <c r="G36" s="140"/>
    </row>
    <row r="37" spans="2:7" ht="36" hidden="1" customHeight="1">
      <c r="B37" s="131"/>
      <c r="C37" s="132"/>
      <c r="D37" s="133"/>
      <c r="E37" s="134"/>
      <c r="F37" s="113" t="str">
        <f t="shared" si="0"/>
        <v>g</v>
      </c>
      <c r="G37" s="140"/>
    </row>
    <row r="38" spans="2:7" ht="36" hidden="1" customHeight="1">
      <c r="B38" s="131"/>
      <c r="C38" s="132"/>
      <c r="D38" s="133"/>
      <c r="E38" s="134"/>
      <c r="F38" s="113" t="str">
        <f t="shared" si="0"/>
        <v>g</v>
      </c>
      <c r="G38" s="140"/>
    </row>
    <row r="39" spans="2:7" ht="36" hidden="1" customHeight="1">
      <c r="B39" s="131"/>
      <c r="C39" s="132"/>
      <c r="D39" s="133"/>
      <c r="E39" s="134"/>
      <c r="F39" s="113" t="str">
        <f t="shared" si="0"/>
        <v>g</v>
      </c>
      <c r="G39" s="140"/>
    </row>
    <row r="40" spans="2:7" ht="36" hidden="1" customHeight="1">
      <c r="B40" s="131"/>
      <c r="C40" s="132"/>
      <c r="D40" s="133"/>
      <c r="E40" s="134"/>
      <c r="F40" s="113" t="str">
        <f t="shared" si="0"/>
        <v>g</v>
      </c>
      <c r="G40" s="140"/>
    </row>
    <row r="41" spans="2:7" ht="36" hidden="1" customHeight="1">
      <c r="B41" s="131"/>
      <c r="C41" s="132"/>
      <c r="D41" s="133"/>
      <c r="E41" s="134"/>
      <c r="F41" s="113" t="str">
        <f t="shared" si="0"/>
        <v>g</v>
      </c>
      <c r="G41" s="140"/>
    </row>
    <row r="42" spans="2:7" ht="36" hidden="1" customHeight="1">
      <c r="B42" s="131"/>
      <c r="C42" s="132"/>
      <c r="D42" s="133"/>
      <c r="E42" s="134"/>
      <c r="F42" s="113" t="str">
        <f t="shared" si="0"/>
        <v>g</v>
      </c>
      <c r="G42" s="140"/>
    </row>
    <row r="43" spans="2:7" ht="36" hidden="1" customHeight="1">
      <c r="B43" s="131"/>
      <c r="C43" s="132"/>
      <c r="D43" s="133"/>
      <c r="E43" s="134"/>
      <c r="F43" s="113" t="str">
        <f t="shared" si="0"/>
        <v>g</v>
      </c>
      <c r="G43" s="140"/>
    </row>
    <row r="44" spans="2:7" ht="36" hidden="1" customHeight="1">
      <c r="B44" s="131"/>
      <c r="C44" s="132"/>
      <c r="D44" s="133"/>
      <c r="E44" s="134"/>
      <c r="F44" s="113" t="str">
        <f t="shared" si="0"/>
        <v>g</v>
      </c>
      <c r="G44" s="140"/>
    </row>
    <row r="45" spans="2:7" ht="36" hidden="1" customHeight="1">
      <c r="B45" s="131"/>
      <c r="C45" s="132"/>
      <c r="D45" s="133"/>
      <c r="E45" s="134"/>
      <c r="F45" s="113" t="str">
        <f t="shared" si="0"/>
        <v>g</v>
      </c>
      <c r="G45" s="140"/>
    </row>
    <row r="46" spans="2:7" ht="36" hidden="1" customHeight="1">
      <c r="B46" s="131"/>
      <c r="C46" s="132"/>
      <c r="D46" s="133"/>
      <c r="E46" s="134"/>
      <c r="F46" s="113" t="str">
        <f t="shared" si="0"/>
        <v>g</v>
      </c>
      <c r="G46" s="140"/>
    </row>
    <row r="47" spans="2:7" ht="36" hidden="1" customHeight="1">
      <c r="B47" s="131"/>
      <c r="C47" s="132"/>
      <c r="D47" s="133"/>
      <c r="E47" s="134"/>
      <c r="F47" s="113" t="str">
        <f t="shared" si="0"/>
        <v>g</v>
      </c>
      <c r="G47" s="140"/>
    </row>
    <row r="48" spans="2:7" ht="36" hidden="1" customHeight="1">
      <c r="B48" s="131"/>
      <c r="C48" s="132"/>
      <c r="D48" s="133"/>
      <c r="E48" s="134"/>
      <c r="F48" s="113" t="str">
        <f t="shared" si="0"/>
        <v>g</v>
      </c>
      <c r="G48" s="140"/>
    </row>
    <row r="49" spans="2:17" ht="36" hidden="1" customHeight="1">
      <c r="B49" s="131"/>
      <c r="C49" s="132"/>
      <c r="D49" s="133"/>
      <c r="E49" s="134"/>
      <c r="F49" s="113" t="str">
        <f t="shared" si="0"/>
        <v>g</v>
      </c>
      <c r="G49" s="140"/>
    </row>
    <row r="50" spans="2:17" ht="36" hidden="1" customHeight="1">
      <c r="B50" s="131"/>
      <c r="C50" s="132"/>
      <c r="D50" s="133"/>
      <c r="E50" s="134"/>
      <c r="F50" s="113" t="str">
        <f t="shared" si="0"/>
        <v>g</v>
      </c>
      <c r="G50" s="140"/>
    </row>
    <row r="51" spans="2:17" ht="36" hidden="1" customHeight="1">
      <c r="B51" s="131"/>
      <c r="C51" s="132"/>
      <c r="D51" s="133"/>
      <c r="E51" s="134"/>
      <c r="F51" s="113" t="str">
        <f t="shared" si="0"/>
        <v>g</v>
      </c>
      <c r="G51" s="140"/>
    </row>
    <row r="52" spans="2:17" ht="36" hidden="1" customHeight="1">
      <c r="B52" s="131"/>
      <c r="C52" s="132"/>
      <c r="D52" s="133"/>
      <c r="E52" s="134"/>
      <c r="F52" s="113" t="str">
        <f t="shared" si="0"/>
        <v>g</v>
      </c>
      <c r="G52" s="140"/>
    </row>
    <row r="53" spans="2:17" ht="36" hidden="1" customHeight="1">
      <c r="B53" s="131"/>
      <c r="C53" s="132"/>
      <c r="D53" s="133"/>
      <c r="E53" s="134"/>
      <c r="F53" s="113" t="str">
        <f t="shared" si="0"/>
        <v>g</v>
      </c>
      <c r="G53" s="140"/>
    </row>
    <row r="54" spans="2:17" ht="36" hidden="1" customHeight="1">
      <c r="B54" s="131"/>
      <c r="C54" s="132"/>
      <c r="D54" s="133"/>
      <c r="E54" s="134"/>
      <c r="F54" s="113" t="str">
        <f t="shared" si="0"/>
        <v>g</v>
      </c>
      <c r="G54" s="140"/>
    </row>
    <row r="55" spans="2:17" ht="36" hidden="1" customHeight="1">
      <c r="B55" s="131"/>
      <c r="C55" s="132"/>
      <c r="D55" s="133"/>
      <c r="E55" s="134"/>
      <c r="F55" s="113" t="str">
        <f t="shared" si="0"/>
        <v>g</v>
      </c>
      <c r="G55" s="140"/>
    </row>
    <row r="56" spans="2:17" ht="36" hidden="1" customHeight="1">
      <c r="B56" s="131"/>
      <c r="C56" s="132"/>
      <c r="D56" s="133"/>
      <c r="E56" s="134"/>
      <c r="F56" s="113" t="str">
        <f t="shared" si="0"/>
        <v>g</v>
      </c>
      <c r="G56" s="140"/>
    </row>
    <row r="57" spans="2:17" ht="36" hidden="1" customHeight="1">
      <c r="B57" s="131"/>
      <c r="C57" s="132"/>
      <c r="D57" s="133"/>
      <c r="E57" s="134"/>
      <c r="F57" s="113" t="str">
        <f t="shared" si="0"/>
        <v>g</v>
      </c>
      <c r="G57" s="140"/>
    </row>
    <row r="58" spans="2:17" ht="36" customHeight="1" thickBot="1">
      <c r="B58" s="135"/>
      <c r="C58" s="136"/>
      <c r="D58" s="137"/>
      <c r="E58" s="138"/>
      <c r="F58" s="114" t="str">
        <f t="shared" si="0"/>
        <v>g</v>
      </c>
      <c r="G58" s="142"/>
    </row>
    <row r="59" spans="2:17" s="4" customFormat="1" ht="32.1" customHeight="1">
      <c r="B59" s="2"/>
      <c r="C59" s="2"/>
      <c r="D59" s="2"/>
      <c r="E59" s="5"/>
      <c r="F59" s="7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7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7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7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7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7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7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7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7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7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7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7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7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E615-BC00-48DE-AAED-B7AFD0950290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9" t="s">
        <v>10</v>
      </c>
      <c r="C1" s="164"/>
      <c r="D1" s="164"/>
      <c r="E1" s="164"/>
      <c r="F1" s="164"/>
      <c r="G1" s="182"/>
      <c r="H1" s="182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22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24</v>
      </c>
      <c r="D5" s="143"/>
      <c r="E5" s="126" t="str">
        <f>IF($E2=0, "", B5*$E2)</f>
        <v/>
      </c>
      <c r="F5" s="111" t="str">
        <f t="shared" ref="F5:F58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26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8" t="s">
        <v>28</v>
      </c>
      <c r="C8" s="189"/>
      <c r="D8" s="121">
        <f>D5+G6+G7+SUM(D10:D58)</f>
        <v>0</v>
      </c>
      <c r="E8" s="130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134"/>
      <c r="F9" s="113"/>
      <c r="G9" s="140"/>
    </row>
    <row r="10" spans="2:17" ht="36" customHeight="1">
      <c r="B10" s="131"/>
      <c r="C10" s="132"/>
      <c r="D10" s="133"/>
      <c r="E10" s="134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134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134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134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134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134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134"/>
      <c r="F16" s="113" t="str">
        <f t="shared" si="0"/>
        <v>g</v>
      </c>
      <c r="G16" s="140"/>
    </row>
    <row r="17" spans="2:7" ht="36" customHeight="1">
      <c r="B17" s="131"/>
      <c r="C17" s="132"/>
      <c r="D17" s="133"/>
      <c r="E17" s="134"/>
      <c r="F17" s="113" t="str">
        <f t="shared" si="0"/>
        <v>g</v>
      </c>
      <c r="G17" s="140"/>
    </row>
    <row r="18" spans="2:7" ht="36" customHeight="1">
      <c r="B18" s="131"/>
      <c r="C18" s="132"/>
      <c r="D18" s="133"/>
      <c r="E18" s="134"/>
      <c r="F18" s="113" t="str">
        <f t="shared" si="0"/>
        <v>g</v>
      </c>
      <c r="G18" s="140"/>
    </row>
    <row r="19" spans="2:7" ht="36" customHeight="1">
      <c r="B19" s="131"/>
      <c r="C19" s="132"/>
      <c r="D19" s="133"/>
      <c r="E19" s="134"/>
      <c r="F19" s="113" t="str">
        <f t="shared" si="0"/>
        <v>g</v>
      </c>
      <c r="G19" s="140"/>
    </row>
    <row r="20" spans="2:7" ht="36" customHeight="1">
      <c r="B20" s="131"/>
      <c r="C20" s="132"/>
      <c r="D20" s="133"/>
      <c r="E20" s="134"/>
      <c r="F20" s="113" t="str">
        <f t="shared" si="0"/>
        <v>g</v>
      </c>
      <c r="G20" s="140"/>
    </row>
    <row r="21" spans="2:7" ht="36" customHeight="1">
      <c r="B21" s="131"/>
      <c r="C21" s="132"/>
      <c r="D21" s="133"/>
      <c r="E21" s="134"/>
      <c r="F21" s="113" t="str">
        <f t="shared" si="0"/>
        <v>g</v>
      </c>
      <c r="G21" s="140"/>
    </row>
    <row r="22" spans="2:7" ht="36" customHeight="1">
      <c r="B22" s="131"/>
      <c r="C22" s="132"/>
      <c r="D22" s="133"/>
      <c r="E22" s="134"/>
      <c r="F22" s="113" t="str">
        <f t="shared" si="0"/>
        <v>g</v>
      </c>
      <c r="G22" s="140"/>
    </row>
    <row r="23" spans="2:7" ht="36" customHeight="1">
      <c r="B23" s="131"/>
      <c r="C23" s="132"/>
      <c r="D23" s="133"/>
      <c r="E23" s="134"/>
      <c r="F23" s="113" t="str">
        <f t="shared" si="0"/>
        <v>g</v>
      </c>
      <c r="G23" s="140"/>
    </row>
    <row r="24" spans="2:7" ht="36" customHeight="1">
      <c r="B24" s="131"/>
      <c r="C24" s="132"/>
      <c r="D24" s="133"/>
      <c r="E24" s="134"/>
      <c r="F24" s="113" t="str">
        <f t="shared" si="0"/>
        <v>g</v>
      </c>
      <c r="G24" s="140"/>
    </row>
    <row r="25" spans="2:7" ht="36" customHeight="1">
      <c r="B25" s="131"/>
      <c r="C25" s="132"/>
      <c r="D25" s="133"/>
      <c r="E25" s="134"/>
      <c r="F25" s="113" t="str">
        <f t="shared" si="0"/>
        <v>g</v>
      </c>
      <c r="G25" s="140"/>
    </row>
    <row r="26" spans="2:7" ht="36" customHeight="1">
      <c r="B26" s="131"/>
      <c r="C26" s="132"/>
      <c r="D26" s="133"/>
      <c r="E26" s="134"/>
      <c r="F26" s="113" t="str">
        <f t="shared" si="0"/>
        <v>g</v>
      </c>
      <c r="G26" s="140"/>
    </row>
    <row r="27" spans="2:7" ht="36" customHeight="1">
      <c r="B27" s="131"/>
      <c r="C27" s="132"/>
      <c r="D27" s="133"/>
      <c r="E27" s="134"/>
      <c r="F27" s="113" t="str">
        <f t="shared" si="0"/>
        <v>g</v>
      </c>
      <c r="G27" s="140"/>
    </row>
    <row r="28" spans="2:7" ht="36" hidden="1" customHeight="1">
      <c r="B28" s="131"/>
      <c r="C28" s="132"/>
      <c r="D28" s="133"/>
      <c r="E28" s="134"/>
      <c r="F28" s="113" t="str">
        <f t="shared" si="0"/>
        <v>g</v>
      </c>
      <c r="G28" s="140"/>
    </row>
    <row r="29" spans="2:7" ht="36" hidden="1" customHeight="1">
      <c r="B29" s="131"/>
      <c r="C29" s="132"/>
      <c r="D29" s="133"/>
      <c r="E29" s="134"/>
      <c r="F29" s="113" t="str">
        <f t="shared" si="0"/>
        <v>g</v>
      </c>
      <c r="G29" s="140"/>
    </row>
    <row r="30" spans="2:7" ht="36" hidden="1" customHeight="1">
      <c r="B30" s="131"/>
      <c r="C30" s="132"/>
      <c r="D30" s="133"/>
      <c r="E30" s="134"/>
      <c r="F30" s="113" t="str">
        <f t="shared" si="0"/>
        <v>g</v>
      </c>
      <c r="G30" s="140"/>
    </row>
    <row r="31" spans="2:7" ht="36" hidden="1" customHeight="1">
      <c r="B31" s="131"/>
      <c r="C31" s="132"/>
      <c r="D31" s="133"/>
      <c r="E31" s="134"/>
      <c r="F31" s="113" t="str">
        <f t="shared" si="0"/>
        <v>g</v>
      </c>
      <c r="G31" s="140"/>
    </row>
    <row r="32" spans="2:7" ht="36" hidden="1" customHeight="1">
      <c r="B32" s="131"/>
      <c r="C32" s="132"/>
      <c r="D32" s="133"/>
      <c r="E32" s="134"/>
      <c r="F32" s="113" t="str">
        <f t="shared" si="0"/>
        <v>g</v>
      </c>
      <c r="G32" s="140"/>
    </row>
    <row r="33" spans="2:7" ht="36" hidden="1" customHeight="1">
      <c r="B33" s="131"/>
      <c r="C33" s="132"/>
      <c r="D33" s="133"/>
      <c r="E33" s="134"/>
      <c r="F33" s="113" t="str">
        <f t="shared" si="0"/>
        <v>g</v>
      </c>
      <c r="G33" s="140"/>
    </row>
    <row r="34" spans="2:7" ht="36" hidden="1" customHeight="1">
      <c r="B34" s="131"/>
      <c r="C34" s="132"/>
      <c r="D34" s="133"/>
      <c r="E34" s="134"/>
      <c r="F34" s="113" t="str">
        <f t="shared" si="0"/>
        <v>g</v>
      </c>
      <c r="G34" s="140"/>
    </row>
    <row r="35" spans="2:7" ht="36" hidden="1" customHeight="1">
      <c r="B35" s="131"/>
      <c r="C35" s="132"/>
      <c r="D35" s="133"/>
      <c r="E35" s="134"/>
      <c r="F35" s="113" t="str">
        <f t="shared" si="0"/>
        <v>g</v>
      </c>
      <c r="G35" s="140"/>
    </row>
    <row r="36" spans="2:7" ht="36" hidden="1" customHeight="1">
      <c r="B36" s="131"/>
      <c r="C36" s="132"/>
      <c r="D36" s="133"/>
      <c r="E36" s="134"/>
      <c r="F36" s="113" t="str">
        <f t="shared" si="0"/>
        <v>g</v>
      </c>
      <c r="G36" s="140"/>
    </row>
    <row r="37" spans="2:7" ht="36" hidden="1" customHeight="1">
      <c r="B37" s="131"/>
      <c r="C37" s="132"/>
      <c r="D37" s="133"/>
      <c r="E37" s="134"/>
      <c r="F37" s="113" t="str">
        <f t="shared" si="0"/>
        <v>g</v>
      </c>
      <c r="G37" s="140"/>
    </row>
    <row r="38" spans="2:7" ht="36" hidden="1" customHeight="1">
      <c r="B38" s="131"/>
      <c r="C38" s="132"/>
      <c r="D38" s="133"/>
      <c r="E38" s="134"/>
      <c r="F38" s="113" t="str">
        <f t="shared" si="0"/>
        <v>g</v>
      </c>
      <c r="G38" s="140"/>
    </row>
    <row r="39" spans="2:7" ht="36" hidden="1" customHeight="1">
      <c r="B39" s="131"/>
      <c r="C39" s="132"/>
      <c r="D39" s="133"/>
      <c r="E39" s="134"/>
      <c r="F39" s="113" t="str">
        <f t="shared" si="0"/>
        <v>g</v>
      </c>
      <c r="G39" s="140"/>
    </row>
    <row r="40" spans="2:7" ht="36" hidden="1" customHeight="1">
      <c r="B40" s="131"/>
      <c r="C40" s="132"/>
      <c r="D40" s="133"/>
      <c r="E40" s="134"/>
      <c r="F40" s="113" t="str">
        <f t="shared" si="0"/>
        <v>g</v>
      </c>
      <c r="G40" s="140"/>
    </row>
    <row r="41" spans="2:7" ht="36" hidden="1" customHeight="1">
      <c r="B41" s="131"/>
      <c r="C41" s="132"/>
      <c r="D41" s="133"/>
      <c r="E41" s="134"/>
      <c r="F41" s="113" t="str">
        <f t="shared" si="0"/>
        <v>g</v>
      </c>
      <c r="G41" s="140"/>
    </row>
    <row r="42" spans="2:7" ht="36" hidden="1" customHeight="1">
      <c r="B42" s="131"/>
      <c r="C42" s="132"/>
      <c r="D42" s="133"/>
      <c r="E42" s="134"/>
      <c r="F42" s="113" t="str">
        <f t="shared" si="0"/>
        <v>g</v>
      </c>
      <c r="G42" s="140"/>
    </row>
    <row r="43" spans="2:7" ht="36" hidden="1" customHeight="1">
      <c r="B43" s="131"/>
      <c r="C43" s="132"/>
      <c r="D43" s="133"/>
      <c r="E43" s="134"/>
      <c r="F43" s="113" t="str">
        <f t="shared" si="0"/>
        <v>g</v>
      </c>
      <c r="G43" s="140"/>
    </row>
    <row r="44" spans="2:7" ht="36" hidden="1" customHeight="1">
      <c r="B44" s="131"/>
      <c r="C44" s="132"/>
      <c r="D44" s="133"/>
      <c r="E44" s="134"/>
      <c r="F44" s="113" t="str">
        <f t="shared" si="0"/>
        <v>g</v>
      </c>
      <c r="G44" s="140"/>
    </row>
    <row r="45" spans="2:7" ht="36" hidden="1" customHeight="1">
      <c r="B45" s="131"/>
      <c r="C45" s="132"/>
      <c r="D45" s="133"/>
      <c r="E45" s="134"/>
      <c r="F45" s="113" t="str">
        <f t="shared" si="0"/>
        <v>g</v>
      </c>
      <c r="G45" s="140"/>
    </row>
    <row r="46" spans="2:7" ht="36" hidden="1" customHeight="1">
      <c r="B46" s="131"/>
      <c r="C46" s="132"/>
      <c r="D46" s="133"/>
      <c r="E46" s="134"/>
      <c r="F46" s="113" t="str">
        <f t="shared" si="0"/>
        <v>g</v>
      </c>
      <c r="G46" s="140"/>
    </row>
    <row r="47" spans="2:7" ht="36" hidden="1" customHeight="1">
      <c r="B47" s="131"/>
      <c r="C47" s="132"/>
      <c r="D47" s="133"/>
      <c r="E47" s="134"/>
      <c r="F47" s="113" t="str">
        <f t="shared" si="0"/>
        <v>g</v>
      </c>
      <c r="G47" s="140"/>
    </row>
    <row r="48" spans="2:7" ht="36" hidden="1" customHeight="1">
      <c r="B48" s="131"/>
      <c r="C48" s="132"/>
      <c r="D48" s="133"/>
      <c r="E48" s="134"/>
      <c r="F48" s="113" t="str">
        <f t="shared" si="0"/>
        <v>g</v>
      </c>
      <c r="G48" s="140"/>
    </row>
    <row r="49" spans="2:17" ht="36" hidden="1" customHeight="1">
      <c r="B49" s="131"/>
      <c r="C49" s="132"/>
      <c r="D49" s="133"/>
      <c r="E49" s="134"/>
      <c r="F49" s="113" t="str">
        <f t="shared" si="0"/>
        <v>g</v>
      </c>
      <c r="G49" s="140"/>
    </row>
    <row r="50" spans="2:17" ht="36" hidden="1" customHeight="1">
      <c r="B50" s="131"/>
      <c r="C50" s="132"/>
      <c r="D50" s="133"/>
      <c r="E50" s="134"/>
      <c r="F50" s="113" t="str">
        <f t="shared" si="0"/>
        <v>g</v>
      </c>
      <c r="G50" s="140"/>
    </row>
    <row r="51" spans="2:17" ht="36" hidden="1" customHeight="1">
      <c r="B51" s="131"/>
      <c r="C51" s="132"/>
      <c r="D51" s="133"/>
      <c r="E51" s="134"/>
      <c r="F51" s="113" t="str">
        <f t="shared" si="0"/>
        <v>g</v>
      </c>
      <c r="G51" s="140"/>
    </row>
    <row r="52" spans="2:17" ht="36" hidden="1" customHeight="1">
      <c r="B52" s="131"/>
      <c r="C52" s="132"/>
      <c r="D52" s="133"/>
      <c r="E52" s="134"/>
      <c r="F52" s="113" t="str">
        <f t="shared" si="0"/>
        <v>g</v>
      </c>
      <c r="G52" s="140"/>
    </row>
    <row r="53" spans="2:17" ht="36" hidden="1" customHeight="1">
      <c r="B53" s="131"/>
      <c r="C53" s="132"/>
      <c r="D53" s="133"/>
      <c r="E53" s="134"/>
      <c r="F53" s="113" t="str">
        <f t="shared" si="0"/>
        <v>g</v>
      </c>
      <c r="G53" s="140"/>
    </row>
    <row r="54" spans="2:17" ht="36" hidden="1" customHeight="1">
      <c r="B54" s="131"/>
      <c r="C54" s="132"/>
      <c r="D54" s="133"/>
      <c r="E54" s="134"/>
      <c r="F54" s="113" t="str">
        <f t="shared" si="0"/>
        <v>g</v>
      </c>
      <c r="G54" s="140"/>
    </row>
    <row r="55" spans="2:17" ht="36" hidden="1" customHeight="1">
      <c r="B55" s="131"/>
      <c r="C55" s="132"/>
      <c r="D55" s="133"/>
      <c r="E55" s="134"/>
      <c r="F55" s="113" t="str">
        <f t="shared" si="0"/>
        <v>g</v>
      </c>
      <c r="G55" s="140"/>
    </row>
    <row r="56" spans="2:17" ht="36" hidden="1" customHeight="1">
      <c r="B56" s="131"/>
      <c r="C56" s="132"/>
      <c r="D56" s="133"/>
      <c r="E56" s="134"/>
      <c r="F56" s="113" t="str">
        <f t="shared" si="0"/>
        <v>g</v>
      </c>
      <c r="G56" s="140"/>
    </row>
    <row r="57" spans="2:17" ht="36" hidden="1" customHeight="1">
      <c r="B57" s="131"/>
      <c r="C57" s="132"/>
      <c r="D57" s="133"/>
      <c r="E57" s="134"/>
      <c r="F57" s="113" t="str">
        <f t="shared" si="0"/>
        <v>g</v>
      </c>
      <c r="G57" s="140"/>
    </row>
    <row r="58" spans="2:17" ht="36" customHeight="1" thickBot="1">
      <c r="B58" s="135"/>
      <c r="C58" s="136"/>
      <c r="D58" s="137"/>
      <c r="E58" s="138"/>
      <c r="F58" s="114" t="str">
        <f t="shared" si="0"/>
        <v>g</v>
      </c>
      <c r="G58" s="142"/>
    </row>
    <row r="59" spans="2:17" s="4" customFormat="1" ht="32.1" customHeight="1">
      <c r="B59" s="2"/>
      <c r="C59" s="2"/>
      <c r="D59" s="2"/>
      <c r="E59" s="5"/>
      <c r="F59" s="7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7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7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7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7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7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7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7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7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7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7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7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7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0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9" t="s">
        <v>11</v>
      </c>
      <c r="C1" s="164"/>
      <c r="D1" s="164"/>
      <c r="E1" s="179"/>
      <c r="F1" s="179"/>
      <c r="G1" s="183"/>
      <c r="H1" s="183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44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24</v>
      </c>
      <c r="D5" s="143"/>
      <c r="E5" s="145" t="str">
        <f>IF($E2=0, "", B5*$E2)</f>
        <v/>
      </c>
      <c r="F5" s="111" t="str">
        <f t="shared" ref="F5:F59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45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8" t="s">
        <v>29</v>
      </c>
      <c r="C8" s="189"/>
      <c r="D8" s="121">
        <f>D5+G6+G7+SUM(D10:D59)</f>
        <v>0</v>
      </c>
      <c r="E8" s="72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77"/>
      <c r="F9" s="113"/>
      <c r="G9" s="140"/>
    </row>
    <row r="10" spans="2:17" ht="36" customHeight="1">
      <c r="B10" s="131"/>
      <c r="C10" s="132"/>
      <c r="D10" s="133"/>
      <c r="E10" s="77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77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77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77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77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77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77"/>
      <c r="F16" s="113" t="str">
        <f t="shared" si="0"/>
        <v>g</v>
      </c>
      <c r="G16" s="140"/>
    </row>
    <row r="17" spans="2:7" ht="36" customHeight="1">
      <c r="B17" s="131"/>
      <c r="C17" s="132"/>
      <c r="D17" s="133"/>
      <c r="E17" s="77"/>
      <c r="F17" s="113" t="str">
        <f t="shared" si="0"/>
        <v>g</v>
      </c>
      <c r="G17" s="140"/>
    </row>
    <row r="18" spans="2:7" ht="36" customHeight="1">
      <c r="B18" s="131"/>
      <c r="C18" s="132"/>
      <c r="D18" s="133"/>
      <c r="E18" s="77"/>
      <c r="F18" s="113" t="str">
        <f t="shared" si="0"/>
        <v>g</v>
      </c>
      <c r="G18" s="140"/>
    </row>
    <row r="19" spans="2:7" ht="36" customHeight="1">
      <c r="B19" s="131"/>
      <c r="C19" s="132"/>
      <c r="D19" s="133"/>
      <c r="E19" s="77"/>
      <c r="F19" s="113" t="str">
        <f t="shared" si="0"/>
        <v>g</v>
      </c>
      <c r="G19" s="140"/>
    </row>
    <row r="20" spans="2:7" ht="36" customHeight="1">
      <c r="B20" s="131"/>
      <c r="C20" s="132"/>
      <c r="D20" s="133"/>
      <c r="E20" s="77"/>
      <c r="F20" s="113" t="str">
        <f t="shared" si="0"/>
        <v>g</v>
      </c>
      <c r="G20" s="140"/>
    </row>
    <row r="21" spans="2:7" ht="36" customHeight="1">
      <c r="B21" s="131"/>
      <c r="C21" s="132"/>
      <c r="D21" s="133"/>
      <c r="E21" s="77"/>
      <c r="F21" s="113" t="str">
        <f t="shared" si="0"/>
        <v>g</v>
      </c>
      <c r="G21" s="140"/>
    </row>
    <row r="22" spans="2:7" ht="36" customHeight="1">
      <c r="B22" s="131"/>
      <c r="C22" s="132"/>
      <c r="D22" s="133"/>
      <c r="E22" s="77"/>
      <c r="F22" s="113" t="str">
        <f t="shared" si="0"/>
        <v>g</v>
      </c>
      <c r="G22" s="140"/>
    </row>
    <row r="23" spans="2:7" ht="36" customHeight="1">
      <c r="B23" s="131"/>
      <c r="C23" s="132"/>
      <c r="D23" s="133"/>
      <c r="E23" s="77"/>
      <c r="F23" s="113" t="str">
        <f t="shared" si="0"/>
        <v>g</v>
      </c>
      <c r="G23" s="140"/>
    </row>
    <row r="24" spans="2:7" ht="36" customHeight="1">
      <c r="B24" s="131"/>
      <c r="C24" s="132"/>
      <c r="D24" s="133"/>
      <c r="E24" s="77"/>
      <c r="F24" s="113" t="str">
        <f t="shared" si="0"/>
        <v>g</v>
      </c>
      <c r="G24" s="140"/>
    </row>
    <row r="25" spans="2:7" ht="36" customHeight="1">
      <c r="B25" s="131"/>
      <c r="C25" s="132"/>
      <c r="D25" s="133"/>
      <c r="E25" s="77"/>
      <c r="F25" s="113" t="str">
        <f t="shared" si="0"/>
        <v>g</v>
      </c>
      <c r="G25" s="140"/>
    </row>
    <row r="26" spans="2:7" ht="36" hidden="1" customHeight="1">
      <c r="B26" s="131"/>
      <c r="C26" s="132"/>
      <c r="D26" s="133"/>
      <c r="E26" s="77"/>
      <c r="F26" s="113" t="str">
        <f t="shared" si="0"/>
        <v>g</v>
      </c>
      <c r="G26" s="140"/>
    </row>
    <row r="27" spans="2:7" ht="36" hidden="1" customHeight="1">
      <c r="B27" s="131"/>
      <c r="C27" s="132"/>
      <c r="D27" s="133"/>
      <c r="E27" s="77"/>
      <c r="F27" s="113" t="str">
        <f t="shared" si="0"/>
        <v>g</v>
      </c>
      <c r="G27" s="140"/>
    </row>
    <row r="28" spans="2:7" ht="36" hidden="1" customHeight="1">
      <c r="B28" s="131"/>
      <c r="C28" s="132"/>
      <c r="D28" s="133"/>
      <c r="E28" s="77"/>
      <c r="F28" s="113" t="str">
        <f t="shared" si="0"/>
        <v>g</v>
      </c>
      <c r="G28" s="140"/>
    </row>
    <row r="29" spans="2:7" ht="36" hidden="1" customHeight="1">
      <c r="B29" s="131"/>
      <c r="C29" s="132"/>
      <c r="D29" s="133"/>
      <c r="E29" s="77"/>
      <c r="F29" s="113" t="str">
        <f t="shared" si="0"/>
        <v>g</v>
      </c>
      <c r="G29" s="140"/>
    </row>
    <row r="30" spans="2:7" ht="36" hidden="1" customHeight="1">
      <c r="B30" s="131"/>
      <c r="C30" s="132"/>
      <c r="D30" s="133"/>
      <c r="E30" s="77"/>
      <c r="F30" s="113" t="str">
        <f t="shared" si="0"/>
        <v>g</v>
      </c>
      <c r="G30" s="140"/>
    </row>
    <row r="31" spans="2:7" ht="36" hidden="1" customHeight="1">
      <c r="B31" s="131"/>
      <c r="C31" s="132"/>
      <c r="D31" s="133"/>
      <c r="E31" s="77"/>
      <c r="F31" s="113" t="str">
        <f t="shared" si="0"/>
        <v>g</v>
      </c>
      <c r="G31" s="140"/>
    </row>
    <row r="32" spans="2:7" ht="36" hidden="1" customHeight="1">
      <c r="B32" s="131"/>
      <c r="C32" s="132"/>
      <c r="D32" s="133"/>
      <c r="E32" s="77"/>
      <c r="F32" s="113" t="str">
        <f t="shared" si="0"/>
        <v>g</v>
      </c>
      <c r="G32" s="140"/>
    </row>
    <row r="33" spans="2:7" ht="36" hidden="1" customHeight="1">
      <c r="B33" s="131"/>
      <c r="C33" s="132"/>
      <c r="D33" s="133"/>
      <c r="E33" s="77"/>
      <c r="F33" s="113" t="str">
        <f t="shared" si="0"/>
        <v>g</v>
      </c>
      <c r="G33" s="140"/>
    </row>
    <row r="34" spans="2:7" ht="36" hidden="1" customHeight="1">
      <c r="B34" s="131"/>
      <c r="C34" s="132"/>
      <c r="D34" s="133"/>
      <c r="E34" s="77"/>
      <c r="F34" s="113" t="str">
        <f t="shared" si="0"/>
        <v>g</v>
      </c>
      <c r="G34" s="140"/>
    </row>
    <row r="35" spans="2:7" ht="36" hidden="1" customHeight="1">
      <c r="B35" s="131"/>
      <c r="C35" s="132"/>
      <c r="D35" s="133"/>
      <c r="E35" s="77"/>
      <c r="F35" s="113" t="str">
        <f t="shared" si="0"/>
        <v>g</v>
      </c>
      <c r="G35" s="140"/>
    </row>
    <row r="36" spans="2:7" ht="36" hidden="1" customHeight="1">
      <c r="B36" s="131"/>
      <c r="C36" s="132"/>
      <c r="D36" s="133"/>
      <c r="E36" s="77"/>
      <c r="F36" s="113" t="str">
        <f t="shared" si="0"/>
        <v>g</v>
      </c>
      <c r="G36" s="140"/>
    </row>
    <row r="37" spans="2:7" ht="36" hidden="1" customHeight="1">
      <c r="B37" s="131"/>
      <c r="C37" s="132"/>
      <c r="D37" s="133"/>
      <c r="E37" s="77"/>
      <c r="F37" s="113" t="str">
        <f t="shared" si="0"/>
        <v>g</v>
      </c>
      <c r="G37" s="140"/>
    </row>
    <row r="38" spans="2:7" ht="36" hidden="1" customHeight="1">
      <c r="B38" s="131"/>
      <c r="C38" s="132"/>
      <c r="D38" s="133"/>
      <c r="E38" s="77"/>
      <c r="F38" s="113" t="str">
        <f t="shared" si="0"/>
        <v>g</v>
      </c>
      <c r="G38" s="140"/>
    </row>
    <row r="39" spans="2:7" ht="36" hidden="1" customHeight="1">
      <c r="B39" s="131"/>
      <c r="C39" s="132"/>
      <c r="D39" s="133"/>
      <c r="E39" s="77"/>
      <c r="F39" s="113" t="str">
        <f t="shared" si="0"/>
        <v>g</v>
      </c>
      <c r="G39" s="140"/>
    </row>
    <row r="40" spans="2:7" ht="36" hidden="1" customHeight="1">
      <c r="B40" s="131"/>
      <c r="C40" s="132"/>
      <c r="D40" s="133"/>
      <c r="E40" s="77"/>
      <c r="F40" s="113" t="str">
        <f t="shared" si="0"/>
        <v>g</v>
      </c>
      <c r="G40" s="140"/>
    </row>
    <row r="41" spans="2:7" ht="36" hidden="1" customHeight="1">
      <c r="B41" s="131"/>
      <c r="C41" s="132"/>
      <c r="D41" s="133"/>
      <c r="E41" s="77"/>
      <c r="F41" s="113" t="str">
        <f t="shared" si="0"/>
        <v>g</v>
      </c>
      <c r="G41" s="140"/>
    </row>
    <row r="42" spans="2:7" ht="36" hidden="1" customHeight="1">
      <c r="B42" s="131"/>
      <c r="C42" s="132"/>
      <c r="D42" s="133"/>
      <c r="E42" s="77"/>
      <c r="F42" s="113" t="str">
        <f t="shared" si="0"/>
        <v>g</v>
      </c>
      <c r="G42" s="140"/>
    </row>
    <row r="43" spans="2:7" ht="36" hidden="1" customHeight="1">
      <c r="B43" s="131"/>
      <c r="C43" s="132"/>
      <c r="D43" s="133"/>
      <c r="E43" s="77"/>
      <c r="F43" s="113" t="str">
        <f t="shared" si="0"/>
        <v>g</v>
      </c>
      <c r="G43" s="140"/>
    </row>
    <row r="44" spans="2:7" ht="36" hidden="1" customHeight="1">
      <c r="B44" s="131"/>
      <c r="C44" s="132"/>
      <c r="D44" s="133"/>
      <c r="E44" s="77"/>
      <c r="F44" s="113" t="str">
        <f t="shared" si="0"/>
        <v>g</v>
      </c>
      <c r="G44" s="140"/>
    </row>
    <row r="45" spans="2:7" ht="36" hidden="1" customHeight="1">
      <c r="B45" s="131"/>
      <c r="C45" s="132"/>
      <c r="D45" s="133"/>
      <c r="E45" s="77"/>
      <c r="F45" s="113" t="str">
        <f t="shared" si="0"/>
        <v>g</v>
      </c>
      <c r="G45" s="140"/>
    </row>
    <row r="46" spans="2:7" ht="36" hidden="1" customHeight="1">
      <c r="B46" s="131"/>
      <c r="C46" s="132"/>
      <c r="D46" s="133"/>
      <c r="E46" s="77"/>
      <c r="F46" s="113" t="str">
        <f t="shared" si="0"/>
        <v>g</v>
      </c>
      <c r="G46" s="140"/>
    </row>
    <row r="47" spans="2:7" ht="36" hidden="1" customHeight="1">
      <c r="B47" s="131"/>
      <c r="C47" s="132"/>
      <c r="D47" s="133"/>
      <c r="E47" s="77"/>
      <c r="F47" s="113" t="str">
        <f t="shared" si="0"/>
        <v>g</v>
      </c>
      <c r="G47" s="140"/>
    </row>
    <row r="48" spans="2:7" ht="36" hidden="1" customHeight="1">
      <c r="B48" s="131"/>
      <c r="C48" s="132"/>
      <c r="D48" s="133"/>
      <c r="E48" s="77"/>
      <c r="F48" s="113" t="str">
        <f t="shared" si="0"/>
        <v>g</v>
      </c>
      <c r="G48" s="140"/>
    </row>
    <row r="49" spans="2:17" ht="36" hidden="1" customHeight="1">
      <c r="B49" s="131"/>
      <c r="C49" s="132"/>
      <c r="D49" s="133"/>
      <c r="E49" s="77"/>
      <c r="F49" s="113" t="str">
        <f t="shared" si="0"/>
        <v>g</v>
      </c>
      <c r="G49" s="140"/>
    </row>
    <row r="50" spans="2:17" ht="36" hidden="1" customHeight="1">
      <c r="B50" s="131"/>
      <c r="C50" s="132"/>
      <c r="D50" s="133"/>
      <c r="E50" s="77"/>
      <c r="F50" s="113" t="str">
        <f t="shared" si="0"/>
        <v>g</v>
      </c>
      <c r="G50" s="140"/>
    </row>
    <row r="51" spans="2:17" ht="36" hidden="1" customHeight="1">
      <c r="B51" s="131"/>
      <c r="C51" s="132"/>
      <c r="D51" s="133"/>
      <c r="E51" s="77"/>
      <c r="F51" s="113" t="str">
        <f t="shared" si="0"/>
        <v>g</v>
      </c>
      <c r="G51" s="140"/>
    </row>
    <row r="52" spans="2:17" ht="36" hidden="1" customHeight="1">
      <c r="B52" s="131"/>
      <c r="C52" s="132"/>
      <c r="D52" s="133"/>
      <c r="E52" s="77"/>
      <c r="F52" s="113" t="str">
        <f t="shared" si="0"/>
        <v>g</v>
      </c>
      <c r="G52" s="140"/>
    </row>
    <row r="53" spans="2:17" ht="36" hidden="1" customHeight="1">
      <c r="B53" s="131"/>
      <c r="C53" s="132"/>
      <c r="D53" s="133"/>
      <c r="E53" s="77"/>
      <c r="F53" s="113" t="str">
        <f t="shared" si="0"/>
        <v>g</v>
      </c>
      <c r="G53" s="140"/>
    </row>
    <row r="54" spans="2:17" ht="36" hidden="1" customHeight="1">
      <c r="B54" s="131"/>
      <c r="C54" s="132"/>
      <c r="D54" s="133"/>
      <c r="E54" s="77"/>
      <c r="F54" s="113" t="str">
        <f t="shared" si="0"/>
        <v>g</v>
      </c>
      <c r="G54" s="140"/>
    </row>
    <row r="55" spans="2:17" ht="36" hidden="1" customHeight="1">
      <c r="B55" s="131"/>
      <c r="C55" s="132"/>
      <c r="D55" s="133"/>
      <c r="E55" s="77"/>
      <c r="F55" s="113" t="str">
        <f t="shared" si="0"/>
        <v>g</v>
      </c>
      <c r="G55" s="140"/>
    </row>
    <row r="56" spans="2:17" ht="36" hidden="1" customHeight="1">
      <c r="B56" s="131"/>
      <c r="C56" s="132"/>
      <c r="D56" s="133"/>
      <c r="E56" s="77"/>
      <c r="F56" s="113" t="str">
        <f t="shared" si="0"/>
        <v>g</v>
      </c>
      <c r="G56" s="140"/>
    </row>
    <row r="57" spans="2:17" ht="36" hidden="1" customHeight="1">
      <c r="B57" s="131"/>
      <c r="C57" s="132"/>
      <c r="D57" s="133"/>
      <c r="E57" s="77"/>
      <c r="F57" s="113" t="str">
        <f t="shared" si="0"/>
        <v>g</v>
      </c>
      <c r="G57" s="140"/>
    </row>
    <row r="58" spans="2:17" ht="36" hidden="1" customHeight="1">
      <c r="B58" s="131"/>
      <c r="C58" s="132"/>
      <c r="D58" s="133"/>
      <c r="E58" s="77"/>
      <c r="F58" s="113" t="str">
        <f t="shared" si="0"/>
        <v>g</v>
      </c>
      <c r="G58" s="140"/>
    </row>
    <row r="59" spans="2:17" ht="36" customHeight="1" thickBot="1">
      <c r="B59" s="135"/>
      <c r="C59" s="136"/>
      <c r="D59" s="137"/>
      <c r="E59" s="84"/>
      <c r="F59" s="114" t="str">
        <f t="shared" si="0"/>
        <v>g</v>
      </c>
      <c r="G59" s="142"/>
    </row>
    <row r="60" spans="2:17" s="4" customFormat="1" ht="32.1" customHeight="1">
      <c r="B60" s="2"/>
      <c r="C60" s="2"/>
      <c r="D60" s="2"/>
      <c r="E60" s="5"/>
      <c r="F60" s="7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7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7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7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7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7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7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7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7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7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7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7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7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" right="0" top="0" bottom="0" header="0" footer="0"/>
  <pageSetup paperSize="9" scale="82" fitToHeight="0" orientation="portrait" r:id="rId1"/>
  <headerFooter scaleWithDoc="0"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85B7-37F6-4169-ADE4-7CD930CF6CB6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7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9" t="s">
        <v>11</v>
      </c>
      <c r="C1" s="164"/>
      <c r="D1" s="164"/>
      <c r="E1" s="179"/>
      <c r="F1" s="179"/>
      <c r="G1" s="183"/>
      <c r="H1" s="183"/>
    </row>
    <row r="2" spans="2:17" ht="50.1" customHeight="1">
      <c r="B2" s="169"/>
      <c r="C2" s="170"/>
      <c r="D2" s="170"/>
      <c r="E2" s="118"/>
      <c r="F2" s="109" t="s">
        <v>3</v>
      </c>
      <c r="G2" s="45"/>
    </row>
    <row r="3" spans="2:17" s="4" customFormat="1" ht="36" customHeight="1" thickBot="1">
      <c r="B3" s="8"/>
      <c r="C3" s="9"/>
      <c r="D3" s="146" t="s">
        <v>8</v>
      </c>
      <c r="E3" s="171" t="s">
        <v>0</v>
      </c>
      <c r="F3" s="165"/>
      <c r="G3" s="63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69">
        <v>1</v>
      </c>
      <c r="C4" s="64" t="s">
        <v>25</v>
      </c>
      <c r="D4" s="121">
        <v>1</v>
      </c>
      <c r="E4" s="144" t="str">
        <f>IF($E2=0, "", $E2)</f>
        <v/>
      </c>
      <c r="F4" s="110" t="str">
        <f>$F$2</f>
        <v>g</v>
      </c>
      <c r="G4" s="139"/>
    </row>
    <row r="5" spans="2:17" ht="36" customHeight="1">
      <c r="B5" s="123">
        <f>D5</f>
        <v>0</v>
      </c>
      <c r="C5" s="124" t="s">
        <v>24</v>
      </c>
      <c r="D5" s="143"/>
      <c r="E5" s="145" t="str">
        <f>IF($E2=0, "", B5*$E2)</f>
        <v/>
      </c>
      <c r="F5" s="111" t="str">
        <f t="shared" ref="F5:F59" si="0">$F$2</f>
        <v>g</v>
      </c>
      <c r="G5" s="140"/>
    </row>
    <row r="6" spans="2:17" ht="36" customHeight="1">
      <c r="B6" s="123">
        <v>1</v>
      </c>
      <c r="C6" s="124" t="s">
        <v>42</v>
      </c>
      <c r="D6" s="125">
        <v>1</v>
      </c>
      <c r="E6" s="126">
        <v>50</v>
      </c>
      <c r="F6" s="111" t="str">
        <f t="shared" si="0"/>
        <v>g</v>
      </c>
      <c r="G6" s="140"/>
    </row>
    <row r="7" spans="2:17" ht="36" customHeight="1" thickBot="1">
      <c r="B7" s="127">
        <v>1</v>
      </c>
      <c r="C7" s="128" t="s">
        <v>27</v>
      </c>
      <c r="D7" s="129">
        <v>1</v>
      </c>
      <c r="E7" s="145" t="str">
        <f>IF($E2=0, "", B7*$E2)</f>
        <v/>
      </c>
      <c r="F7" s="112" t="str">
        <f t="shared" si="0"/>
        <v>g</v>
      </c>
      <c r="G7" s="141"/>
    </row>
    <row r="8" spans="2:17" ht="36" customHeight="1" thickTop="1">
      <c r="B8" s="188" t="s">
        <v>29</v>
      </c>
      <c r="C8" s="189"/>
      <c r="D8" s="121">
        <f>D5+G6+G7+SUM(D10:D59)</f>
        <v>0</v>
      </c>
      <c r="E8" s="72" t="str">
        <f>IF($E$2=0, "", D8*$E$2)</f>
        <v/>
      </c>
      <c r="F8" s="110" t="str">
        <f t="shared" si="0"/>
        <v>g</v>
      </c>
      <c r="G8" s="139"/>
    </row>
    <row r="9" spans="2:17" ht="36" customHeight="1">
      <c r="B9" s="131"/>
      <c r="C9" s="132"/>
      <c r="D9" s="133"/>
      <c r="E9" s="77"/>
      <c r="F9" s="113"/>
      <c r="G9" s="140"/>
    </row>
    <row r="10" spans="2:17" ht="36" customHeight="1">
      <c r="B10" s="131"/>
      <c r="C10" s="132"/>
      <c r="D10" s="133"/>
      <c r="E10" s="77"/>
      <c r="F10" s="113" t="str">
        <f t="shared" si="0"/>
        <v>g</v>
      </c>
      <c r="G10" s="140"/>
    </row>
    <row r="11" spans="2:17" ht="36" customHeight="1">
      <c r="B11" s="131"/>
      <c r="C11" s="132"/>
      <c r="D11" s="133"/>
      <c r="E11" s="77"/>
      <c r="F11" s="113" t="str">
        <f t="shared" si="0"/>
        <v>g</v>
      </c>
      <c r="G11" s="140"/>
    </row>
    <row r="12" spans="2:17" ht="36" customHeight="1">
      <c r="B12" s="131"/>
      <c r="C12" s="132"/>
      <c r="D12" s="133"/>
      <c r="E12" s="77"/>
      <c r="F12" s="113" t="str">
        <f t="shared" si="0"/>
        <v>g</v>
      </c>
      <c r="G12" s="140"/>
    </row>
    <row r="13" spans="2:17" ht="36" customHeight="1">
      <c r="B13" s="131"/>
      <c r="C13" s="132"/>
      <c r="D13" s="133"/>
      <c r="E13" s="77"/>
      <c r="F13" s="113" t="str">
        <f t="shared" si="0"/>
        <v>g</v>
      </c>
      <c r="G13" s="140"/>
    </row>
    <row r="14" spans="2:17" ht="36" customHeight="1">
      <c r="B14" s="131"/>
      <c r="C14" s="132"/>
      <c r="D14" s="133"/>
      <c r="E14" s="77"/>
      <c r="F14" s="113" t="str">
        <f t="shared" si="0"/>
        <v>g</v>
      </c>
      <c r="G14" s="140"/>
    </row>
    <row r="15" spans="2:17" ht="36" customHeight="1">
      <c r="B15" s="131"/>
      <c r="C15" s="132"/>
      <c r="D15" s="133"/>
      <c r="E15" s="77"/>
      <c r="F15" s="113" t="str">
        <f t="shared" si="0"/>
        <v>g</v>
      </c>
      <c r="G15" s="140"/>
    </row>
    <row r="16" spans="2:17" ht="36" customHeight="1">
      <c r="B16" s="131"/>
      <c r="C16" s="132"/>
      <c r="D16" s="133"/>
      <c r="E16" s="77"/>
      <c r="F16" s="113" t="str">
        <f t="shared" si="0"/>
        <v>g</v>
      </c>
      <c r="G16" s="140"/>
    </row>
    <row r="17" spans="2:7" ht="36" customHeight="1">
      <c r="B17" s="131"/>
      <c r="C17" s="132"/>
      <c r="D17" s="133"/>
      <c r="E17" s="77"/>
      <c r="F17" s="113" t="str">
        <f t="shared" si="0"/>
        <v>g</v>
      </c>
      <c r="G17" s="140"/>
    </row>
    <row r="18" spans="2:7" ht="36" customHeight="1">
      <c r="B18" s="131"/>
      <c r="C18" s="132"/>
      <c r="D18" s="133"/>
      <c r="E18" s="77"/>
      <c r="F18" s="113" t="str">
        <f t="shared" si="0"/>
        <v>g</v>
      </c>
      <c r="G18" s="140"/>
    </row>
    <row r="19" spans="2:7" ht="36" customHeight="1">
      <c r="B19" s="131"/>
      <c r="C19" s="132"/>
      <c r="D19" s="133"/>
      <c r="E19" s="77"/>
      <c r="F19" s="113" t="str">
        <f t="shared" si="0"/>
        <v>g</v>
      </c>
      <c r="G19" s="140"/>
    </row>
    <row r="20" spans="2:7" ht="36" customHeight="1">
      <c r="B20" s="131"/>
      <c r="C20" s="132"/>
      <c r="D20" s="133"/>
      <c r="E20" s="77"/>
      <c r="F20" s="113" t="str">
        <f t="shared" si="0"/>
        <v>g</v>
      </c>
      <c r="G20" s="140"/>
    </row>
    <row r="21" spans="2:7" ht="36" customHeight="1">
      <c r="B21" s="131"/>
      <c r="C21" s="132"/>
      <c r="D21" s="133"/>
      <c r="E21" s="77"/>
      <c r="F21" s="113" t="str">
        <f t="shared" si="0"/>
        <v>g</v>
      </c>
      <c r="G21" s="140"/>
    </row>
    <row r="22" spans="2:7" ht="36" customHeight="1">
      <c r="B22" s="131"/>
      <c r="C22" s="132"/>
      <c r="D22" s="133"/>
      <c r="E22" s="77"/>
      <c r="F22" s="113" t="str">
        <f t="shared" si="0"/>
        <v>g</v>
      </c>
      <c r="G22" s="140"/>
    </row>
    <row r="23" spans="2:7" ht="36" customHeight="1">
      <c r="B23" s="131"/>
      <c r="C23" s="132"/>
      <c r="D23" s="133"/>
      <c r="E23" s="77"/>
      <c r="F23" s="113" t="str">
        <f t="shared" si="0"/>
        <v>g</v>
      </c>
      <c r="G23" s="140"/>
    </row>
    <row r="24" spans="2:7" ht="36" customHeight="1">
      <c r="B24" s="131"/>
      <c r="C24" s="132"/>
      <c r="D24" s="133"/>
      <c r="E24" s="77"/>
      <c r="F24" s="113" t="str">
        <f t="shared" si="0"/>
        <v>g</v>
      </c>
      <c r="G24" s="140"/>
    </row>
    <row r="25" spans="2:7" ht="36" customHeight="1">
      <c r="B25" s="131"/>
      <c r="C25" s="132"/>
      <c r="D25" s="133"/>
      <c r="E25" s="77"/>
      <c r="F25" s="113" t="str">
        <f t="shared" si="0"/>
        <v>g</v>
      </c>
      <c r="G25" s="140"/>
    </row>
    <row r="26" spans="2:7" ht="36" hidden="1" customHeight="1">
      <c r="B26" s="131"/>
      <c r="C26" s="132"/>
      <c r="D26" s="133"/>
      <c r="E26" s="77"/>
      <c r="F26" s="113" t="str">
        <f t="shared" si="0"/>
        <v>g</v>
      </c>
      <c r="G26" s="140"/>
    </row>
    <row r="27" spans="2:7" ht="36" hidden="1" customHeight="1">
      <c r="B27" s="131"/>
      <c r="C27" s="132"/>
      <c r="D27" s="133"/>
      <c r="E27" s="77"/>
      <c r="F27" s="113" t="str">
        <f t="shared" si="0"/>
        <v>g</v>
      </c>
      <c r="G27" s="140"/>
    </row>
    <row r="28" spans="2:7" ht="36" hidden="1" customHeight="1">
      <c r="B28" s="131"/>
      <c r="C28" s="132"/>
      <c r="D28" s="133"/>
      <c r="E28" s="77"/>
      <c r="F28" s="113" t="str">
        <f t="shared" si="0"/>
        <v>g</v>
      </c>
      <c r="G28" s="140"/>
    </row>
    <row r="29" spans="2:7" ht="36" hidden="1" customHeight="1">
      <c r="B29" s="131"/>
      <c r="C29" s="132"/>
      <c r="D29" s="133"/>
      <c r="E29" s="77"/>
      <c r="F29" s="113" t="str">
        <f t="shared" si="0"/>
        <v>g</v>
      </c>
      <c r="G29" s="140"/>
    </row>
    <row r="30" spans="2:7" ht="36" hidden="1" customHeight="1">
      <c r="B30" s="131"/>
      <c r="C30" s="132"/>
      <c r="D30" s="133"/>
      <c r="E30" s="77"/>
      <c r="F30" s="113" t="str">
        <f t="shared" si="0"/>
        <v>g</v>
      </c>
      <c r="G30" s="140"/>
    </row>
    <row r="31" spans="2:7" ht="36" hidden="1" customHeight="1">
      <c r="B31" s="131"/>
      <c r="C31" s="132"/>
      <c r="D31" s="133"/>
      <c r="E31" s="77"/>
      <c r="F31" s="113" t="str">
        <f t="shared" si="0"/>
        <v>g</v>
      </c>
      <c r="G31" s="140"/>
    </row>
    <row r="32" spans="2:7" ht="36" hidden="1" customHeight="1">
      <c r="B32" s="131"/>
      <c r="C32" s="132"/>
      <c r="D32" s="133"/>
      <c r="E32" s="77"/>
      <c r="F32" s="113" t="str">
        <f t="shared" si="0"/>
        <v>g</v>
      </c>
      <c r="G32" s="140"/>
    </row>
    <row r="33" spans="2:7" ht="36" hidden="1" customHeight="1">
      <c r="B33" s="131"/>
      <c r="C33" s="132"/>
      <c r="D33" s="133"/>
      <c r="E33" s="77"/>
      <c r="F33" s="113" t="str">
        <f t="shared" si="0"/>
        <v>g</v>
      </c>
      <c r="G33" s="140"/>
    </row>
    <row r="34" spans="2:7" ht="36" hidden="1" customHeight="1">
      <c r="B34" s="131"/>
      <c r="C34" s="132"/>
      <c r="D34" s="133"/>
      <c r="E34" s="77"/>
      <c r="F34" s="113" t="str">
        <f t="shared" si="0"/>
        <v>g</v>
      </c>
      <c r="G34" s="140"/>
    </row>
    <row r="35" spans="2:7" ht="36" hidden="1" customHeight="1">
      <c r="B35" s="131"/>
      <c r="C35" s="132"/>
      <c r="D35" s="133"/>
      <c r="E35" s="77"/>
      <c r="F35" s="113" t="str">
        <f t="shared" si="0"/>
        <v>g</v>
      </c>
      <c r="G35" s="140"/>
    </row>
    <row r="36" spans="2:7" ht="36" hidden="1" customHeight="1">
      <c r="B36" s="131"/>
      <c r="C36" s="132"/>
      <c r="D36" s="133"/>
      <c r="E36" s="77"/>
      <c r="F36" s="113" t="str">
        <f t="shared" si="0"/>
        <v>g</v>
      </c>
      <c r="G36" s="140"/>
    </row>
    <row r="37" spans="2:7" ht="36" hidden="1" customHeight="1">
      <c r="B37" s="131"/>
      <c r="C37" s="132"/>
      <c r="D37" s="133"/>
      <c r="E37" s="77"/>
      <c r="F37" s="113" t="str">
        <f t="shared" si="0"/>
        <v>g</v>
      </c>
      <c r="G37" s="140"/>
    </row>
    <row r="38" spans="2:7" ht="36" hidden="1" customHeight="1">
      <c r="B38" s="131"/>
      <c r="C38" s="132"/>
      <c r="D38" s="133"/>
      <c r="E38" s="77"/>
      <c r="F38" s="113" t="str">
        <f t="shared" si="0"/>
        <v>g</v>
      </c>
      <c r="G38" s="140"/>
    </row>
    <row r="39" spans="2:7" ht="36" hidden="1" customHeight="1">
      <c r="B39" s="131"/>
      <c r="C39" s="132"/>
      <c r="D39" s="133"/>
      <c r="E39" s="77"/>
      <c r="F39" s="113" t="str">
        <f t="shared" si="0"/>
        <v>g</v>
      </c>
      <c r="G39" s="140"/>
    </row>
    <row r="40" spans="2:7" ht="36" hidden="1" customHeight="1">
      <c r="B40" s="131"/>
      <c r="C40" s="132"/>
      <c r="D40" s="133"/>
      <c r="E40" s="77"/>
      <c r="F40" s="113" t="str">
        <f t="shared" si="0"/>
        <v>g</v>
      </c>
      <c r="G40" s="140"/>
    </row>
    <row r="41" spans="2:7" ht="36" hidden="1" customHeight="1">
      <c r="B41" s="131"/>
      <c r="C41" s="132"/>
      <c r="D41" s="133"/>
      <c r="E41" s="77"/>
      <c r="F41" s="113" t="str">
        <f t="shared" si="0"/>
        <v>g</v>
      </c>
      <c r="G41" s="140"/>
    </row>
    <row r="42" spans="2:7" ht="36" hidden="1" customHeight="1">
      <c r="B42" s="131"/>
      <c r="C42" s="132"/>
      <c r="D42" s="133"/>
      <c r="E42" s="77"/>
      <c r="F42" s="113" t="str">
        <f t="shared" si="0"/>
        <v>g</v>
      </c>
      <c r="G42" s="140"/>
    </row>
    <row r="43" spans="2:7" ht="36" hidden="1" customHeight="1">
      <c r="B43" s="131"/>
      <c r="C43" s="132"/>
      <c r="D43" s="133"/>
      <c r="E43" s="77"/>
      <c r="F43" s="113" t="str">
        <f t="shared" si="0"/>
        <v>g</v>
      </c>
      <c r="G43" s="140"/>
    </row>
    <row r="44" spans="2:7" ht="36" hidden="1" customHeight="1">
      <c r="B44" s="131"/>
      <c r="C44" s="132"/>
      <c r="D44" s="133"/>
      <c r="E44" s="77"/>
      <c r="F44" s="113" t="str">
        <f t="shared" si="0"/>
        <v>g</v>
      </c>
      <c r="G44" s="140"/>
    </row>
    <row r="45" spans="2:7" ht="36" hidden="1" customHeight="1">
      <c r="B45" s="131"/>
      <c r="C45" s="132"/>
      <c r="D45" s="133"/>
      <c r="E45" s="77"/>
      <c r="F45" s="113" t="str">
        <f t="shared" si="0"/>
        <v>g</v>
      </c>
      <c r="G45" s="140"/>
    </row>
    <row r="46" spans="2:7" ht="36" hidden="1" customHeight="1">
      <c r="B46" s="131"/>
      <c r="C46" s="132"/>
      <c r="D46" s="133"/>
      <c r="E46" s="77"/>
      <c r="F46" s="113" t="str">
        <f t="shared" si="0"/>
        <v>g</v>
      </c>
      <c r="G46" s="140"/>
    </row>
    <row r="47" spans="2:7" ht="36" hidden="1" customHeight="1">
      <c r="B47" s="131"/>
      <c r="C47" s="132"/>
      <c r="D47" s="133"/>
      <c r="E47" s="77"/>
      <c r="F47" s="113" t="str">
        <f t="shared" si="0"/>
        <v>g</v>
      </c>
      <c r="G47" s="140"/>
    </row>
    <row r="48" spans="2:7" ht="36" hidden="1" customHeight="1">
      <c r="B48" s="131"/>
      <c r="C48" s="132"/>
      <c r="D48" s="133"/>
      <c r="E48" s="77"/>
      <c r="F48" s="113" t="str">
        <f t="shared" si="0"/>
        <v>g</v>
      </c>
      <c r="G48" s="140"/>
    </row>
    <row r="49" spans="2:17" ht="36" hidden="1" customHeight="1">
      <c r="B49" s="131"/>
      <c r="C49" s="132"/>
      <c r="D49" s="133"/>
      <c r="E49" s="77"/>
      <c r="F49" s="113" t="str">
        <f t="shared" si="0"/>
        <v>g</v>
      </c>
      <c r="G49" s="140"/>
    </row>
    <row r="50" spans="2:17" ht="36" hidden="1" customHeight="1">
      <c r="B50" s="131"/>
      <c r="C50" s="132"/>
      <c r="D50" s="133"/>
      <c r="E50" s="77"/>
      <c r="F50" s="113" t="str">
        <f t="shared" si="0"/>
        <v>g</v>
      </c>
      <c r="G50" s="140"/>
    </row>
    <row r="51" spans="2:17" ht="36" hidden="1" customHeight="1">
      <c r="B51" s="131"/>
      <c r="C51" s="132"/>
      <c r="D51" s="133"/>
      <c r="E51" s="77"/>
      <c r="F51" s="113" t="str">
        <f t="shared" si="0"/>
        <v>g</v>
      </c>
      <c r="G51" s="140"/>
    </row>
    <row r="52" spans="2:17" ht="36" hidden="1" customHeight="1">
      <c r="B52" s="131"/>
      <c r="C52" s="132"/>
      <c r="D52" s="133"/>
      <c r="E52" s="77"/>
      <c r="F52" s="113" t="str">
        <f t="shared" si="0"/>
        <v>g</v>
      </c>
      <c r="G52" s="140"/>
    </row>
    <row r="53" spans="2:17" ht="36" hidden="1" customHeight="1">
      <c r="B53" s="131"/>
      <c r="C53" s="132"/>
      <c r="D53" s="133"/>
      <c r="E53" s="77"/>
      <c r="F53" s="113" t="str">
        <f t="shared" si="0"/>
        <v>g</v>
      </c>
      <c r="G53" s="140"/>
    </row>
    <row r="54" spans="2:17" ht="36" hidden="1" customHeight="1">
      <c r="B54" s="131"/>
      <c r="C54" s="132"/>
      <c r="D54" s="133"/>
      <c r="E54" s="77"/>
      <c r="F54" s="113" t="str">
        <f t="shared" si="0"/>
        <v>g</v>
      </c>
      <c r="G54" s="140"/>
    </row>
    <row r="55" spans="2:17" ht="36" hidden="1" customHeight="1">
      <c r="B55" s="131"/>
      <c r="C55" s="132"/>
      <c r="D55" s="133"/>
      <c r="E55" s="77"/>
      <c r="F55" s="113" t="str">
        <f t="shared" si="0"/>
        <v>g</v>
      </c>
      <c r="G55" s="140"/>
    </row>
    <row r="56" spans="2:17" ht="36" hidden="1" customHeight="1">
      <c r="B56" s="131"/>
      <c r="C56" s="132"/>
      <c r="D56" s="133"/>
      <c r="E56" s="77"/>
      <c r="F56" s="113" t="str">
        <f t="shared" si="0"/>
        <v>g</v>
      </c>
      <c r="G56" s="140"/>
    </row>
    <row r="57" spans="2:17" ht="36" hidden="1" customHeight="1">
      <c r="B57" s="131"/>
      <c r="C57" s="132"/>
      <c r="D57" s="133"/>
      <c r="E57" s="77"/>
      <c r="F57" s="113" t="str">
        <f t="shared" si="0"/>
        <v>g</v>
      </c>
      <c r="G57" s="140"/>
    </row>
    <row r="58" spans="2:17" ht="36" hidden="1" customHeight="1">
      <c r="B58" s="131"/>
      <c r="C58" s="132"/>
      <c r="D58" s="133"/>
      <c r="E58" s="77"/>
      <c r="F58" s="113" t="str">
        <f t="shared" si="0"/>
        <v>g</v>
      </c>
      <c r="G58" s="140"/>
    </row>
    <row r="59" spans="2:17" ht="36" customHeight="1" thickBot="1">
      <c r="B59" s="135"/>
      <c r="C59" s="136"/>
      <c r="D59" s="137"/>
      <c r="E59" s="84"/>
      <c r="F59" s="114" t="str">
        <f t="shared" si="0"/>
        <v>g</v>
      </c>
      <c r="G59" s="142"/>
    </row>
    <row r="60" spans="2:17" s="4" customFormat="1" ht="32.1" customHeight="1">
      <c r="B60" s="2"/>
      <c r="C60" s="2"/>
      <c r="D60" s="2"/>
      <c r="E60" s="5"/>
      <c r="F60" s="7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7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7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7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7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7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7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7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7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7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7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7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7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" right="0" top="0" bottom="0" header="0" footer="0"/>
  <pageSetup paperSize="9" scale="82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常食</vt:lpstr>
      <vt:lpstr>薄味</vt:lpstr>
      <vt:lpstr>ソフト</vt:lpstr>
      <vt:lpstr>ソフト(液)</vt:lpstr>
      <vt:lpstr>ミキサー</vt:lpstr>
      <vt:lpstr>ミキサー(液)</vt:lpstr>
      <vt:lpstr>ゼリー</vt:lpstr>
      <vt:lpstr>ゼリー(液)</vt:lpstr>
      <vt:lpstr>常食!Print_Area</vt:lpstr>
      <vt:lpstr>薄味!Print_Area</vt:lpstr>
      <vt:lpstr>ゼリー!Print_Titles</vt:lpstr>
      <vt:lpstr>'ゼリー(液)'!Print_Titles</vt:lpstr>
      <vt:lpstr>ソフト!Print_Titles</vt:lpstr>
      <vt:lpstr>'ソフト(液)'!Print_Titles</vt:lpstr>
      <vt:lpstr>ミキサー!Print_Titles</vt:lpstr>
      <vt:lpstr>'ミキサー(液)'!Print_Titles</vt:lpstr>
      <vt:lpstr>常食!Print_Titles</vt:lpstr>
      <vt:lpstr>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Daisuke Kato</cp:lastModifiedBy>
  <cp:lastPrinted>2022-10-07T15:20:24Z</cp:lastPrinted>
  <dcterms:created xsi:type="dcterms:W3CDTF">2022-04-09T08:43:38Z</dcterms:created>
  <dcterms:modified xsi:type="dcterms:W3CDTF">2024-11-13T04:42:39Z</dcterms:modified>
</cp:coreProperties>
</file>